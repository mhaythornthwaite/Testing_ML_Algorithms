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9.xml" ContentType="application/vnd.openxmlformats-officedocument.drawingml.chart+xml"/>
  <Override PartName="/xl/theme/themeOverride1.xml" ContentType="application/vnd.openxmlformats-officedocument.themeOverrid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hayt\Documents\Software_Developer-Python\2_Machine_Learning_ZTM_Course\Testing_ML_Algorithms\"/>
    </mc:Choice>
  </mc:AlternateContent>
  <xr:revisionPtr revIDLastSave="0" documentId="13_ncr:1_{BEB68404-911E-455C-BC73-07827ABFD223}" xr6:coauthVersionLast="46" xr6:coauthVersionMax="46" xr10:uidLastSave="{00000000-0000-0000-0000-000000000000}"/>
  <bookViews>
    <workbookView xWindow="-110" yWindow="-110" windowWidth="19420" windowHeight="1042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2" i="1" l="1"/>
  <c r="D99" i="1" s="1"/>
  <c r="T189" i="1"/>
  <c r="T163" i="1" s="1"/>
  <c r="H189" i="1"/>
  <c r="H163" i="1" s="1"/>
  <c r="H137" i="1" s="1"/>
  <c r="H111" i="1" s="1"/>
  <c r="O189" i="1"/>
  <c r="O163" i="1" s="1"/>
  <c r="P189" i="1"/>
  <c r="P163" i="1" s="1"/>
  <c r="P137" i="1" s="1"/>
  <c r="P111" i="1" s="1"/>
  <c r="O190" i="1"/>
  <c r="O164" i="1" s="1"/>
  <c r="U190" i="1"/>
  <c r="U164" i="1" s="1"/>
  <c r="U138" i="1" s="1"/>
  <c r="U112" i="1" s="1"/>
  <c r="W190" i="1"/>
  <c r="W164" i="1" s="1"/>
  <c r="J191" i="1"/>
  <c r="J165" i="1" s="1"/>
  <c r="W191" i="1"/>
  <c r="W165" i="1" s="1"/>
  <c r="W139" i="1" s="1"/>
  <c r="W113" i="1" s="1"/>
  <c r="X191" i="1"/>
  <c r="X165" i="1" s="1"/>
  <c r="X139" i="1" s="1"/>
  <c r="X113" i="1" s="1"/>
  <c r="E192" i="1"/>
  <c r="E166" i="1" s="1"/>
  <c r="R192" i="1"/>
  <c r="R166" i="1" s="1"/>
  <c r="R140" i="1" s="1"/>
  <c r="R114" i="1" s="1"/>
  <c r="S192" i="1"/>
  <c r="S166" i="1" s="1"/>
  <c r="S140" i="1" s="1"/>
  <c r="S114" i="1" s="1"/>
  <c r="F193" i="1"/>
  <c r="F167" i="1" s="1"/>
  <c r="F141" i="1" s="1"/>
  <c r="F115" i="1" s="1"/>
  <c r="H193" i="1"/>
  <c r="H167" i="1" s="1"/>
  <c r="M193" i="1"/>
  <c r="M167" i="1" s="1"/>
  <c r="M141" i="1" s="1"/>
  <c r="M115" i="1" s="1"/>
  <c r="U193" i="1"/>
  <c r="U167" i="1" s="1"/>
  <c r="U141" i="1" s="1"/>
  <c r="U115" i="1" s="1"/>
  <c r="V193" i="1"/>
  <c r="V167" i="1" s="1"/>
  <c r="V141" i="1" s="1"/>
  <c r="V115" i="1" s="1"/>
  <c r="H194" i="1"/>
  <c r="H168" i="1" s="1"/>
  <c r="H142" i="1" s="1"/>
  <c r="H116" i="1" s="1"/>
  <c r="I194" i="1"/>
  <c r="I168" i="1" s="1"/>
  <c r="I142" i="1" s="1"/>
  <c r="I116" i="1" s="1"/>
  <c r="K194" i="1"/>
  <c r="K168" i="1" s="1"/>
  <c r="S194" i="1"/>
  <c r="S168" i="1" s="1"/>
  <c r="S142" i="1" s="1"/>
  <c r="S116" i="1" s="1"/>
  <c r="X194" i="1"/>
  <c r="X168" i="1" s="1"/>
  <c r="X142" i="1" s="1"/>
  <c r="X116" i="1" s="1"/>
  <c r="F195" i="1"/>
  <c r="F169" i="1" s="1"/>
  <c r="F143" i="1" s="1"/>
  <c r="F117" i="1" s="1"/>
  <c r="K195" i="1"/>
  <c r="K169" i="1" s="1"/>
  <c r="K143" i="1" s="1"/>
  <c r="K117" i="1" s="1"/>
  <c r="L195" i="1"/>
  <c r="L169" i="1" s="1"/>
  <c r="L143" i="1" s="1"/>
  <c r="L117" i="1" s="1"/>
  <c r="S195" i="1"/>
  <c r="S169" i="1" s="1"/>
  <c r="S143" i="1" s="1"/>
  <c r="S117" i="1" s="1"/>
  <c r="T195" i="1"/>
  <c r="T169" i="1" s="1"/>
  <c r="T143" i="1" s="1"/>
  <c r="T117" i="1" s="1"/>
  <c r="E196" i="1"/>
  <c r="E170" i="1" s="1"/>
  <c r="E144" i="1" s="1"/>
  <c r="E118" i="1" s="1"/>
  <c r="F196" i="1"/>
  <c r="F170" i="1" s="1"/>
  <c r="F144" i="1" s="1"/>
  <c r="F118" i="1" s="1"/>
  <c r="I196" i="1"/>
  <c r="I170" i="1" s="1"/>
  <c r="I144" i="1" s="1"/>
  <c r="I118" i="1" s="1"/>
  <c r="O196" i="1"/>
  <c r="O170" i="1" s="1"/>
  <c r="O144" i="1" s="1"/>
  <c r="O118" i="1" s="1"/>
  <c r="Q196" i="1"/>
  <c r="Q170" i="1" s="1"/>
  <c r="Q144" i="1" s="1"/>
  <c r="Q118" i="1" s="1"/>
  <c r="V196" i="1"/>
  <c r="V170" i="1" s="1"/>
  <c r="V144" i="1" s="1"/>
  <c r="V118" i="1" s="1"/>
  <c r="W196" i="1"/>
  <c r="W170" i="1" s="1"/>
  <c r="W144" i="1" s="1"/>
  <c r="W118" i="1" s="1"/>
  <c r="D197" i="1"/>
  <c r="D171" i="1" s="1"/>
  <c r="D145" i="1" s="1"/>
  <c r="D119" i="1" s="1"/>
  <c r="J197" i="1"/>
  <c r="J171" i="1" s="1"/>
  <c r="J145" i="1" s="1"/>
  <c r="J119" i="1" s="1"/>
  <c r="M197" i="1"/>
  <c r="M171" i="1" s="1"/>
  <c r="M145" i="1" s="1"/>
  <c r="M119" i="1" s="1"/>
  <c r="Q197" i="1"/>
  <c r="Q171" i="1" s="1"/>
  <c r="Q145" i="1" s="1"/>
  <c r="Q119" i="1" s="1"/>
  <c r="T197" i="1"/>
  <c r="T171" i="1" s="1"/>
  <c r="T145" i="1" s="1"/>
  <c r="T119" i="1" s="1"/>
  <c r="U197" i="1"/>
  <c r="U171" i="1" s="1"/>
  <c r="U145" i="1" s="1"/>
  <c r="U119" i="1" s="1"/>
  <c r="G198" i="1"/>
  <c r="G172" i="1" s="1"/>
  <c r="G146" i="1" s="1"/>
  <c r="G120" i="1" s="1"/>
  <c r="H198" i="1"/>
  <c r="H172" i="1" s="1"/>
  <c r="H146" i="1" s="1"/>
  <c r="H120" i="1" s="1"/>
  <c r="M198" i="1"/>
  <c r="M172" i="1" s="1"/>
  <c r="M146" i="1" s="1"/>
  <c r="M120" i="1" s="1"/>
  <c r="O198" i="1"/>
  <c r="O172" i="1" s="1"/>
  <c r="O146" i="1" s="1"/>
  <c r="O120" i="1" s="1"/>
  <c r="S198" i="1"/>
  <c r="S172" i="1" s="1"/>
  <c r="S146" i="1" s="1"/>
  <c r="S120" i="1" s="1"/>
  <c r="X198" i="1"/>
  <c r="X172" i="1" s="1"/>
  <c r="X146" i="1" s="1"/>
  <c r="X120" i="1" s="1"/>
  <c r="F199" i="1"/>
  <c r="F173" i="1" s="1"/>
  <c r="F147" i="1" s="1"/>
  <c r="F121" i="1" s="1"/>
  <c r="J199" i="1"/>
  <c r="J173" i="1" s="1"/>
  <c r="J147" i="1" s="1"/>
  <c r="J121" i="1" s="1"/>
  <c r="K199" i="1"/>
  <c r="K173" i="1" s="1"/>
  <c r="K147" i="1" s="1"/>
  <c r="K121" i="1" s="1"/>
  <c r="N199" i="1"/>
  <c r="N173" i="1" s="1"/>
  <c r="N147" i="1" s="1"/>
  <c r="N121" i="1" s="1"/>
  <c r="S199" i="1"/>
  <c r="S173" i="1" s="1"/>
  <c r="S147" i="1" s="1"/>
  <c r="S121" i="1" s="1"/>
  <c r="W199" i="1"/>
  <c r="W173" i="1" s="1"/>
  <c r="W147" i="1" s="1"/>
  <c r="W121" i="1" s="1"/>
  <c r="E200" i="1"/>
  <c r="E174" i="1" s="1"/>
  <c r="E148" i="1" s="1"/>
  <c r="E122" i="1" s="1"/>
  <c r="I200" i="1"/>
  <c r="I174" i="1" s="1"/>
  <c r="I148" i="1" s="1"/>
  <c r="I122" i="1" s="1"/>
  <c r="J200" i="1"/>
  <c r="J174" i="1" s="1"/>
  <c r="J148" i="1" s="1"/>
  <c r="J122" i="1" s="1"/>
  <c r="Q200" i="1"/>
  <c r="Q174" i="1" s="1"/>
  <c r="Q148" i="1" s="1"/>
  <c r="Q122" i="1" s="1"/>
  <c r="R200" i="1"/>
  <c r="R174" i="1" s="1"/>
  <c r="R148" i="1" s="1"/>
  <c r="R122" i="1" s="1"/>
  <c r="U200" i="1"/>
  <c r="U174" i="1" s="1"/>
  <c r="U148" i="1" s="1"/>
  <c r="U122" i="1" s="1"/>
  <c r="V200" i="1"/>
  <c r="V174" i="1" s="1"/>
  <c r="V148" i="1" s="1"/>
  <c r="V122" i="1" s="1"/>
  <c r="X200" i="1"/>
  <c r="X174" i="1" s="1"/>
  <c r="X148" i="1" s="1"/>
  <c r="X122" i="1" s="1"/>
  <c r="G201" i="1"/>
  <c r="G175" i="1" s="1"/>
  <c r="G149" i="1" s="1"/>
  <c r="G123" i="1" s="1"/>
  <c r="H201" i="1"/>
  <c r="H175" i="1" s="1"/>
  <c r="H149" i="1" s="1"/>
  <c r="H123" i="1" s="1"/>
  <c r="K201" i="1"/>
  <c r="K175" i="1" s="1"/>
  <c r="K149" i="1" s="1"/>
  <c r="K123" i="1" s="1"/>
  <c r="L201" i="1"/>
  <c r="L175" i="1" s="1"/>
  <c r="L149" i="1" s="1"/>
  <c r="L123" i="1" s="1"/>
  <c r="M201" i="1"/>
  <c r="M175" i="1" s="1"/>
  <c r="M149" i="1" s="1"/>
  <c r="M123" i="1" s="1"/>
  <c r="Q201" i="1"/>
  <c r="Q175" i="1" s="1"/>
  <c r="Q149" i="1" s="1"/>
  <c r="Q123" i="1" s="1"/>
  <c r="S201" i="1"/>
  <c r="S175" i="1" s="1"/>
  <c r="S149" i="1" s="1"/>
  <c r="S123" i="1" s="1"/>
  <c r="T201" i="1"/>
  <c r="T175" i="1" s="1"/>
  <c r="T149" i="1" s="1"/>
  <c r="T123" i="1" s="1"/>
  <c r="U201" i="1"/>
  <c r="U175" i="1" s="1"/>
  <c r="U149" i="1" s="1"/>
  <c r="U123" i="1" s="1"/>
  <c r="W201" i="1"/>
  <c r="W175" i="1" s="1"/>
  <c r="W149" i="1" s="1"/>
  <c r="W123" i="1" s="1"/>
  <c r="X201" i="1"/>
  <c r="X175" i="1" s="1"/>
  <c r="X149" i="1" s="1"/>
  <c r="X123" i="1" s="1"/>
  <c r="G202" i="1"/>
  <c r="G176" i="1" s="1"/>
  <c r="G150" i="1" s="1"/>
  <c r="G124" i="1" s="1"/>
  <c r="H202" i="1"/>
  <c r="H176" i="1" s="1"/>
  <c r="H150" i="1" s="1"/>
  <c r="H124" i="1" s="1"/>
  <c r="J202" i="1"/>
  <c r="J176" i="1" s="1"/>
  <c r="J150" i="1" s="1"/>
  <c r="J124" i="1" s="1"/>
  <c r="K202" i="1"/>
  <c r="K176" i="1" s="1"/>
  <c r="K150" i="1" s="1"/>
  <c r="K124" i="1" s="1"/>
  <c r="L202" i="1"/>
  <c r="L176" i="1" s="1"/>
  <c r="L150" i="1" s="1"/>
  <c r="L124" i="1" s="1"/>
  <c r="N202" i="1"/>
  <c r="N176" i="1" s="1"/>
  <c r="N150" i="1" s="1"/>
  <c r="N124" i="1" s="1"/>
  <c r="R202" i="1"/>
  <c r="R176" i="1" s="1"/>
  <c r="R150" i="1" s="1"/>
  <c r="R124" i="1" s="1"/>
  <c r="S202" i="1"/>
  <c r="S176" i="1" s="1"/>
  <c r="S150" i="1" s="1"/>
  <c r="S124" i="1" s="1"/>
  <c r="T202" i="1"/>
  <c r="T176" i="1" s="1"/>
  <c r="T150" i="1" s="1"/>
  <c r="T124" i="1" s="1"/>
  <c r="V202" i="1"/>
  <c r="V176" i="1" s="1"/>
  <c r="V150" i="1" s="1"/>
  <c r="V124" i="1" s="1"/>
  <c r="W202" i="1"/>
  <c r="W176" i="1" s="1"/>
  <c r="W150" i="1" s="1"/>
  <c r="W124" i="1" s="1"/>
  <c r="X202" i="1"/>
  <c r="X176" i="1" s="1"/>
  <c r="X150" i="1" s="1"/>
  <c r="X124" i="1" s="1"/>
  <c r="G203" i="1"/>
  <c r="G177" i="1" s="1"/>
  <c r="G151" i="1" s="1"/>
  <c r="G125" i="1" s="1"/>
  <c r="I203" i="1"/>
  <c r="I177" i="1" s="1"/>
  <c r="I151" i="1" s="1"/>
  <c r="I125" i="1" s="1"/>
  <c r="J203" i="1"/>
  <c r="J177" i="1" s="1"/>
  <c r="J151" i="1" s="1"/>
  <c r="J125" i="1" s="1"/>
  <c r="K203" i="1"/>
  <c r="K177" i="1" s="1"/>
  <c r="K151" i="1" s="1"/>
  <c r="K125" i="1" s="1"/>
  <c r="M203" i="1"/>
  <c r="M177" i="1" s="1"/>
  <c r="M151" i="1" s="1"/>
  <c r="M125" i="1" s="1"/>
  <c r="N203" i="1"/>
  <c r="N177" i="1" s="1"/>
  <c r="N151" i="1" s="1"/>
  <c r="N125" i="1" s="1"/>
  <c r="Q203" i="1"/>
  <c r="Q177" i="1" s="1"/>
  <c r="Q151" i="1" s="1"/>
  <c r="Q125" i="1" s="1"/>
  <c r="R203" i="1"/>
  <c r="R177" i="1" s="1"/>
  <c r="R151" i="1" s="1"/>
  <c r="R125" i="1" s="1"/>
  <c r="S203" i="1"/>
  <c r="S177" i="1" s="1"/>
  <c r="S151" i="1" s="1"/>
  <c r="S125" i="1" s="1"/>
  <c r="U203" i="1"/>
  <c r="U177" i="1" s="1"/>
  <c r="U151" i="1" s="1"/>
  <c r="U125" i="1" s="1"/>
  <c r="V203" i="1"/>
  <c r="V177" i="1" s="1"/>
  <c r="V151" i="1" s="1"/>
  <c r="V125" i="1" s="1"/>
  <c r="W203" i="1"/>
  <c r="W177" i="1" s="1"/>
  <c r="W151" i="1" s="1"/>
  <c r="W125" i="1" s="1"/>
  <c r="D204" i="1"/>
  <c r="D178" i="1" s="1"/>
  <c r="D152" i="1" s="1"/>
  <c r="D126" i="1" s="1"/>
  <c r="F204" i="1"/>
  <c r="F178" i="1" s="1"/>
  <c r="F152" i="1" s="1"/>
  <c r="F126" i="1" s="1"/>
  <c r="H204" i="1"/>
  <c r="H178" i="1" s="1"/>
  <c r="H152" i="1" s="1"/>
  <c r="H126" i="1" s="1"/>
  <c r="I204" i="1"/>
  <c r="I178" i="1" s="1"/>
  <c r="I152" i="1" s="1"/>
  <c r="I126" i="1" s="1"/>
  <c r="J204" i="1"/>
  <c r="J178" i="1" s="1"/>
  <c r="J152" i="1" s="1"/>
  <c r="J126" i="1" s="1"/>
  <c r="L204" i="1"/>
  <c r="L178" i="1" s="1"/>
  <c r="L152" i="1" s="1"/>
  <c r="L126" i="1" s="1"/>
  <c r="M204" i="1"/>
  <c r="M178" i="1" s="1"/>
  <c r="M152" i="1" s="1"/>
  <c r="M126" i="1" s="1"/>
  <c r="N204" i="1"/>
  <c r="N178" i="1" s="1"/>
  <c r="N152" i="1" s="1"/>
  <c r="N126" i="1" s="1"/>
  <c r="P204" i="1"/>
  <c r="P178" i="1" s="1"/>
  <c r="P152" i="1" s="1"/>
  <c r="P126" i="1" s="1"/>
  <c r="Q204" i="1"/>
  <c r="Q178" i="1" s="1"/>
  <c r="Q152" i="1" s="1"/>
  <c r="Q126" i="1" s="1"/>
  <c r="R204" i="1"/>
  <c r="R178" i="1" s="1"/>
  <c r="R152" i="1" s="1"/>
  <c r="R126" i="1" s="1"/>
  <c r="T204" i="1"/>
  <c r="T178" i="1" s="1"/>
  <c r="T152" i="1" s="1"/>
  <c r="T126" i="1" s="1"/>
  <c r="U204" i="1"/>
  <c r="U178" i="1" s="1"/>
  <c r="U152" i="1" s="1"/>
  <c r="U126" i="1" s="1"/>
  <c r="V204" i="1"/>
  <c r="V178" i="1" s="1"/>
  <c r="V152" i="1" s="1"/>
  <c r="V126" i="1" s="1"/>
  <c r="X204" i="1"/>
  <c r="X178" i="1" s="1"/>
  <c r="X152" i="1" s="1"/>
  <c r="X126" i="1" s="1"/>
  <c r="D205" i="1"/>
  <c r="D179" i="1" s="1"/>
  <c r="D153" i="1" s="1"/>
  <c r="D127" i="1" s="1"/>
  <c r="E205" i="1"/>
  <c r="E179" i="1" s="1"/>
  <c r="E153" i="1" s="1"/>
  <c r="E127" i="1" s="1"/>
  <c r="G205" i="1"/>
  <c r="G179" i="1" s="1"/>
  <c r="G153" i="1" s="1"/>
  <c r="G127" i="1" s="1"/>
  <c r="H205" i="1"/>
  <c r="H179" i="1" s="1"/>
  <c r="H153" i="1" s="1"/>
  <c r="H127" i="1" s="1"/>
  <c r="I205" i="1"/>
  <c r="I179" i="1" s="1"/>
  <c r="I153" i="1" s="1"/>
  <c r="I127" i="1" s="1"/>
  <c r="K205" i="1"/>
  <c r="K179" i="1" s="1"/>
  <c r="K153" i="1" s="1"/>
  <c r="K127" i="1" s="1"/>
  <c r="L205" i="1"/>
  <c r="L179" i="1" s="1"/>
  <c r="L153" i="1" s="1"/>
  <c r="L127" i="1" s="1"/>
  <c r="M205" i="1"/>
  <c r="M179" i="1" s="1"/>
  <c r="M153" i="1" s="1"/>
  <c r="M127" i="1" s="1"/>
  <c r="O205" i="1"/>
  <c r="O179" i="1" s="1"/>
  <c r="O153" i="1" s="1"/>
  <c r="O127" i="1" s="1"/>
  <c r="P205" i="1"/>
  <c r="P179" i="1" s="1"/>
  <c r="P153" i="1" s="1"/>
  <c r="P127" i="1" s="1"/>
  <c r="Q205" i="1"/>
  <c r="Q179" i="1" s="1"/>
  <c r="Q153" i="1" s="1"/>
  <c r="Q127" i="1" s="1"/>
  <c r="S205" i="1"/>
  <c r="S179" i="1" s="1"/>
  <c r="S153" i="1" s="1"/>
  <c r="S127" i="1" s="1"/>
  <c r="T205" i="1"/>
  <c r="T179" i="1" s="1"/>
  <c r="T153" i="1" s="1"/>
  <c r="T127" i="1" s="1"/>
  <c r="U205" i="1"/>
  <c r="U179" i="1" s="1"/>
  <c r="U153" i="1" s="1"/>
  <c r="U127" i="1" s="1"/>
  <c r="W205" i="1"/>
  <c r="W179" i="1" s="1"/>
  <c r="W153" i="1" s="1"/>
  <c r="W127" i="1" s="1"/>
  <c r="X205" i="1"/>
  <c r="X179" i="1" s="1"/>
  <c r="X153" i="1" s="1"/>
  <c r="X127" i="1" s="1"/>
  <c r="D206" i="1"/>
  <c r="D180" i="1" s="1"/>
  <c r="D154" i="1" s="1"/>
  <c r="D128" i="1" s="1"/>
  <c r="F206" i="1"/>
  <c r="F180" i="1" s="1"/>
  <c r="F154" i="1" s="1"/>
  <c r="F128" i="1" s="1"/>
  <c r="G206" i="1"/>
  <c r="G180" i="1" s="1"/>
  <c r="G154" i="1" s="1"/>
  <c r="G128" i="1" s="1"/>
  <c r="H206" i="1"/>
  <c r="H180" i="1" s="1"/>
  <c r="H154" i="1" s="1"/>
  <c r="H128" i="1" s="1"/>
  <c r="J206" i="1"/>
  <c r="J180" i="1" s="1"/>
  <c r="J154" i="1" s="1"/>
  <c r="J128" i="1" s="1"/>
  <c r="K206" i="1"/>
  <c r="K180" i="1" s="1"/>
  <c r="K154" i="1" s="1"/>
  <c r="K128" i="1" s="1"/>
  <c r="L206" i="1"/>
  <c r="L180" i="1" s="1"/>
  <c r="L154" i="1" s="1"/>
  <c r="L128" i="1" s="1"/>
  <c r="M206" i="1"/>
  <c r="M180" i="1" s="1"/>
  <c r="M154" i="1" s="1"/>
  <c r="M128" i="1" s="1"/>
  <c r="N206" i="1"/>
  <c r="N180" i="1" s="1"/>
  <c r="N154" i="1" s="1"/>
  <c r="N128" i="1" s="1"/>
  <c r="O206" i="1"/>
  <c r="O180" i="1" s="1"/>
  <c r="O154" i="1" s="1"/>
  <c r="O128" i="1" s="1"/>
  <c r="P206" i="1"/>
  <c r="P180" i="1" s="1"/>
  <c r="P154" i="1" s="1"/>
  <c r="P128" i="1" s="1"/>
  <c r="Q206" i="1"/>
  <c r="Q180" i="1" s="1"/>
  <c r="Q154" i="1" s="1"/>
  <c r="Q128" i="1" s="1"/>
  <c r="R206" i="1"/>
  <c r="R180" i="1" s="1"/>
  <c r="R154" i="1" s="1"/>
  <c r="R128" i="1" s="1"/>
  <c r="S206" i="1"/>
  <c r="S180" i="1" s="1"/>
  <c r="S154" i="1" s="1"/>
  <c r="S128" i="1" s="1"/>
  <c r="T206" i="1"/>
  <c r="T180" i="1" s="1"/>
  <c r="T154" i="1" s="1"/>
  <c r="T128" i="1" s="1"/>
  <c r="U206" i="1"/>
  <c r="U180" i="1" s="1"/>
  <c r="U154" i="1" s="1"/>
  <c r="U128" i="1" s="1"/>
  <c r="V206" i="1"/>
  <c r="V180" i="1" s="1"/>
  <c r="V154" i="1" s="1"/>
  <c r="V128" i="1" s="1"/>
  <c r="W206" i="1"/>
  <c r="W180" i="1" s="1"/>
  <c r="W154" i="1" s="1"/>
  <c r="W128" i="1" s="1"/>
  <c r="X206" i="1"/>
  <c r="X180" i="1" s="1"/>
  <c r="X154" i="1" s="1"/>
  <c r="X128" i="1" s="1"/>
  <c r="D207" i="1"/>
  <c r="D181" i="1" s="1"/>
  <c r="D155" i="1" s="1"/>
  <c r="D129" i="1" s="1"/>
  <c r="E207" i="1"/>
  <c r="E181" i="1" s="1"/>
  <c r="E155" i="1" s="1"/>
  <c r="E129" i="1" s="1"/>
  <c r="F207" i="1"/>
  <c r="F181" i="1" s="1"/>
  <c r="F155" i="1" s="1"/>
  <c r="F129" i="1" s="1"/>
  <c r="G207" i="1"/>
  <c r="G181" i="1" s="1"/>
  <c r="G155" i="1" s="1"/>
  <c r="G129" i="1" s="1"/>
  <c r="H207" i="1"/>
  <c r="H181" i="1" s="1"/>
  <c r="H155" i="1" s="1"/>
  <c r="H129" i="1" s="1"/>
  <c r="I207" i="1"/>
  <c r="I181" i="1" s="1"/>
  <c r="I155" i="1" s="1"/>
  <c r="I129" i="1" s="1"/>
  <c r="J207" i="1"/>
  <c r="J181" i="1" s="1"/>
  <c r="J155" i="1" s="1"/>
  <c r="J129" i="1" s="1"/>
  <c r="K207" i="1"/>
  <c r="K181" i="1" s="1"/>
  <c r="K155" i="1" s="1"/>
  <c r="K129" i="1" s="1"/>
  <c r="L207" i="1"/>
  <c r="L181" i="1" s="1"/>
  <c r="L155" i="1" s="1"/>
  <c r="L129" i="1" s="1"/>
  <c r="M207" i="1"/>
  <c r="M181" i="1" s="1"/>
  <c r="M155" i="1" s="1"/>
  <c r="M129" i="1" s="1"/>
  <c r="N207" i="1"/>
  <c r="N181" i="1" s="1"/>
  <c r="N155" i="1" s="1"/>
  <c r="N129" i="1" s="1"/>
  <c r="O207" i="1"/>
  <c r="O181" i="1" s="1"/>
  <c r="O155" i="1" s="1"/>
  <c r="O129" i="1" s="1"/>
  <c r="P207" i="1"/>
  <c r="P181" i="1" s="1"/>
  <c r="P155" i="1" s="1"/>
  <c r="P129" i="1" s="1"/>
  <c r="Q207" i="1"/>
  <c r="Q181" i="1" s="1"/>
  <c r="Q155" i="1" s="1"/>
  <c r="Q129" i="1" s="1"/>
  <c r="R207" i="1"/>
  <c r="R181" i="1" s="1"/>
  <c r="R155" i="1" s="1"/>
  <c r="R129" i="1" s="1"/>
  <c r="S207" i="1"/>
  <c r="S181" i="1" s="1"/>
  <c r="S155" i="1" s="1"/>
  <c r="S129" i="1" s="1"/>
  <c r="T207" i="1"/>
  <c r="T181" i="1" s="1"/>
  <c r="T155" i="1" s="1"/>
  <c r="T129" i="1" s="1"/>
  <c r="U207" i="1"/>
  <c r="U181" i="1" s="1"/>
  <c r="U155" i="1" s="1"/>
  <c r="U129" i="1" s="1"/>
  <c r="V207" i="1"/>
  <c r="V181" i="1" s="1"/>
  <c r="V155" i="1" s="1"/>
  <c r="V129" i="1" s="1"/>
  <c r="W207" i="1"/>
  <c r="W181" i="1" s="1"/>
  <c r="W155" i="1" s="1"/>
  <c r="W129" i="1" s="1"/>
  <c r="X207" i="1"/>
  <c r="X181" i="1" s="1"/>
  <c r="X155" i="1" s="1"/>
  <c r="X129" i="1" s="1"/>
  <c r="J188" i="1"/>
  <c r="J162" i="1" s="1"/>
  <c r="J136" i="1" s="1"/>
  <c r="J110" i="1" s="1"/>
  <c r="F188" i="1"/>
  <c r="F162" i="1" s="1"/>
  <c r="F136" i="1" s="1"/>
  <c r="F110" i="1" s="1"/>
  <c r="G188" i="1"/>
  <c r="G162" i="1" s="1"/>
  <c r="G136" i="1" s="1"/>
  <c r="G110" i="1" s="1"/>
  <c r="H188" i="1"/>
  <c r="H162" i="1" s="1"/>
  <c r="H136" i="1" s="1"/>
  <c r="H110" i="1" s="1"/>
  <c r="I188" i="1"/>
  <c r="I162" i="1" s="1"/>
  <c r="I136" i="1" s="1"/>
  <c r="I110" i="1" s="1"/>
  <c r="K188" i="1"/>
  <c r="K162" i="1" s="1"/>
  <c r="K136" i="1" s="1"/>
  <c r="K110" i="1" s="1"/>
  <c r="L188" i="1"/>
  <c r="L162" i="1" s="1"/>
  <c r="L136" i="1" s="1"/>
  <c r="L110" i="1" s="1"/>
  <c r="M188" i="1"/>
  <c r="M162" i="1" s="1"/>
  <c r="M136" i="1" s="1"/>
  <c r="M110" i="1" s="1"/>
  <c r="N188" i="1"/>
  <c r="N162" i="1" s="1"/>
  <c r="N136" i="1" s="1"/>
  <c r="N110" i="1" s="1"/>
  <c r="O188" i="1"/>
  <c r="O162" i="1" s="1"/>
  <c r="O136" i="1" s="1"/>
  <c r="O110" i="1" s="1"/>
  <c r="P188" i="1"/>
  <c r="P162" i="1" s="1"/>
  <c r="P136" i="1" s="1"/>
  <c r="P110" i="1" s="1"/>
  <c r="Q188" i="1"/>
  <c r="Q162" i="1" s="1"/>
  <c r="Q136" i="1" s="1"/>
  <c r="Q110" i="1" s="1"/>
  <c r="R188" i="1"/>
  <c r="R162" i="1" s="1"/>
  <c r="R136" i="1" s="1"/>
  <c r="R110" i="1" s="1"/>
  <c r="S188" i="1"/>
  <c r="S162" i="1" s="1"/>
  <c r="S136" i="1" s="1"/>
  <c r="S110" i="1" s="1"/>
  <c r="T188" i="1"/>
  <c r="T162" i="1" s="1"/>
  <c r="T136" i="1" s="1"/>
  <c r="T110" i="1" s="1"/>
  <c r="U188" i="1"/>
  <c r="U162" i="1" s="1"/>
  <c r="U136" i="1" s="1"/>
  <c r="U110" i="1" s="1"/>
  <c r="V188" i="1"/>
  <c r="V162" i="1" s="1"/>
  <c r="V136" i="1" s="1"/>
  <c r="V110" i="1" s="1"/>
  <c r="W188" i="1"/>
  <c r="W162" i="1" s="1"/>
  <c r="W136" i="1" s="1"/>
  <c r="W110" i="1" s="1"/>
  <c r="X188" i="1"/>
  <c r="X162" i="1" s="1"/>
  <c r="X136" i="1" s="1"/>
  <c r="X110" i="1" s="1"/>
  <c r="E188" i="1"/>
  <c r="E162" i="1" s="1"/>
  <c r="E136" i="1" s="1"/>
  <c r="E110" i="1" s="1"/>
  <c r="D188" i="1"/>
  <c r="D162" i="1" s="1"/>
  <c r="D136" i="1" s="1"/>
  <c r="D110" i="1" s="1"/>
  <c r="H187" i="1"/>
  <c r="H161" i="1" s="1"/>
  <c r="H135" i="1" s="1"/>
  <c r="H109" i="1" s="1"/>
  <c r="I187" i="1"/>
  <c r="I161" i="1" s="1"/>
  <c r="I135" i="1" s="1"/>
  <c r="I109" i="1" s="1"/>
  <c r="J187" i="1"/>
  <c r="J161" i="1" s="1"/>
  <c r="J135" i="1" s="1"/>
  <c r="J109" i="1" s="1"/>
  <c r="K187" i="1"/>
  <c r="K161" i="1" s="1"/>
  <c r="K135" i="1" s="1"/>
  <c r="K109" i="1" s="1"/>
  <c r="L187" i="1"/>
  <c r="L161" i="1" s="1"/>
  <c r="L135" i="1" s="1"/>
  <c r="L109" i="1" s="1"/>
  <c r="M187" i="1"/>
  <c r="M161" i="1" s="1"/>
  <c r="M135" i="1" s="1"/>
  <c r="M109" i="1" s="1"/>
  <c r="N187" i="1"/>
  <c r="N161" i="1" s="1"/>
  <c r="N135" i="1" s="1"/>
  <c r="N109" i="1" s="1"/>
  <c r="O187" i="1"/>
  <c r="O161" i="1" s="1"/>
  <c r="O135" i="1" s="1"/>
  <c r="O109" i="1" s="1"/>
  <c r="P187" i="1"/>
  <c r="P161" i="1" s="1"/>
  <c r="P135" i="1" s="1"/>
  <c r="P109" i="1" s="1"/>
  <c r="Q187" i="1"/>
  <c r="Q161" i="1" s="1"/>
  <c r="Q135" i="1" s="1"/>
  <c r="Q109" i="1" s="1"/>
  <c r="R187" i="1"/>
  <c r="R161" i="1" s="1"/>
  <c r="R135" i="1" s="1"/>
  <c r="R109" i="1" s="1"/>
  <c r="S187" i="1"/>
  <c r="S161" i="1" s="1"/>
  <c r="S135" i="1" s="1"/>
  <c r="S109" i="1" s="1"/>
  <c r="T187" i="1"/>
  <c r="T161" i="1" s="1"/>
  <c r="T135" i="1" s="1"/>
  <c r="T109" i="1" s="1"/>
  <c r="U187" i="1"/>
  <c r="U161" i="1" s="1"/>
  <c r="U135" i="1" s="1"/>
  <c r="U109" i="1" s="1"/>
  <c r="V187" i="1"/>
  <c r="V161" i="1" s="1"/>
  <c r="V135" i="1" s="1"/>
  <c r="V109" i="1" s="1"/>
  <c r="W187" i="1"/>
  <c r="W161" i="1" s="1"/>
  <c r="W135" i="1" s="1"/>
  <c r="W109" i="1" s="1"/>
  <c r="X187" i="1"/>
  <c r="X161" i="1" s="1"/>
  <c r="X135" i="1" s="1"/>
  <c r="X109" i="1" s="1"/>
  <c r="G187" i="1"/>
  <c r="G161" i="1" s="1"/>
  <c r="G135" i="1" s="1"/>
  <c r="G109" i="1" s="1"/>
  <c r="E187" i="1"/>
  <c r="E161" i="1" s="1"/>
  <c r="E135" i="1" s="1"/>
  <c r="E109" i="1" s="1"/>
  <c r="F187" i="1"/>
  <c r="F161" i="1" s="1"/>
  <c r="F135" i="1" s="1"/>
  <c r="F109" i="1" s="1"/>
  <c r="BG12" i="1"/>
  <c r="BG11" i="1"/>
  <c r="BG10" i="1"/>
  <c r="BG9" i="1"/>
  <c r="BG8" i="1"/>
  <c r="BG7" i="1"/>
  <c r="BG6" i="1"/>
  <c r="BG5" i="1"/>
  <c r="AZ12" i="1"/>
  <c r="AZ11" i="1"/>
  <c r="AZ10" i="1"/>
  <c r="AZ9" i="1"/>
  <c r="AZ8" i="1"/>
  <c r="AZ7" i="1"/>
  <c r="AZ6" i="1"/>
  <c r="AZ5" i="1"/>
  <c r="AS12" i="1"/>
  <c r="AS11" i="1"/>
  <c r="AS10" i="1"/>
  <c r="AS9" i="1"/>
  <c r="AS8" i="1"/>
  <c r="AS7" i="1"/>
  <c r="AS6" i="1"/>
  <c r="AS5" i="1"/>
  <c r="AL6" i="1"/>
  <c r="AL7" i="1"/>
  <c r="AL8" i="1"/>
  <c r="AL9" i="1"/>
  <c r="AL10" i="1"/>
  <c r="AL11" i="1"/>
  <c r="AL12" i="1"/>
  <c r="AL5" i="1"/>
  <c r="BE6" i="1"/>
  <c r="BE7" i="1"/>
  <c r="BE8" i="1"/>
  <c r="BE9" i="1"/>
  <c r="BE10" i="1"/>
  <c r="BE11" i="1"/>
  <c r="BE12" i="1"/>
  <c r="BE5" i="1"/>
  <c r="D98" i="1" l="1"/>
  <c r="D103" i="1"/>
  <c r="D102" i="1"/>
  <c r="D101" i="1"/>
  <c r="D100" i="1"/>
  <c r="I201" i="1"/>
  <c r="I175" i="1" s="1"/>
  <c r="I149" i="1" s="1"/>
  <c r="I123" i="1" s="1"/>
  <c r="T200" i="1"/>
  <c r="T174" i="1" s="1"/>
  <c r="T148" i="1" s="1"/>
  <c r="T122" i="1" s="1"/>
  <c r="X199" i="1"/>
  <c r="X173" i="1" s="1"/>
  <c r="X147" i="1" s="1"/>
  <c r="X121" i="1" s="1"/>
  <c r="G199" i="1"/>
  <c r="G173" i="1" s="1"/>
  <c r="G147" i="1" s="1"/>
  <c r="G121" i="1" s="1"/>
  <c r="L198" i="1"/>
  <c r="L172" i="1" s="1"/>
  <c r="L146" i="1" s="1"/>
  <c r="L120" i="1" s="1"/>
  <c r="P197" i="1"/>
  <c r="P171" i="1" s="1"/>
  <c r="P145" i="1" s="1"/>
  <c r="P119" i="1" s="1"/>
  <c r="R196" i="1"/>
  <c r="R170" i="1" s="1"/>
  <c r="R144" i="1" s="1"/>
  <c r="R118" i="1" s="1"/>
  <c r="W195" i="1"/>
  <c r="W169" i="1" s="1"/>
  <c r="W143" i="1" s="1"/>
  <c r="W117" i="1" s="1"/>
  <c r="D195" i="1"/>
  <c r="D169" i="1" s="1"/>
  <c r="D143" i="1" s="1"/>
  <c r="D117" i="1" s="1"/>
  <c r="X193" i="1"/>
  <c r="X167" i="1" s="1"/>
  <c r="X141" i="1" s="1"/>
  <c r="X115" i="1" s="1"/>
  <c r="U192" i="1"/>
  <c r="U166" i="1" s="1"/>
  <c r="U140" i="1" s="1"/>
  <c r="U114" i="1" s="1"/>
  <c r="R191" i="1"/>
  <c r="R165" i="1" s="1"/>
  <c r="R139" i="1" s="1"/>
  <c r="R113" i="1" s="1"/>
  <c r="M190" i="1"/>
  <c r="M164" i="1" s="1"/>
  <c r="M138" i="1" s="1"/>
  <c r="M112" i="1" s="1"/>
  <c r="F189" i="1"/>
  <c r="F163" i="1" s="1"/>
  <c r="F137" i="1" s="1"/>
  <c r="F111" i="1" s="1"/>
  <c r="P191" i="1"/>
  <c r="P165" i="1" s="1"/>
  <c r="P139" i="1" s="1"/>
  <c r="P113" i="1" s="1"/>
  <c r="L190" i="1"/>
  <c r="L164" i="1" s="1"/>
  <c r="L138" i="1" s="1"/>
  <c r="L112" i="1" s="1"/>
  <c r="G190" i="1"/>
  <c r="G164" i="1" s="1"/>
  <c r="G138" i="1" s="1"/>
  <c r="G112" i="1" s="1"/>
  <c r="F203" i="1"/>
  <c r="F177" i="1" s="1"/>
  <c r="F151" i="1" s="1"/>
  <c r="F125" i="1" s="1"/>
  <c r="P202" i="1"/>
  <c r="P176" i="1" s="1"/>
  <c r="P150" i="1" s="1"/>
  <c r="P124" i="1" s="1"/>
  <c r="F202" i="1"/>
  <c r="F176" i="1" s="1"/>
  <c r="F150" i="1" s="1"/>
  <c r="F124" i="1" s="1"/>
  <c r="P201" i="1"/>
  <c r="P175" i="1" s="1"/>
  <c r="P149" i="1" s="1"/>
  <c r="P123" i="1" s="1"/>
  <c r="E201" i="1"/>
  <c r="E175" i="1" s="1"/>
  <c r="E149" i="1" s="1"/>
  <c r="E123" i="1" s="1"/>
  <c r="N200" i="1"/>
  <c r="N174" i="1" s="1"/>
  <c r="N148" i="1" s="1"/>
  <c r="N122" i="1" s="1"/>
  <c r="R199" i="1"/>
  <c r="R173" i="1" s="1"/>
  <c r="R147" i="1" s="1"/>
  <c r="R121" i="1" s="1"/>
  <c r="U198" i="1"/>
  <c r="U172" i="1" s="1"/>
  <c r="U146" i="1" s="1"/>
  <c r="U120" i="1" s="1"/>
  <c r="E198" i="1"/>
  <c r="E172" i="1" s="1"/>
  <c r="E146" i="1" s="1"/>
  <c r="E120" i="1" s="1"/>
  <c r="I197" i="1"/>
  <c r="I171" i="1" s="1"/>
  <c r="I145" i="1" s="1"/>
  <c r="I119" i="1" s="1"/>
  <c r="M196" i="1"/>
  <c r="M170" i="1" s="1"/>
  <c r="M144" i="1" s="1"/>
  <c r="M118" i="1" s="1"/>
  <c r="R195" i="1"/>
  <c r="R169" i="1" s="1"/>
  <c r="R143" i="1" s="1"/>
  <c r="R117" i="1" s="1"/>
  <c r="Q194" i="1"/>
  <c r="Q168" i="1" s="1"/>
  <c r="Q142" i="1" s="1"/>
  <c r="Q116" i="1" s="1"/>
  <c r="P193" i="1"/>
  <c r="P167" i="1" s="1"/>
  <c r="P141" i="1" s="1"/>
  <c r="P115" i="1" s="1"/>
  <c r="M192" i="1"/>
  <c r="M166" i="1" s="1"/>
  <c r="M140" i="1" s="1"/>
  <c r="M114" i="1" s="1"/>
  <c r="H191" i="1"/>
  <c r="H165" i="1" s="1"/>
  <c r="H139" i="1" s="1"/>
  <c r="H113" i="1" s="1"/>
  <c r="E190" i="1"/>
  <c r="E164" i="1" s="1"/>
  <c r="E138" i="1" s="1"/>
  <c r="E112" i="1" s="1"/>
  <c r="I189" i="1"/>
  <c r="I163" i="1" s="1"/>
  <c r="I137" i="1" s="1"/>
  <c r="I111" i="1" s="1"/>
  <c r="E204" i="1"/>
  <c r="E178" i="1" s="1"/>
  <c r="E152" i="1" s="1"/>
  <c r="E126" i="1" s="1"/>
  <c r="O203" i="1"/>
  <c r="O177" i="1" s="1"/>
  <c r="O151" i="1" s="1"/>
  <c r="O125" i="1" s="1"/>
  <c r="E203" i="1"/>
  <c r="E177" i="1" s="1"/>
  <c r="E151" i="1" s="1"/>
  <c r="E125" i="1" s="1"/>
  <c r="O202" i="1"/>
  <c r="O176" i="1" s="1"/>
  <c r="O150" i="1" s="1"/>
  <c r="O124" i="1" s="1"/>
  <c r="D202" i="1"/>
  <c r="D176" i="1" s="1"/>
  <c r="D150" i="1" s="1"/>
  <c r="D124" i="1" s="1"/>
  <c r="O201" i="1"/>
  <c r="O175" i="1" s="1"/>
  <c r="O149" i="1" s="1"/>
  <c r="O123" i="1" s="1"/>
  <c r="D201" i="1"/>
  <c r="D175" i="1" s="1"/>
  <c r="D149" i="1" s="1"/>
  <c r="D123" i="1" s="1"/>
  <c r="K200" i="1"/>
  <c r="K174" i="1" s="1"/>
  <c r="K148" i="1" s="1"/>
  <c r="K122" i="1" s="1"/>
  <c r="P199" i="1"/>
  <c r="P173" i="1" s="1"/>
  <c r="P147" i="1" s="1"/>
  <c r="P121" i="1" s="1"/>
  <c r="T198" i="1"/>
  <c r="T172" i="1" s="1"/>
  <c r="T146" i="1" s="1"/>
  <c r="T120" i="1" s="1"/>
  <c r="X197" i="1"/>
  <c r="X171" i="1" s="1"/>
  <c r="X145" i="1" s="1"/>
  <c r="X119" i="1" s="1"/>
  <c r="H197" i="1"/>
  <c r="H171" i="1" s="1"/>
  <c r="H145" i="1" s="1"/>
  <c r="H119" i="1" s="1"/>
  <c r="J196" i="1"/>
  <c r="J170" i="1" s="1"/>
  <c r="J144" i="1" s="1"/>
  <c r="J118" i="1" s="1"/>
  <c r="N195" i="1"/>
  <c r="N169" i="1" s="1"/>
  <c r="N143" i="1" s="1"/>
  <c r="N117" i="1" s="1"/>
  <c r="P194" i="1"/>
  <c r="P168" i="1" s="1"/>
  <c r="P142" i="1" s="1"/>
  <c r="P116" i="1" s="1"/>
  <c r="N193" i="1"/>
  <c r="N167" i="1" s="1"/>
  <c r="N141" i="1" s="1"/>
  <c r="N115" i="1" s="1"/>
  <c r="K192" i="1"/>
  <c r="K166" i="1" s="1"/>
  <c r="K140" i="1" s="1"/>
  <c r="K114" i="1" s="1"/>
  <c r="G191" i="1"/>
  <c r="G165" i="1" s="1"/>
  <c r="G139" i="1" s="1"/>
  <c r="G113" i="1" s="1"/>
  <c r="L189" i="1"/>
  <c r="L163" i="1" s="1"/>
  <c r="L137" i="1" s="1"/>
  <c r="L111" i="1" s="1"/>
  <c r="U189" i="1"/>
  <c r="U163" i="1" s="1"/>
  <c r="U137" i="1" s="1"/>
  <c r="U111" i="1" s="1"/>
  <c r="I206" i="1"/>
  <c r="I180" i="1" s="1"/>
  <c r="I154" i="1" s="1"/>
  <c r="I128" i="1" s="1"/>
  <c r="V205" i="1"/>
  <c r="V179" i="1" s="1"/>
  <c r="V153" i="1" s="1"/>
  <c r="V127" i="1" s="1"/>
  <c r="N205" i="1"/>
  <c r="N179" i="1" s="1"/>
  <c r="N153" i="1" s="1"/>
  <c r="N127" i="1" s="1"/>
  <c r="F205" i="1"/>
  <c r="F179" i="1" s="1"/>
  <c r="F153" i="1" s="1"/>
  <c r="F127" i="1" s="1"/>
  <c r="S204" i="1"/>
  <c r="S178" i="1" s="1"/>
  <c r="S152" i="1" s="1"/>
  <c r="S126" i="1" s="1"/>
  <c r="K204" i="1"/>
  <c r="K178" i="1" s="1"/>
  <c r="K152" i="1" s="1"/>
  <c r="K126" i="1" s="1"/>
  <c r="X203" i="1"/>
  <c r="X177" i="1" s="1"/>
  <c r="X151" i="1" s="1"/>
  <c r="X125" i="1" s="1"/>
  <c r="P203" i="1"/>
  <c r="P177" i="1" s="1"/>
  <c r="P151" i="1" s="1"/>
  <c r="P125" i="1" s="1"/>
  <c r="H203" i="1"/>
  <c r="H177" i="1" s="1"/>
  <c r="H151" i="1" s="1"/>
  <c r="H125" i="1" s="1"/>
  <c r="U202" i="1"/>
  <c r="U176" i="1" s="1"/>
  <c r="U150" i="1" s="1"/>
  <c r="U124" i="1" s="1"/>
  <c r="M202" i="1"/>
  <c r="M176" i="1" s="1"/>
  <c r="M150" i="1" s="1"/>
  <c r="M124" i="1" s="1"/>
  <c r="E202" i="1"/>
  <c r="E176" i="1" s="1"/>
  <c r="E150" i="1" s="1"/>
  <c r="E124" i="1" s="1"/>
  <c r="R201" i="1"/>
  <c r="R175" i="1" s="1"/>
  <c r="R149" i="1" s="1"/>
  <c r="R123" i="1" s="1"/>
  <c r="J201" i="1"/>
  <c r="J175" i="1" s="1"/>
  <c r="J149" i="1" s="1"/>
  <c r="J123" i="1" s="1"/>
  <c r="W200" i="1"/>
  <c r="W174" i="1" s="1"/>
  <c r="W148" i="1" s="1"/>
  <c r="W122" i="1" s="1"/>
  <c r="M200" i="1"/>
  <c r="M174" i="1" s="1"/>
  <c r="M148" i="1" s="1"/>
  <c r="M122" i="1" s="1"/>
  <c r="V199" i="1"/>
  <c r="V173" i="1" s="1"/>
  <c r="V147" i="1" s="1"/>
  <c r="V121" i="1" s="1"/>
  <c r="H199" i="1"/>
  <c r="H173" i="1" s="1"/>
  <c r="H147" i="1" s="1"/>
  <c r="H121" i="1" s="1"/>
  <c r="P198" i="1"/>
  <c r="P172" i="1" s="1"/>
  <c r="P146" i="1" s="1"/>
  <c r="P120" i="1" s="1"/>
  <c r="D198" i="1"/>
  <c r="D172" i="1" s="1"/>
  <c r="D146" i="1" s="1"/>
  <c r="D120" i="1" s="1"/>
  <c r="L197" i="1"/>
  <c r="L171" i="1" s="1"/>
  <c r="L145" i="1" s="1"/>
  <c r="L119" i="1" s="1"/>
  <c r="U196" i="1"/>
  <c r="U170" i="1" s="1"/>
  <c r="U144" i="1" s="1"/>
  <c r="U118" i="1" s="1"/>
  <c r="G196" i="1"/>
  <c r="G170" i="1" s="1"/>
  <c r="G144" i="1" s="1"/>
  <c r="G118" i="1" s="1"/>
  <c r="O195" i="1"/>
  <c r="O169" i="1" s="1"/>
  <c r="O143" i="1" s="1"/>
  <c r="O117" i="1" s="1"/>
  <c r="T194" i="1"/>
  <c r="T168" i="1" s="1"/>
  <c r="T142" i="1" s="1"/>
  <c r="T116" i="1" s="1"/>
  <c r="D194" i="1"/>
  <c r="D168" i="1" s="1"/>
  <c r="D142" i="1" s="1"/>
  <c r="D116" i="1" s="1"/>
  <c r="I193" i="1"/>
  <c r="I167" i="1" s="1"/>
  <c r="I141" i="1" s="1"/>
  <c r="I115" i="1" s="1"/>
  <c r="N192" i="1"/>
  <c r="N166" i="1" s="1"/>
  <c r="N140" i="1" s="1"/>
  <c r="N114" i="1" s="1"/>
  <c r="S191" i="1"/>
  <c r="S165" i="1" s="1"/>
  <c r="S139" i="1" s="1"/>
  <c r="S113" i="1" s="1"/>
  <c r="X190" i="1"/>
  <c r="X164" i="1" s="1"/>
  <c r="X138" i="1" s="1"/>
  <c r="X112" i="1" s="1"/>
  <c r="H190" i="1"/>
  <c r="H164" i="1" s="1"/>
  <c r="H138" i="1" s="1"/>
  <c r="H112" i="1" s="1"/>
  <c r="K189" i="1"/>
  <c r="K163" i="1" s="1"/>
  <c r="K137" i="1" s="1"/>
  <c r="K111" i="1" s="1"/>
  <c r="E193" i="1"/>
  <c r="E167" i="1" s="1"/>
  <c r="E141" i="1" s="1"/>
  <c r="E115" i="1" s="1"/>
  <c r="J192" i="1"/>
  <c r="J166" i="1" s="1"/>
  <c r="J140" i="1" s="1"/>
  <c r="J114" i="1" s="1"/>
  <c r="O191" i="1"/>
  <c r="O165" i="1" s="1"/>
  <c r="O139" i="1" s="1"/>
  <c r="O113" i="1" s="1"/>
  <c r="T190" i="1"/>
  <c r="T164" i="1" s="1"/>
  <c r="T138" i="1" s="1"/>
  <c r="T112" i="1" s="1"/>
  <c r="D190" i="1"/>
  <c r="D164" i="1" s="1"/>
  <c r="D138" i="1" s="1"/>
  <c r="D112" i="1" s="1"/>
  <c r="E206" i="1"/>
  <c r="E180" i="1" s="1"/>
  <c r="E154" i="1" s="1"/>
  <c r="E128" i="1" s="1"/>
  <c r="R205" i="1"/>
  <c r="R179" i="1" s="1"/>
  <c r="R153" i="1" s="1"/>
  <c r="R127" i="1" s="1"/>
  <c r="J205" i="1"/>
  <c r="J179" i="1" s="1"/>
  <c r="J153" i="1" s="1"/>
  <c r="J127" i="1" s="1"/>
  <c r="W204" i="1"/>
  <c r="W178" i="1" s="1"/>
  <c r="W152" i="1" s="1"/>
  <c r="W126" i="1" s="1"/>
  <c r="O204" i="1"/>
  <c r="O178" i="1" s="1"/>
  <c r="O152" i="1" s="1"/>
  <c r="O126" i="1" s="1"/>
  <c r="G204" i="1"/>
  <c r="G178" i="1" s="1"/>
  <c r="G152" i="1" s="1"/>
  <c r="G126" i="1" s="1"/>
  <c r="T203" i="1"/>
  <c r="T177" i="1" s="1"/>
  <c r="T151" i="1" s="1"/>
  <c r="T125" i="1" s="1"/>
  <c r="L203" i="1"/>
  <c r="L177" i="1" s="1"/>
  <c r="L151" i="1" s="1"/>
  <c r="L125" i="1" s="1"/>
  <c r="D203" i="1"/>
  <c r="D177" i="1" s="1"/>
  <c r="D151" i="1" s="1"/>
  <c r="D125" i="1" s="1"/>
  <c r="Q202" i="1"/>
  <c r="Q176" i="1" s="1"/>
  <c r="Q150" i="1" s="1"/>
  <c r="Q124" i="1" s="1"/>
  <c r="I202" i="1"/>
  <c r="I176" i="1" s="1"/>
  <c r="I150" i="1" s="1"/>
  <c r="I124" i="1" s="1"/>
  <c r="V201" i="1"/>
  <c r="V175" i="1" s="1"/>
  <c r="V149" i="1" s="1"/>
  <c r="V123" i="1" s="1"/>
  <c r="N201" i="1"/>
  <c r="N175" i="1" s="1"/>
  <c r="N149" i="1" s="1"/>
  <c r="N123" i="1" s="1"/>
  <c r="F201" i="1"/>
  <c r="F175" i="1" s="1"/>
  <c r="F149" i="1" s="1"/>
  <c r="F123" i="1" s="1"/>
  <c r="S200" i="1"/>
  <c r="S174" i="1" s="1"/>
  <c r="S148" i="1" s="1"/>
  <c r="S122" i="1" s="1"/>
  <c r="F200" i="1"/>
  <c r="F174" i="1" s="1"/>
  <c r="F148" i="1" s="1"/>
  <c r="F122" i="1" s="1"/>
  <c r="O199" i="1"/>
  <c r="O173" i="1" s="1"/>
  <c r="O147" i="1" s="1"/>
  <c r="O121" i="1" s="1"/>
  <c r="W198" i="1"/>
  <c r="W172" i="1" s="1"/>
  <c r="W146" i="1" s="1"/>
  <c r="W120" i="1" s="1"/>
  <c r="K198" i="1"/>
  <c r="K172" i="1" s="1"/>
  <c r="K146" i="1" s="1"/>
  <c r="K120" i="1" s="1"/>
  <c r="R197" i="1"/>
  <c r="R171" i="1" s="1"/>
  <c r="R145" i="1" s="1"/>
  <c r="R119" i="1" s="1"/>
  <c r="E197" i="1"/>
  <c r="E171" i="1" s="1"/>
  <c r="E145" i="1" s="1"/>
  <c r="E119" i="1" s="1"/>
  <c r="N196" i="1"/>
  <c r="N170" i="1" s="1"/>
  <c r="N144" i="1" s="1"/>
  <c r="N118" i="1" s="1"/>
  <c r="V195" i="1"/>
  <c r="V169" i="1" s="1"/>
  <c r="V143" i="1" s="1"/>
  <c r="V117" i="1" s="1"/>
  <c r="G195" i="1"/>
  <c r="G169" i="1" s="1"/>
  <c r="G143" i="1" s="1"/>
  <c r="G117" i="1" s="1"/>
  <c r="L194" i="1"/>
  <c r="L168" i="1" s="1"/>
  <c r="L142" i="1" s="1"/>
  <c r="L116" i="1" s="1"/>
  <c r="Q193" i="1"/>
  <c r="Q167" i="1" s="1"/>
  <c r="Q141" i="1" s="1"/>
  <c r="Q115" i="1" s="1"/>
  <c r="V192" i="1"/>
  <c r="V166" i="1" s="1"/>
  <c r="V140" i="1" s="1"/>
  <c r="V114" i="1" s="1"/>
  <c r="F192" i="1"/>
  <c r="F166" i="1" s="1"/>
  <c r="F140" i="1" s="1"/>
  <c r="F114" i="1" s="1"/>
  <c r="K191" i="1"/>
  <c r="K165" i="1" s="1"/>
  <c r="K139" i="1" s="1"/>
  <c r="K113" i="1" s="1"/>
  <c r="P190" i="1"/>
  <c r="P164" i="1" s="1"/>
  <c r="P138" i="1" s="1"/>
  <c r="P112" i="1" s="1"/>
  <c r="L200" i="1"/>
  <c r="L174" i="1" s="1"/>
  <c r="L148" i="1" s="1"/>
  <c r="L122" i="1" s="1"/>
  <c r="D200" i="1"/>
  <c r="D174" i="1" s="1"/>
  <c r="D148" i="1" s="1"/>
  <c r="D122" i="1" s="1"/>
  <c r="Q199" i="1"/>
  <c r="Q173" i="1" s="1"/>
  <c r="Q147" i="1" s="1"/>
  <c r="Q121" i="1" s="1"/>
  <c r="I199" i="1"/>
  <c r="I173" i="1" s="1"/>
  <c r="I147" i="1" s="1"/>
  <c r="I121" i="1" s="1"/>
  <c r="V198" i="1"/>
  <c r="V172" i="1" s="1"/>
  <c r="V146" i="1" s="1"/>
  <c r="V120" i="1" s="1"/>
  <c r="N198" i="1"/>
  <c r="N172" i="1" s="1"/>
  <c r="N146" i="1" s="1"/>
  <c r="N120" i="1" s="1"/>
  <c r="F198" i="1"/>
  <c r="F172" i="1" s="1"/>
  <c r="F146" i="1" s="1"/>
  <c r="F120" i="1" s="1"/>
  <c r="S197" i="1"/>
  <c r="S171" i="1" s="1"/>
  <c r="S145" i="1" s="1"/>
  <c r="S119" i="1" s="1"/>
  <c r="K197" i="1"/>
  <c r="K171" i="1" s="1"/>
  <c r="K145" i="1" s="1"/>
  <c r="K119" i="1" s="1"/>
  <c r="X196" i="1"/>
  <c r="X170" i="1" s="1"/>
  <c r="X144" i="1" s="1"/>
  <c r="X118" i="1" s="1"/>
  <c r="P196" i="1"/>
  <c r="P170" i="1" s="1"/>
  <c r="P144" i="1" s="1"/>
  <c r="P118" i="1" s="1"/>
  <c r="H196" i="1"/>
  <c r="H170" i="1" s="1"/>
  <c r="H144" i="1" s="1"/>
  <c r="H118" i="1" s="1"/>
  <c r="U195" i="1"/>
  <c r="U169" i="1" s="1"/>
  <c r="U143" i="1" s="1"/>
  <c r="U117" i="1" s="1"/>
  <c r="M195" i="1"/>
  <c r="M169" i="1" s="1"/>
  <c r="M143" i="1" s="1"/>
  <c r="M117" i="1" s="1"/>
  <c r="E195" i="1"/>
  <c r="E169" i="1" s="1"/>
  <c r="E143" i="1" s="1"/>
  <c r="E117" i="1" s="1"/>
  <c r="R194" i="1"/>
  <c r="R168" i="1" s="1"/>
  <c r="R142" i="1" s="1"/>
  <c r="R116" i="1" s="1"/>
  <c r="J194" i="1"/>
  <c r="J168" i="1" s="1"/>
  <c r="J142" i="1" s="1"/>
  <c r="J116" i="1" s="1"/>
  <c r="W193" i="1"/>
  <c r="W167" i="1" s="1"/>
  <c r="W141" i="1" s="1"/>
  <c r="W115" i="1" s="1"/>
  <c r="O193" i="1"/>
  <c r="O167" i="1" s="1"/>
  <c r="O141" i="1" s="1"/>
  <c r="O115" i="1" s="1"/>
  <c r="G193" i="1"/>
  <c r="G167" i="1" s="1"/>
  <c r="G141" i="1" s="1"/>
  <c r="G115" i="1" s="1"/>
  <c r="T192" i="1"/>
  <c r="T166" i="1" s="1"/>
  <c r="T140" i="1" s="1"/>
  <c r="T114" i="1" s="1"/>
  <c r="L192" i="1"/>
  <c r="L166" i="1" s="1"/>
  <c r="L140" i="1" s="1"/>
  <c r="L114" i="1" s="1"/>
  <c r="D192" i="1"/>
  <c r="D166" i="1" s="1"/>
  <c r="D140" i="1" s="1"/>
  <c r="D114" i="1" s="1"/>
  <c r="Q191" i="1"/>
  <c r="Q165" i="1" s="1"/>
  <c r="Q139" i="1" s="1"/>
  <c r="Q113" i="1" s="1"/>
  <c r="I191" i="1"/>
  <c r="I165" i="1" s="1"/>
  <c r="I139" i="1" s="1"/>
  <c r="I113" i="1" s="1"/>
  <c r="V190" i="1"/>
  <c r="V164" i="1" s="1"/>
  <c r="V138" i="1" s="1"/>
  <c r="V112" i="1" s="1"/>
  <c r="N190" i="1"/>
  <c r="N164" i="1" s="1"/>
  <c r="N138" i="1" s="1"/>
  <c r="N112" i="1" s="1"/>
  <c r="F190" i="1"/>
  <c r="F164" i="1" s="1"/>
  <c r="F138" i="1" s="1"/>
  <c r="F112" i="1" s="1"/>
  <c r="S189" i="1"/>
  <c r="S163" i="1" s="1"/>
  <c r="S137" i="1" s="1"/>
  <c r="S111" i="1" s="1"/>
  <c r="G189" i="1"/>
  <c r="G163" i="1" s="1"/>
  <c r="G137" i="1" s="1"/>
  <c r="G111" i="1" s="1"/>
  <c r="E189" i="1"/>
  <c r="E163" i="1" s="1"/>
  <c r="E137" i="1" s="1"/>
  <c r="E111" i="1" s="1"/>
  <c r="J195" i="1"/>
  <c r="J169" i="1" s="1"/>
  <c r="J143" i="1" s="1"/>
  <c r="J117" i="1" s="1"/>
  <c r="W194" i="1"/>
  <c r="W168" i="1" s="1"/>
  <c r="W142" i="1" s="1"/>
  <c r="W116" i="1" s="1"/>
  <c r="O194" i="1"/>
  <c r="O168" i="1" s="1"/>
  <c r="O142" i="1" s="1"/>
  <c r="O116" i="1" s="1"/>
  <c r="G194" i="1"/>
  <c r="G168" i="1" s="1"/>
  <c r="G142" i="1" s="1"/>
  <c r="G116" i="1" s="1"/>
  <c r="T193" i="1"/>
  <c r="T167" i="1" s="1"/>
  <c r="T141" i="1" s="1"/>
  <c r="T115" i="1" s="1"/>
  <c r="L193" i="1"/>
  <c r="L167" i="1" s="1"/>
  <c r="L141" i="1" s="1"/>
  <c r="L115" i="1" s="1"/>
  <c r="D193" i="1"/>
  <c r="D167" i="1" s="1"/>
  <c r="D141" i="1" s="1"/>
  <c r="D115" i="1" s="1"/>
  <c r="Q192" i="1"/>
  <c r="Q166" i="1" s="1"/>
  <c r="Q140" i="1" s="1"/>
  <c r="Q114" i="1" s="1"/>
  <c r="I192" i="1"/>
  <c r="I166" i="1" s="1"/>
  <c r="I140" i="1" s="1"/>
  <c r="I114" i="1" s="1"/>
  <c r="V191" i="1"/>
  <c r="V165" i="1" s="1"/>
  <c r="V139" i="1" s="1"/>
  <c r="V113" i="1" s="1"/>
  <c r="N191" i="1"/>
  <c r="N165" i="1" s="1"/>
  <c r="N139" i="1" s="1"/>
  <c r="N113" i="1" s="1"/>
  <c r="F191" i="1"/>
  <c r="F165" i="1" s="1"/>
  <c r="F139" i="1" s="1"/>
  <c r="F113" i="1" s="1"/>
  <c r="S190" i="1"/>
  <c r="S164" i="1" s="1"/>
  <c r="S138" i="1" s="1"/>
  <c r="S112" i="1" s="1"/>
  <c r="K190" i="1"/>
  <c r="K164" i="1" s="1"/>
  <c r="K138" i="1" s="1"/>
  <c r="K112" i="1" s="1"/>
  <c r="X189" i="1"/>
  <c r="X163" i="1" s="1"/>
  <c r="X137" i="1" s="1"/>
  <c r="X111" i="1" s="1"/>
  <c r="N189" i="1"/>
  <c r="N163" i="1" s="1"/>
  <c r="N137" i="1" s="1"/>
  <c r="N111" i="1" s="1"/>
  <c r="D187" i="1"/>
  <c r="D161" i="1" s="1"/>
  <c r="D135" i="1" s="1"/>
  <c r="D109" i="1" s="1"/>
  <c r="P200" i="1"/>
  <c r="P174" i="1" s="1"/>
  <c r="P148" i="1" s="1"/>
  <c r="P122" i="1" s="1"/>
  <c r="H200" i="1"/>
  <c r="H174" i="1" s="1"/>
  <c r="H148" i="1" s="1"/>
  <c r="H122" i="1" s="1"/>
  <c r="U199" i="1"/>
  <c r="U173" i="1" s="1"/>
  <c r="U147" i="1" s="1"/>
  <c r="U121" i="1" s="1"/>
  <c r="M199" i="1"/>
  <c r="M173" i="1" s="1"/>
  <c r="M147" i="1" s="1"/>
  <c r="M121" i="1" s="1"/>
  <c r="E199" i="1"/>
  <c r="E173" i="1" s="1"/>
  <c r="E147" i="1" s="1"/>
  <c r="E121" i="1" s="1"/>
  <c r="R198" i="1"/>
  <c r="R172" i="1" s="1"/>
  <c r="R146" i="1" s="1"/>
  <c r="R120" i="1" s="1"/>
  <c r="J198" i="1"/>
  <c r="J172" i="1" s="1"/>
  <c r="J146" i="1" s="1"/>
  <c r="J120" i="1" s="1"/>
  <c r="W197" i="1"/>
  <c r="W171" i="1" s="1"/>
  <c r="W145" i="1" s="1"/>
  <c r="W119" i="1" s="1"/>
  <c r="O197" i="1"/>
  <c r="O171" i="1" s="1"/>
  <c r="O145" i="1" s="1"/>
  <c r="O119" i="1" s="1"/>
  <c r="G197" i="1"/>
  <c r="G171" i="1" s="1"/>
  <c r="G145" i="1" s="1"/>
  <c r="G119" i="1" s="1"/>
  <c r="T196" i="1"/>
  <c r="T170" i="1" s="1"/>
  <c r="T144" i="1" s="1"/>
  <c r="T118" i="1" s="1"/>
  <c r="L196" i="1"/>
  <c r="L170" i="1" s="1"/>
  <c r="L144" i="1" s="1"/>
  <c r="L118" i="1" s="1"/>
  <c r="D196" i="1"/>
  <c r="D170" i="1" s="1"/>
  <c r="D144" i="1" s="1"/>
  <c r="D118" i="1" s="1"/>
  <c r="Q195" i="1"/>
  <c r="Q169" i="1" s="1"/>
  <c r="Q143" i="1" s="1"/>
  <c r="Q117" i="1" s="1"/>
  <c r="I195" i="1"/>
  <c r="I169" i="1" s="1"/>
  <c r="I143" i="1" s="1"/>
  <c r="I117" i="1" s="1"/>
  <c r="V194" i="1"/>
  <c r="V168" i="1" s="1"/>
  <c r="V142" i="1" s="1"/>
  <c r="V116" i="1" s="1"/>
  <c r="N194" i="1"/>
  <c r="N168" i="1" s="1"/>
  <c r="N142" i="1" s="1"/>
  <c r="N116" i="1" s="1"/>
  <c r="F194" i="1"/>
  <c r="F168" i="1" s="1"/>
  <c r="F142" i="1" s="1"/>
  <c r="F116" i="1" s="1"/>
  <c r="S193" i="1"/>
  <c r="S167" i="1" s="1"/>
  <c r="S141" i="1" s="1"/>
  <c r="S115" i="1" s="1"/>
  <c r="K193" i="1"/>
  <c r="K167" i="1" s="1"/>
  <c r="K141" i="1" s="1"/>
  <c r="K115" i="1" s="1"/>
  <c r="X192" i="1"/>
  <c r="X166" i="1" s="1"/>
  <c r="X140" i="1" s="1"/>
  <c r="X114" i="1" s="1"/>
  <c r="P192" i="1"/>
  <c r="P166" i="1" s="1"/>
  <c r="P140" i="1" s="1"/>
  <c r="P114" i="1" s="1"/>
  <c r="H192" i="1"/>
  <c r="H166" i="1" s="1"/>
  <c r="H140" i="1" s="1"/>
  <c r="H114" i="1" s="1"/>
  <c r="U191" i="1"/>
  <c r="U165" i="1" s="1"/>
  <c r="U139" i="1" s="1"/>
  <c r="U113" i="1" s="1"/>
  <c r="M191" i="1"/>
  <c r="M165" i="1" s="1"/>
  <c r="M139" i="1" s="1"/>
  <c r="M113" i="1" s="1"/>
  <c r="E191" i="1"/>
  <c r="E165" i="1" s="1"/>
  <c r="E139" i="1" s="1"/>
  <c r="E113" i="1" s="1"/>
  <c r="R190" i="1"/>
  <c r="R164" i="1" s="1"/>
  <c r="R138" i="1" s="1"/>
  <c r="R112" i="1" s="1"/>
  <c r="J190" i="1"/>
  <c r="J164" i="1" s="1"/>
  <c r="J138" i="1" s="1"/>
  <c r="J112" i="1" s="1"/>
  <c r="W189" i="1"/>
  <c r="W163" i="1" s="1"/>
  <c r="W137" i="1" s="1"/>
  <c r="W111" i="1" s="1"/>
  <c r="M189" i="1"/>
  <c r="M163" i="1" s="1"/>
  <c r="M137" i="1" s="1"/>
  <c r="M111" i="1" s="1"/>
  <c r="O200" i="1"/>
  <c r="O174" i="1" s="1"/>
  <c r="O148" i="1" s="1"/>
  <c r="O122" i="1" s="1"/>
  <c r="G200" i="1"/>
  <c r="G174" i="1" s="1"/>
  <c r="G148" i="1" s="1"/>
  <c r="G122" i="1" s="1"/>
  <c r="T199" i="1"/>
  <c r="T173" i="1" s="1"/>
  <c r="T147" i="1" s="1"/>
  <c r="T121" i="1" s="1"/>
  <c r="L199" i="1"/>
  <c r="L173" i="1" s="1"/>
  <c r="L147" i="1" s="1"/>
  <c r="L121" i="1" s="1"/>
  <c r="D199" i="1"/>
  <c r="D173" i="1" s="1"/>
  <c r="D147" i="1" s="1"/>
  <c r="D121" i="1" s="1"/>
  <c r="Q198" i="1"/>
  <c r="Q172" i="1" s="1"/>
  <c r="Q146" i="1" s="1"/>
  <c r="Q120" i="1" s="1"/>
  <c r="I198" i="1"/>
  <c r="I172" i="1" s="1"/>
  <c r="I146" i="1" s="1"/>
  <c r="I120" i="1" s="1"/>
  <c r="V197" i="1"/>
  <c r="V171" i="1" s="1"/>
  <c r="V145" i="1" s="1"/>
  <c r="V119" i="1" s="1"/>
  <c r="N197" i="1"/>
  <c r="N171" i="1" s="1"/>
  <c r="N145" i="1" s="1"/>
  <c r="N119" i="1" s="1"/>
  <c r="F197" i="1"/>
  <c r="F171" i="1" s="1"/>
  <c r="F145" i="1" s="1"/>
  <c r="F119" i="1" s="1"/>
  <c r="S196" i="1"/>
  <c r="S170" i="1" s="1"/>
  <c r="S144" i="1" s="1"/>
  <c r="S118" i="1" s="1"/>
  <c r="K196" i="1"/>
  <c r="K170" i="1" s="1"/>
  <c r="K144" i="1" s="1"/>
  <c r="K118" i="1" s="1"/>
  <c r="X195" i="1"/>
  <c r="X169" i="1" s="1"/>
  <c r="X143" i="1" s="1"/>
  <c r="X117" i="1" s="1"/>
  <c r="P195" i="1"/>
  <c r="P169" i="1" s="1"/>
  <c r="P143" i="1" s="1"/>
  <c r="P117" i="1" s="1"/>
  <c r="H195" i="1"/>
  <c r="H169" i="1" s="1"/>
  <c r="H143" i="1" s="1"/>
  <c r="H117" i="1" s="1"/>
  <c r="U194" i="1"/>
  <c r="U168" i="1" s="1"/>
  <c r="U142" i="1" s="1"/>
  <c r="U116" i="1" s="1"/>
  <c r="M194" i="1"/>
  <c r="M168" i="1" s="1"/>
  <c r="M142" i="1" s="1"/>
  <c r="M116" i="1" s="1"/>
  <c r="E194" i="1"/>
  <c r="E168" i="1" s="1"/>
  <c r="E142" i="1" s="1"/>
  <c r="E116" i="1" s="1"/>
  <c r="R193" i="1"/>
  <c r="R167" i="1" s="1"/>
  <c r="R141" i="1" s="1"/>
  <c r="R115" i="1" s="1"/>
  <c r="J193" i="1"/>
  <c r="J167" i="1" s="1"/>
  <c r="J141" i="1" s="1"/>
  <c r="J115" i="1" s="1"/>
  <c r="W192" i="1"/>
  <c r="W166" i="1" s="1"/>
  <c r="W140" i="1" s="1"/>
  <c r="W114" i="1" s="1"/>
  <c r="O192" i="1"/>
  <c r="O166" i="1" s="1"/>
  <c r="O140" i="1" s="1"/>
  <c r="O114" i="1" s="1"/>
  <c r="G192" i="1"/>
  <c r="G166" i="1" s="1"/>
  <c r="G140" i="1" s="1"/>
  <c r="G114" i="1" s="1"/>
  <c r="T191" i="1"/>
  <c r="T165" i="1" s="1"/>
  <c r="T139" i="1" s="1"/>
  <c r="T113" i="1" s="1"/>
  <c r="L191" i="1"/>
  <c r="L165" i="1" s="1"/>
  <c r="L139" i="1" s="1"/>
  <c r="L113" i="1" s="1"/>
  <c r="D191" i="1"/>
  <c r="D165" i="1" s="1"/>
  <c r="D139" i="1" s="1"/>
  <c r="D113" i="1" s="1"/>
  <c r="Q190" i="1"/>
  <c r="Q164" i="1" s="1"/>
  <c r="Q138" i="1" s="1"/>
  <c r="Q112" i="1" s="1"/>
  <c r="I190" i="1"/>
  <c r="I164" i="1" s="1"/>
  <c r="I138" i="1" s="1"/>
  <c r="I112" i="1" s="1"/>
  <c r="V189" i="1"/>
  <c r="V163" i="1" s="1"/>
  <c r="V137" i="1" s="1"/>
  <c r="V111" i="1" s="1"/>
  <c r="D189" i="1"/>
  <c r="D163" i="1" s="1"/>
  <c r="D137" i="1" s="1"/>
  <c r="D111" i="1" s="1"/>
  <c r="R189" i="1"/>
  <c r="R163" i="1" s="1"/>
  <c r="R137" i="1" s="1"/>
  <c r="R111" i="1" s="1"/>
  <c r="J189" i="1"/>
  <c r="J163" i="1" s="1"/>
  <c r="J137" i="1" s="1"/>
  <c r="J111" i="1" s="1"/>
  <c r="Q189" i="1"/>
  <c r="Q163" i="1" s="1"/>
  <c r="Q137" i="1" s="1"/>
  <c r="Q111" i="1" s="1"/>
  <c r="O137" i="1"/>
  <c r="O111" i="1" s="1"/>
  <c r="K142" i="1"/>
  <c r="K116" i="1" s="1"/>
  <c r="H141" i="1"/>
  <c r="H115" i="1" s="1"/>
  <c r="E140" i="1"/>
  <c r="E114" i="1" s="1"/>
  <c r="J139" i="1"/>
  <c r="J113" i="1" s="1"/>
  <c r="W138" i="1"/>
  <c r="W112" i="1" s="1"/>
  <c r="O138" i="1"/>
  <c r="O112" i="1" s="1"/>
  <c r="T137" i="1"/>
  <c r="T111" i="1" s="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S5" i="1" l="1"/>
  <c r="U5" i="1" s="1"/>
  <c r="AX6" i="1"/>
  <c r="S6" i="1"/>
  <c r="U6" i="1" s="1"/>
  <c r="R6" i="1" s="1"/>
  <c r="T6" i="1" s="1"/>
  <c r="K6" i="1" s="1"/>
  <c r="AX5" i="1"/>
  <c r="AX12" i="1"/>
  <c r="S12" i="1"/>
  <c r="U12" i="1" s="1"/>
  <c r="AX7" i="1"/>
  <c r="S7" i="1"/>
  <c r="U7" i="1" s="1"/>
  <c r="AX11" i="1"/>
  <c r="S11" i="1"/>
  <c r="U11" i="1" s="1"/>
  <c r="AX10" i="1"/>
  <c r="S10" i="1"/>
  <c r="U10" i="1" s="1"/>
  <c r="AX9" i="1"/>
  <c r="S9" i="1"/>
  <c r="U9" i="1" s="1"/>
  <c r="AX8" i="1"/>
  <c r="S8" i="1"/>
  <c r="U8" i="1" s="1"/>
  <c r="R5" i="1" l="1"/>
  <c r="T5" i="1" s="1"/>
  <c r="AY8" i="1"/>
  <c r="AK8" i="1"/>
  <c r="R8" i="1"/>
  <c r="T8" i="1" s="1"/>
  <c r="AR8" i="1"/>
  <c r="Y8" i="1"/>
  <c r="BF8" i="1"/>
  <c r="BF7" i="1"/>
  <c r="Y7" i="1"/>
  <c r="AK7" i="1"/>
  <c r="AR7" i="1"/>
  <c r="AY7" i="1"/>
  <c r="R7" i="1"/>
  <c r="T7" i="1" s="1"/>
  <c r="K7" i="1" s="1"/>
  <c r="AK12" i="1"/>
  <c r="BF12" i="1"/>
  <c r="R12" i="1"/>
  <c r="T12" i="1" s="1"/>
  <c r="AY12" i="1"/>
  <c r="Y12" i="1"/>
  <c r="AR12" i="1"/>
  <c r="R10" i="1"/>
  <c r="T10" i="1" s="1"/>
  <c r="Y10" i="1"/>
  <c r="AK10" i="1"/>
  <c r="AY10" i="1"/>
  <c r="BF10" i="1"/>
  <c r="AR10" i="1"/>
  <c r="AR5" i="1"/>
  <c r="AK5" i="1"/>
  <c r="BF5" i="1"/>
  <c r="AY5" i="1"/>
  <c r="Y5" i="1"/>
  <c r="AR11" i="1"/>
  <c r="BF11" i="1"/>
  <c r="AY11" i="1"/>
  <c r="AK11" i="1"/>
  <c r="R11" i="1"/>
  <c r="T11" i="1" s="1"/>
  <c r="Y11" i="1"/>
  <c r="AR6" i="1"/>
  <c r="AK6" i="1"/>
  <c r="Y6" i="1"/>
  <c r="AY6" i="1"/>
  <c r="BF6" i="1"/>
  <c r="AK9" i="1"/>
  <c r="AR9" i="1"/>
  <c r="BF9" i="1"/>
  <c r="AY9" i="1"/>
  <c r="R9" i="1"/>
  <c r="T9" i="1" s="1"/>
  <c r="Y9" i="1"/>
  <c r="AA12" i="1" l="1"/>
  <c r="BH12" i="1"/>
  <c r="BB12" i="1"/>
  <c r="BA12" i="1"/>
  <c r="K12" i="1"/>
  <c r="M12" i="1" s="1"/>
  <c r="Z12" i="1"/>
  <c r="AM12" i="1"/>
  <c r="BI12" i="1"/>
  <c r="AT12" i="1"/>
  <c r="AE12" i="1"/>
  <c r="AU12" i="1"/>
  <c r="AF12" i="1"/>
  <c r="AN12" i="1"/>
  <c r="AU6" i="1"/>
  <c r="AN6" i="1"/>
  <c r="M6" i="1"/>
  <c r="AE6" i="1"/>
  <c r="BB6" i="1"/>
  <c r="AA6" i="1"/>
  <c r="BH6" i="1"/>
  <c r="Z6" i="1"/>
  <c r="AF6" i="1"/>
  <c r="BA6" i="1"/>
  <c r="AM6" i="1"/>
  <c r="BI6" i="1"/>
  <c r="AT6" i="1"/>
  <c r="BI5" i="1"/>
  <c r="AM5" i="1"/>
  <c r="K5" i="1"/>
  <c r="M5" i="1" s="1"/>
  <c r="AT5" i="1"/>
  <c r="BB5" i="1"/>
  <c r="BA5" i="1"/>
  <c r="AU5" i="1"/>
  <c r="Z5" i="1"/>
  <c r="AN5" i="1"/>
  <c r="AF5" i="1"/>
  <c r="AE5" i="1"/>
  <c r="AA5" i="1"/>
  <c r="BH5" i="1"/>
  <c r="AF7" i="1"/>
  <c r="BA7" i="1"/>
  <c r="AE7" i="1"/>
  <c r="AM7" i="1"/>
  <c r="BI7" i="1"/>
  <c r="AT7" i="1"/>
  <c r="Z7" i="1"/>
  <c r="BB7" i="1"/>
  <c r="M7" i="1"/>
  <c r="AU7" i="1"/>
  <c r="AN7" i="1"/>
  <c r="AA7" i="1"/>
  <c r="BH7" i="1"/>
  <c r="AA11" i="1"/>
  <c r="BH11" i="1"/>
  <c r="BA11" i="1"/>
  <c r="K11" i="1"/>
  <c r="M11" i="1" s="1"/>
  <c r="AM11" i="1"/>
  <c r="AN11" i="1"/>
  <c r="BI11" i="1"/>
  <c r="AT11" i="1"/>
  <c r="BB11" i="1"/>
  <c r="Z11" i="1"/>
  <c r="AU11" i="1"/>
  <c r="AF11" i="1"/>
  <c r="AE11" i="1"/>
  <c r="BI10" i="1"/>
  <c r="AT10" i="1"/>
  <c r="BB10" i="1"/>
  <c r="AN10" i="1"/>
  <c r="Z10" i="1"/>
  <c r="AU10" i="1"/>
  <c r="AF10" i="1"/>
  <c r="BH10" i="1"/>
  <c r="AE10" i="1"/>
  <c r="AA10" i="1"/>
  <c r="AM10" i="1"/>
  <c r="BA10" i="1"/>
  <c r="K10" i="1"/>
  <c r="M10" i="1" s="1"/>
  <c r="AA9" i="1"/>
  <c r="AF9" i="1"/>
  <c r="BH9" i="1"/>
  <c r="BA9" i="1"/>
  <c r="AN9" i="1"/>
  <c r="AT9" i="1"/>
  <c r="AE9" i="1"/>
  <c r="BI9" i="1"/>
  <c r="AM9" i="1"/>
  <c r="K9" i="1"/>
  <c r="M9" i="1" s="1"/>
  <c r="BB9" i="1"/>
  <c r="AU9" i="1"/>
  <c r="Z9" i="1"/>
  <c r="AF8" i="1"/>
  <c r="BA8" i="1"/>
  <c r="AM8" i="1"/>
  <c r="AE8" i="1"/>
  <c r="K8" i="1"/>
  <c r="M8" i="1" s="1"/>
  <c r="BI8" i="1"/>
  <c r="AT8" i="1"/>
  <c r="Z8" i="1"/>
  <c r="BH8" i="1"/>
  <c r="BB8" i="1"/>
  <c r="AN8" i="1"/>
  <c r="AU8" i="1"/>
  <c r="AA8" i="1"/>
  <c r="M14" i="1" l="1"/>
  <c r="AW9" i="1"/>
  <c r="AW6" i="1"/>
  <c r="AW8" i="1"/>
  <c r="AI8" i="1"/>
  <c r="BD8" i="1"/>
  <c r="X11" i="1"/>
  <c r="AC12" i="1"/>
  <c r="AW12" i="1"/>
  <c r="X8" i="1"/>
  <c r="AI9" i="1"/>
  <c r="AC10" i="1"/>
  <c r="AC8" i="1"/>
  <c r="AP7" i="1"/>
  <c r="AW11" i="1"/>
  <c r="AC7" i="1"/>
  <c r="X12" i="1"/>
  <c r="BD6" i="1"/>
  <c r="AI12" i="1"/>
  <c r="X10" i="1"/>
  <c r="X7" i="1"/>
  <c r="X6" i="1"/>
  <c r="AP10" i="1"/>
  <c r="BD11" i="1"/>
  <c r="AW10" i="1"/>
  <c r="AC11" i="1"/>
  <c r="BD7" i="1"/>
  <c r="BD12" i="1"/>
  <c r="AC9" i="1"/>
  <c r="AP9" i="1"/>
  <c r="AP11" i="1"/>
  <c r="AC5" i="1"/>
  <c r="BD5" i="1"/>
  <c r="AI5" i="1"/>
  <c r="AP5" i="1"/>
  <c r="AI10" i="1"/>
  <c r="X9" i="1"/>
  <c r="AI7" i="1"/>
  <c r="X5" i="1"/>
  <c r="AP6" i="1"/>
  <c r="AP8" i="1"/>
  <c r="BD9" i="1"/>
  <c r="BD10" i="1"/>
  <c r="AI11" i="1"/>
  <c r="AW7" i="1"/>
  <c r="AC6" i="1"/>
  <c r="AP12" i="1"/>
  <c r="AW5" i="1"/>
  <c r="AI6" i="1"/>
  <c r="Y14" i="1" l="1"/>
  <c r="AX14" i="1"/>
  <c r="BB14" i="1" s="1"/>
  <c r="AJ14" i="1"/>
  <c r="AQ14" i="1"/>
  <c r="BE14" i="1"/>
  <c r="BI14" i="1" s="1"/>
  <c r="AD14" i="1"/>
  <c r="AF14" i="1" s="1"/>
  <c r="AU14" i="1" l="1"/>
  <c r="AN14" i="1"/>
  <c r="AA14" i="1"/>
</calcChain>
</file>

<file path=xl/sharedStrings.xml><?xml version="1.0" encoding="utf-8"?>
<sst xmlns="http://schemas.openxmlformats.org/spreadsheetml/2006/main" count="154" uniqueCount="83">
  <si>
    <t>x1</t>
  </si>
  <si>
    <t>y</t>
  </si>
  <si>
    <t>x2</t>
  </si>
  <si>
    <t>Normalised Data</t>
  </si>
  <si>
    <t>w1</t>
  </si>
  <si>
    <t>w2</t>
  </si>
  <si>
    <t>w3</t>
  </si>
  <si>
    <t>b1</t>
  </si>
  <si>
    <t>b2</t>
  </si>
  <si>
    <t>b3</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</si>
  <si>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</si>
  <si>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</si>
  <si>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</si>
  <si>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</si>
  <si>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</si>
  <si>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</si>
  <si>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</si>
  <si>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</si>
  <si>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</si>
  <si>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</si>
  <si>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</si>
  <si>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</si>
  <si>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</si>
  <si>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</si>
  <si>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</si>
  <si>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</si>
  <si>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</si>
  <si>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</si>
  <si>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</si>
  <si>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</si>
  <si>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\frac{dC}{db3} = \frac{dz2}{db3}.\frac{da2}{dz2}.\frac{dC}{da2}</t>
  </si>
  <si>
    <t>\frac{dz2}{db3} = 1</t>
  </si>
  <si>
    <t>\frac{dC}{dw2} = \frac{dz1}{dw2}.\frac{da1}{dz1}.\frac{dz2}{da1}.\frac{da2}{dz2}.\frac{dC}{da2}</t>
  </si>
  <si>
    <t>\frac{dC}{db2} = \frac{dz1}{db2}.\frac{da1}{dz1}.\frac{dz2}{da1}.\frac{da2}{dz2}.\frac{dC}{da2}</t>
  </si>
  <si>
    <t>\frac{dC}{dw1} = \frac{dz1}{dw1}.\frac{da1}{dz1}.\frac{dz2}{da1}.\frac{da2}{dz2}.\frac{dC}{da2}</t>
  </si>
  <si>
    <t>\frac{dC}{db1} = \frac{dz1}{db1}.\frac{da1}{dz1}.\frac{dz2}{da1}.\frac{da2}{dz2}.\frac{dC}{da2}</t>
  </si>
  <si>
    <t>a1 = \sigma (z1)</t>
  </si>
  <si>
    <t>\sigma (z2) = \frac{1}{1 + e^{-z2}}</t>
  </si>
  <si>
    <t>\sigma (z1) = \frac{1}{1 + e^{-z1}}</t>
  </si>
  <si>
    <t>\frac{dz2}{da1} = w3</t>
  </si>
  <si>
    <t>\frac{da1}{dz1} = \sigma (z1). (1 - \sigma (z1))</t>
  </si>
  <si>
    <t>\frac{dz1}{dw2} = x2</t>
  </si>
  <si>
    <t>\frac{dz1}{db2} = 1</t>
  </si>
  <si>
    <t>\frac{dz1}{db1} = 1</t>
  </si>
  <si>
    <t>\frac{dz1}{dw1} = x1</t>
  </si>
  <si>
    <t>dz2/da1</t>
  </si>
  <si>
    <t>da1/dz1</t>
  </si>
  <si>
    <t>dz1/dw2</t>
  </si>
  <si>
    <t>dC/dw2</t>
  </si>
  <si>
    <t>dC/da2</t>
  </si>
  <si>
    <t>dz1/db2</t>
  </si>
  <si>
    <t>dC/db2</t>
  </si>
  <si>
    <t>dz1/dw1</t>
  </si>
  <si>
    <t>dC/dw1</t>
  </si>
  <si>
    <t>dz1/db1</t>
  </si>
  <si>
    <t>dC/db1</t>
  </si>
  <si>
    <t>Gradient:</t>
  </si>
  <si>
    <t>N.B./ Negative gradient means increase</t>
  </si>
  <si>
    <t>PREDICTION (a2)</t>
  </si>
  <si>
    <t>X1</t>
  </si>
  <si>
    <t>w3 iterations</t>
  </si>
  <si>
    <t>Weight</t>
  </si>
  <si>
    <t>Gradient</t>
  </si>
  <si>
    <t>b3 iterations</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</si>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</sst>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s>
  <cellStyleXfs count="1">
    <xf numFmtId="0" fontId="0" fillId="0" borderId="0"/>
  </cellStyleXfs>
  <cellXfs count="92">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2" fontId="1" fillId="0" borderId="7" xfId="0" applyNumberFormat="1" applyFont="1" applyBorder="1" applyAlignment="1">
      <alignment horizontal="center"/>
    </xf>
    <xf numFmtId="0" fontId="1" fillId="0" borderId="7" xfId="0" applyFont="1" applyBorder="1"/>
    <xf numFmtId="2" fontId="1" fillId="0" borderId="7" xfId="0" applyNumberFormat="1"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5" fontId="4" fillId="0" borderId="17" xfId="0" applyNumberFormat="1" applyFont="1" applyBorder="1"/>
    <xf numFmtId="165" fontId="4" fillId="0" borderId="14" xfId="0" applyNumberFormat="1" applyFont="1" applyBorder="1"/>
    <xf numFmtId="165" fontId="4" fillId="0" borderId="15" xfId="0" applyNumberFormat="1" applyFont="1" applyBorder="1"/>
    <xf numFmtId="165" fontId="4" fillId="0" borderId="18" xfId="0" applyNumberFormat="1" applyFont="1" applyBorder="1"/>
    <xf numFmtId="165" fontId="4" fillId="0" borderId="0" xfId="0" applyNumberFormat="1" applyFont="1" applyBorder="1"/>
    <xf numFmtId="165" fontId="4" fillId="0" borderId="9" xfId="0" applyNumberFormat="1" applyFont="1" applyBorder="1"/>
    <xf numFmtId="165" fontId="4" fillId="0" borderId="19" xfId="0" applyNumberFormat="1" applyFont="1" applyBorder="1"/>
    <xf numFmtId="165" fontId="4" fillId="0" borderId="12" xfId="0" applyNumberFormat="1" applyFont="1" applyBorder="1"/>
    <xf numFmtId="165" fontId="4" fillId="0" borderId="13"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0.13158868905876925</c:v>
                </c:pt>
                <c:pt idx="1">
                  <c:v>0.13297515602870308</c:v>
                </c:pt>
                <c:pt idx="2">
                  <c:v>0.13461320306662883</c:v>
                </c:pt>
                <c:pt idx="3">
                  <c:v>0.13654968183876004</c:v>
                </c:pt>
                <c:pt idx="4">
                  <c:v>0.13884055097583631</c:v>
                </c:pt>
                <c:pt idx="5">
                  <c:v>0.14155274297820702</c:v>
                </c:pt>
                <c:pt idx="6">
                  <c:v>0.14476642117591842</c:v>
                </c:pt>
                <c:pt idx="7">
                  <c:v>0.14857769413063771</c:v>
                </c:pt>
                <c:pt idx="8">
                  <c:v>0.1531018508603284</c:v>
                </c:pt>
                <c:pt idx="9">
                  <c:v>0.15847716038883039</c:v>
                </c:pt>
                <c:pt idx="10">
                  <c:v>0.16486923004222998</c:v>
                </c:pt>
                <c:pt idx="11">
                  <c:v>0.17247581733132653</c:v>
                </c:pt>
                <c:pt idx="12">
                  <c:v>0.18153180801605889</c:v>
                </c:pt>
                <c:pt idx="13">
                  <c:v>0.19231376322324231</c:v>
                </c:pt>
                <c:pt idx="14">
                  <c:v>0.20514294659247087</c:v>
                </c:pt>
                <c:pt idx="15">
                  <c:v>0.22038501859057982</c:v>
                </c:pt>
                <c:pt idx="16">
                  <c:v>0.23844362432231508</c:v>
                </c:pt>
                <c:pt idx="17">
                  <c:v>0.25974402523125623</c:v>
                </c:pt>
                <c:pt idx="18">
                  <c:v>0.28470211754042868</c:v>
                </c:pt>
                <c:pt idx="19">
                  <c:v>0.31367444232158342</c:v>
                </c:pt>
                <c:pt idx="20">
                  <c:v>0.34688738282802856</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0.1331663882886043</c:v>
                </c:pt>
                <c:pt idx="1">
                  <c:v>0.13483920952921288</c:v>
                </c:pt>
                <c:pt idx="2">
                  <c:v>0.13681696238899033</c:v>
                </c:pt>
                <c:pt idx="3">
                  <c:v>0.13915687519827749</c:v>
                </c:pt>
                <c:pt idx="4">
                  <c:v>0.14192741110683776</c:v>
                </c:pt>
                <c:pt idx="5">
                  <c:v>0.14521057883466598</c:v>
                </c:pt>
                <c:pt idx="6">
                  <c:v>0.14910470928630504</c:v>
                </c:pt>
                <c:pt idx="7">
                  <c:v>0.15372775999615124</c:v>
                </c:pt>
                <c:pt idx="8">
                  <c:v>0.15922118669145519</c:v>
                </c:pt>
                <c:pt idx="9">
                  <c:v>0.16575436719716344</c:v>
                </c:pt>
                <c:pt idx="10">
                  <c:v>0.17352945495199529</c:v>
                </c:pt>
                <c:pt idx="11">
                  <c:v>0.18278634385815057</c:v>
                </c:pt>
                <c:pt idx="12">
                  <c:v>0.19380709667758136</c:v>
                </c:pt>
                <c:pt idx="13">
                  <c:v>0.2069186704659951</c:v>
                </c:pt>
                <c:pt idx="14">
                  <c:v>0.22249201757270284</c:v>
                </c:pt>
                <c:pt idx="15">
                  <c:v>0.240934654865925</c:v>
                </c:pt>
                <c:pt idx="16">
                  <c:v>0.26267272339190029</c:v>
                </c:pt>
                <c:pt idx="17">
                  <c:v>0.28811783355307313</c:v>
                </c:pt>
                <c:pt idx="18">
                  <c:v>0.31761446862487042</c:v>
                </c:pt>
                <c:pt idx="19">
                  <c:v>0.35136670507845758</c:v>
                </c:pt>
                <c:pt idx="20">
                  <c:v>0.38934979231105171</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0.13507002408660329</c:v>
                </c:pt>
                <c:pt idx="1">
                  <c:v>0.13708995318720299</c:v>
                </c:pt>
                <c:pt idx="2">
                  <c:v>0.13947998889737837</c:v>
                </c:pt>
                <c:pt idx="3">
                  <c:v>0.14231016145403574</c:v>
                </c:pt>
                <c:pt idx="4">
                  <c:v>0.14566436877454694</c:v>
                </c:pt>
                <c:pt idx="5">
                  <c:v>0.14964321628434221</c:v>
                </c:pt>
                <c:pt idx="6">
                  <c:v>0.15436739124312029</c:v>
                </c:pt>
                <c:pt idx="7">
                  <c:v>0.15998160615561843</c:v>
                </c:pt>
                <c:pt idx="8">
                  <c:v>0.16665908645614774</c:v>
                </c:pt>
                <c:pt idx="9">
                  <c:v>0.17460646079900161</c:v>
                </c:pt>
                <c:pt idx="10">
                  <c:v>0.18406870269972736</c:v>
                </c:pt>
                <c:pt idx="11">
                  <c:v>0.19533342208469776</c:v>
                </c:pt>
                <c:pt idx="12">
                  <c:v>0.20873325896206502</c:v>
                </c:pt>
                <c:pt idx="13">
                  <c:v>0.22464434530726957</c:v>
                </c:pt>
                <c:pt idx="14">
                  <c:v>0.24347779245771417</c:v>
                </c:pt>
                <c:pt idx="15">
                  <c:v>0.26566010288459846</c:v>
                </c:pt>
                <c:pt idx="16">
                  <c:v>0.29159777205946757</c:v>
                </c:pt>
                <c:pt idx="17">
                  <c:v>0.32162206067435878</c:v>
                </c:pt>
                <c:pt idx="18">
                  <c:v>0.35591332005864423</c:v>
                </c:pt>
                <c:pt idx="19">
                  <c:v>0.39441156277833722</c:v>
                </c:pt>
                <c:pt idx="20">
                  <c:v>0.43673091867818015</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0.13736877950306786</c:v>
                </c:pt>
                <c:pt idx="1">
                  <c:v>0.1398100420429883</c:v>
                </c:pt>
                <c:pt idx="2">
                  <c:v>0.14270117377041999</c:v>
                </c:pt>
                <c:pt idx="3">
                  <c:v>0.14612800660870592</c:v>
                </c:pt>
                <c:pt idx="4">
                  <c:v>0.15019347379250594</c:v>
                </c:pt>
                <c:pt idx="5">
                  <c:v>0.15502105466381008</c:v>
                </c:pt>
                <c:pt idx="6">
                  <c:v>0.16075878961076676</c:v>
                </c:pt>
                <c:pt idx="7">
                  <c:v>0.16758382941044001</c:v>
                </c:pt>
                <c:pt idx="8">
                  <c:v>0.17570735692176456</c:v>
                </c:pt>
                <c:pt idx="9">
                  <c:v>0.18537949468610085</c:v>
                </c:pt>
                <c:pt idx="10">
                  <c:v>0.19689344022604069</c:v>
                </c:pt>
                <c:pt idx="11">
                  <c:v>0.21058749611679242</c:v>
                </c:pt>
                <c:pt idx="12">
                  <c:v>0.22684284477631639</c:v>
                </c:pt>
                <c:pt idx="13">
                  <c:v>0.24607388873142497</c:v>
                </c:pt>
                <c:pt idx="14">
                  <c:v>0.26870693800492906</c:v>
                </c:pt>
                <c:pt idx="15">
                  <c:v>0.29514250164918393</c:v>
                </c:pt>
                <c:pt idx="16">
                  <c:v>0.32569741361534327</c:v>
                </c:pt>
                <c:pt idx="17">
                  <c:v>0.3605268637248405</c:v>
                </c:pt>
                <c:pt idx="18">
                  <c:v>0.3995342371513998</c:v>
                </c:pt>
                <c:pt idx="19">
                  <c:v>0.44228790245637373</c:v>
                </c:pt>
                <c:pt idx="20">
                  <c:v>0.4879745944903916</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0.14014718805057758</c:v>
                </c:pt>
                <c:pt idx="1">
                  <c:v>0.14310063195921763</c:v>
                </c:pt>
                <c:pt idx="2">
                  <c:v>0.14660171294438715</c:v>
                </c:pt>
                <c:pt idx="3">
                  <c:v>0.15075574645860942</c:v>
                </c:pt>
                <c:pt idx="4">
                  <c:v>0.15568906742734623</c:v>
                </c:pt>
                <c:pt idx="5">
                  <c:v>0.16155311622823557</c:v>
                </c:pt>
                <c:pt idx="6">
                  <c:v>0.16852904725529008</c:v>
                </c:pt>
                <c:pt idx="7">
                  <c:v>0.17683267609538553</c:v>
                </c:pt>
                <c:pt idx="8">
                  <c:v>0.18671934136795346</c:v>
                </c:pt>
                <c:pt idx="9">
                  <c:v>0.1984878630280684</c:v>
                </c:pt>
                <c:pt idx="10">
                  <c:v>0.21248217515476137</c:v>
                </c:pt>
                <c:pt idx="11">
                  <c:v>0.22908836345883696</c:v>
                </c:pt>
                <c:pt idx="12">
                  <c:v>0.24872379115670612</c:v>
                </c:pt>
                <c:pt idx="13">
                  <c:v>0.27181398513957078</c:v>
                </c:pt>
                <c:pt idx="14">
                  <c:v>0.29875255385050109</c:v>
                </c:pt>
                <c:pt idx="15">
                  <c:v>0.32984066246972366</c:v>
                </c:pt>
                <c:pt idx="16">
                  <c:v>0.36520688931100548</c:v>
                </c:pt>
                <c:pt idx="17">
                  <c:v>0.40471663690180509</c:v>
                </c:pt>
                <c:pt idx="18">
                  <c:v>0.44789173174163444</c:v>
                </c:pt>
                <c:pt idx="19">
                  <c:v>0.49387075657718255</c:v>
                </c:pt>
                <c:pt idx="20">
                  <c:v>0.54144080552970697</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0.14350872417438329</c:v>
                </c:pt>
                <c:pt idx="1">
                  <c:v>0.14708571349885927</c:v>
                </c:pt>
                <c:pt idx="2">
                  <c:v>0.15133030504474149</c:v>
                </c:pt>
                <c:pt idx="3">
                  <c:v>0.15637175395982861</c:v>
                </c:pt>
                <c:pt idx="4">
                  <c:v>0.16236497368091149</c:v>
                </c:pt>
                <c:pt idx="5">
                  <c:v>0.16949520094337073</c:v>
                </c:pt>
                <c:pt idx="6">
                  <c:v>0.17798296193849472</c:v>
                </c:pt>
                <c:pt idx="7">
                  <c:v>0.18808887573314834</c:v>
                </c:pt>
                <c:pt idx="8">
                  <c:v>0.20011741342822315</c:v>
                </c:pt>
                <c:pt idx="9">
                  <c:v>0.21441809807378948</c:v>
                </c:pt>
                <c:pt idx="10">
                  <c:v>0.23138175248612533</c:v>
                </c:pt>
                <c:pt idx="11">
                  <c:v>0.25142834160836419</c:v>
                </c:pt>
                <c:pt idx="12">
                  <c:v>0.27498198064705537</c:v>
                </c:pt>
                <c:pt idx="13">
                  <c:v>0.30242842038687912</c:v>
                </c:pt>
                <c:pt idx="14">
                  <c:v>0.33405187914284873</c:v>
                </c:pt>
                <c:pt idx="15">
                  <c:v>0.36995286486691792</c:v>
                </c:pt>
                <c:pt idx="16">
                  <c:v>0.40995748524993619</c:v>
                </c:pt>
                <c:pt idx="17">
                  <c:v>0.4535403547294331</c:v>
                </c:pt>
                <c:pt idx="18">
                  <c:v>0.4997923848121415</c:v>
                </c:pt>
                <c:pt idx="19">
                  <c:v>0.54746305240206394</c:v>
                </c:pt>
                <c:pt idx="20">
                  <c:v>0.59508778506070126</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0.14758023921765029</c:v>
                </c:pt>
                <c:pt idx="1">
                  <c:v>0.15191742656371165</c:v>
                </c:pt>
                <c:pt idx="2">
                  <c:v>0.15706944609643239</c:v>
                </c:pt>
                <c:pt idx="3">
                  <c:v>0.16319475830318722</c:v>
                </c:pt>
                <c:pt idx="4">
                  <c:v>0.17048276133570434</c:v>
                </c:pt>
                <c:pt idx="5">
                  <c:v>0.17915876902357949</c:v>
                </c:pt>
                <c:pt idx="6">
                  <c:v>0.1894887422227676</c:v>
                </c:pt>
                <c:pt idx="7">
                  <c:v>0.20178282521265473</c:v>
                </c:pt>
                <c:pt idx="8">
                  <c:v>0.21639607518437759</c:v>
                </c:pt>
                <c:pt idx="9">
                  <c:v>0.23372386573172563</c:v>
                </c:pt>
                <c:pt idx="10">
                  <c:v>0.25418837485253631</c:v>
                </c:pt>
                <c:pt idx="11">
                  <c:v>0.27821163865151577</c:v>
                </c:pt>
                <c:pt idx="12">
                  <c:v>0.30617055037353935</c:v>
                </c:pt>
                <c:pt idx="13">
                  <c:v>0.33833106944577412</c:v>
                </c:pt>
                <c:pt idx="14">
                  <c:v>0.37476417093700176</c:v>
                </c:pt>
                <c:pt idx="15">
                  <c:v>0.41525540660804483</c:v>
                </c:pt>
                <c:pt idx="16">
                  <c:v>0.45923162804254047</c:v>
                </c:pt>
                <c:pt idx="17">
                  <c:v>0.50573672710027251</c:v>
                </c:pt>
                <c:pt idx="18">
                  <c:v>0.55348460578327219</c:v>
                </c:pt>
                <c:pt idx="19">
                  <c:v>0.60099644287543752</c:v>
                </c:pt>
                <c:pt idx="20">
                  <c:v>0.64679610176960933</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0.15251739441768369</c:v>
                </c:pt>
                <c:pt idx="1">
                  <c:v>0.15778248323506947</c:v>
                </c:pt>
                <c:pt idx="2">
                  <c:v>0.16404287525095046</c:v>
                </c:pt>
                <c:pt idx="3">
                  <c:v>0.17149220934959925</c:v>
                </c:pt>
                <c:pt idx="4">
                  <c:v>0.18036066297895517</c:v>
                </c:pt>
                <c:pt idx="5">
                  <c:v>0.19091959673005829</c:v>
                </c:pt>
                <c:pt idx="6">
                  <c:v>0.20348484282378998</c:v>
                </c:pt>
                <c:pt idx="7">
                  <c:v>0.21841692460142506</c:v>
                </c:pt>
                <c:pt idx="8">
                  <c:v>0.23611555883345958</c:v>
                </c:pt>
                <c:pt idx="9">
                  <c:v>0.25700471694822402</c:v>
                </c:pt>
                <c:pt idx="10">
                  <c:v>0.2815036487507333</c:v>
                </c:pt>
                <c:pt idx="11">
                  <c:v>0.3099793474607051</c:v>
                </c:pt>
                <c:pt idx="12">
                  <c:v>0.34267817014621038</c:v>
                </c:pt>
                <c:pt idx="13">
                  <c:v>0.37964009839797064</c:v>
                </c:pt>
                <c:pt idx="14">
                  <c:v>0.42060892632180386</c:v>
                </c:pt>
                <c:pt idx="15">
                  <c:v>0.464963319245283</c:v>
                </c:pt>
                <c:pt idx="16">
                  <c:v>0.51170097502799461</c:v>
                </c:pt>
                <c:pt idx="17">
                  <c:v>0.55950242538960493</c:v>
                </c:pt>
                <c:pt idx="18">
                  <c:v>0.6068777635660717</c:v>
                </c:pt>
                <c:pt idx="19">
                  <c:v>0.65236591653726383</c:v>
                </c:pt>
                <c:pt idx="20">
                  <c:v>0.69473062233414862</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0.15851121249147679</c:v>
                </c:pt>
                <c:pt idx="1">
                  <c:v>0.16490973866132325</c:v>
                </c:pt>
                <c:pt idx="2">
                  <c:v>0.17252403610306796</c:v>
                </c:pt>
                <c:pt idx="3">
                  <c:v>0.18158922058148935</c:v>
                </c:pt>
                <c:pt idx="4">
                  <c:v>0.19238210658089902</c:v>
                </c:pt>
                <c:pt idx="5">
                  <c:v>0.20522422113577724</c:v>
                </c:pt>
                <c:pt idx="6">
                  <c:v>0.22048147168573959</c:v>
                </c:pt>
                <c:pt idx="7">
                  <c:v>0.23855768814505668</c:v>
                </c:pt>
                <c:pt idx="8">
                  <c:v>0.2598781835628734</c:v>
                </c:pt>
                <c:pt idx="9">
                  <c:v>0.28485867364032025</c:v>
                </c:pt>
                <c:pt idx="10">
                  <c:v>0.31385516693085891</c:v>
                </c:pt>
                <c:pt idx="11">
                  <c:v>0.3470930460622586</c:v>
                </c:pt>
                <c:pt idx="12">
                  <c:v>0.38457984647360893</c:v>
                </c:pt>
                <c:pt idx="13">
                  <c:v>0.42601647072500892</c:v>
                </c:pt>
                <c:pt idx="14">
                  <c:v>0.47073310972950005</c:v>
                </c:pt>
                <c:pt idx="15">
                  <c:v>0.51768226941674833</c:v>
                </c:pt>
                <c:pt idx="16">
                  <c:v>0.56551347139865926</c:v>
                </c:pt>
                <c:pt idx="17">
                  <c:v>0.61272895063406407</c:v>
                </c:pt>
                <c:pt idx="18">
                  <c:v>0.65788587298929546</c:v>
                </c:pt>
                <c:pt idx="19">
                  <c:v>0.69978761828409508</c:v>
                </c:pt>
                <c:pt idx="20">
                  <c:v>0.73761040444338111</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0.16579577181184399</c:v>
                </c:pt>
                <c:pt idx="1">
                  <c:v>0.17357874305516274</c:v>
                </c:pt>
                <c:pt idx="2">
                  <c:v>0.18284502983913203</c:v>
                </c:pt>
                <c:pt idx="3">
                  <c:v>0.19387695049432499</c:v>
                </c:pt>
                <c:pt idx="4">
                  <c:v>0.20700172519575505</c:v>
                </c:pt>
                <c:pt idx="5">
                  <c:v>0.22259054843283183</c:v>
                </c:pt>
                <c:pt idx="6">
                  <c:v>0.24105110961496812</c:v>
                </c:pt>
                <c:pt idx="7">
                  <c:v>0.26280957820094902</c:v>
                </c:pt>
                <c:pt idx="8">
                  <c:v>0.28827734665643212</c:v>
                </c:pt>
                <c:pt idx="9">
                  <c:v>0.31779831275820664</c:v>
                </c:pt>
                <c:pt idx="10">
                  <c:v>0.35157548721378995</c:v>
                </c:pt>
                <c:pt idx="11">
                  <c:v>0.38958252094508478</c:v>
                </c:pt>
                <c:pt idx="12">
                  <c:v>0.43147636752084556</c:v>
                </c:pt>
                <c:pt idx="13">
                  <c:v>0.47653859797001297</c:v>
                </c:pt>
                <c:pt idx="14">
                  <c:v>0.52367770613787767</c:v>
                </c:pt>
                <c:pt idx="15">
                  <c:v>0.57151471132666376</c:v>
                </c:pt>
                <c:pt idx="16">
                  <c:v>0.61854726639041469</c:v>
                </c:pt>
                <c:pt idx="17">
                  <c:v>0.66335387420990766</c:v>
                </c:pt>
                <c:pt idx="18">
                  <c:v>0.70477959170472548</c:v>
                </c:pt>
                <c:pt idx="19">
                  <c:v>0.74205199053002824</c:v>
                </c:pt>
                <c:pt idx="20">
                  <c:v>0.77480672280418206</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0.17465684214162477</c:v>
                </c:pt>
                <c:pt idx="1">
                  <c:v>0.18412869006224863</c:v>
                </c:pt>
                <c:pt idx="2">
                  <c:v>0.19540481852158242</c:v>
                </c:pt>
                <c:pt idx="3">
                  <c:v>0.20881812992883139</c:v>
                </c:pt>
                <c:pt idx="4">
                  <c:v>0.22474499280645555</c:v>
                </c:pt>
                <c:pt idx="5">
                  <c:v>0.24359667759004058</c:v>
                </c:pt>
                <c:pt idx="6">
                  <c:v>0.26579969034476325</c:v>
                </c:pt>
                <c:pt idx="7">
                  <c:v>0.29176026924002624</c:v>
                </c:pt>
                <c:pt idx="8">
                  <c:v>0.32180903463938454</c:v>
                </c:pt>
                <c:pt idx="9">
                  <c:v>0.35612520604707121</c:v>
                </c:pt>
                <c:pt idx="10">
                  <c:v>0.39464713257513784</c:v>
                </c:pt>
                <c:pt idx="11">
                  <c:v>0.43698684650173308</c:v>
                </c:pt>
                <c:pt idx="12">
                  <c:v>0.4823773031449225</c:v>
                </c:pt>
                <c:pt idx="13">
                  <c:v>0.52968434216429172</c:v>
                </c:pt>
                <c:pt idx="14">
                  <c:v>0.57750312689295558</c:v>
                </c:pt>
                <c:pt idx="15">
                  <c:v>0.62433003755033889</c:v>
                </c:pt>
                <c:pt idx="16">
                  <c:v>0.66876792040410937</c:v>
                </c:pt>
                <c:pt idx="17">
                  <c:v>0.70970536983058075</c:v>
                </c:pt>
                <c:pt idx="18">
                  <c:v>0.74642169472723185</c:v>
                </c:pt>
                <c:pt idx="19">
                  <c:v>0.77860148470519674</c:v>
                </c:pt>
                <c:pt idx="20">
                  <c:v>0.80627596191364093</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0.18544081192269121</c:v>
                </c:pt>
                <c:pt idx="1">
                  <c:v>0.19696641196210424</c:v>
                </c:pt>
                <c:pt idx="2">
                  <c:v>0.21067421980458204</c:v>
                </c:pt>
                <c:pt idx="3">
                  <c:v>0.22694564801433009</c:v>
                </c:pt>
                <c:pt idx="4">
                  <c:v>0.24619524354182126</c:v>
                </c:pt>
                <c:pt idx="5">
                  <c:v>0.26884929350715375</c:v>
                </c:pt>
                <c:pt idx="6">
                  <c:v>0.2953080083263121</c:v>
                </c:pt>
                <c:pt idx="7">
                  <c:v>0.32588752500530616</c:v>
                </c:pt>
                <c:pt idx="8">
                  <c:v>0.36074183474888794</c:v>
                </c:pt>
                <c:pt idx="9">
                  <c:v>0.39977259576426988</c:v>
                </c:pt>
                <c:pt idx="10">
                  <c:v>0.44254604061815817</c:v>
                </c:pt>
                <c:pt idx="11">
                  <c:v>0.48824666911346831</c:v>
                </c:pt>
                <c:pt idx="12">
                  <c:v>0.53569920183235076</c:v>
                </c:pt>
                <c:pt idx="13">
                  <c:v>0.58347572083718291</c:v>
                </c:pt>
                <c:pt idx="14">
                  <c:v>0.63007466054004402</c:v>
                </c:pt>
                <c:pt idx="15">
                  <c:v>0.67412611133199107</c:v>
                </c:pt>
                <c:pt idx="16">
                  <c:v>0.71456388515582714</c:v>
                </c:pt>
                <c:pt idx="17">
                  <c:v>0.75071923294129295</c:v>
                </c:pt>
                <c:pt idx="18">
                  <c:v>0.78232470620839101</c:v>
                </c:pt>
                <c:pt idx="19">
                  <c:v>0.80944862139198936</c:v>
                </c:pt>
                <c:pt idx="20">
                  <c:v>0.83239561393527806</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0.19856244325473107</c:v>
                </c:pt>
                <c:pt idx="1">
                  <c:v>0.21257078846281682</c:v>
                </c:pt>
                <c:pt idx="2">
                  <c:v>0.22919336172347513</c:v>
                </c:pt>
                <c:pt idx="3">
                  <c:v>0.2488476547134045</c:v>
                </c:pt>
                <c:pt idx="4">
                  <c:v>0.27195914319598374</c:v>
                </c:pt>
                <c:pt idx="5">
                  <c:v>0.29892109366373543</c:v>
                </c:pt>
                <c:pt idx="6">
                  <c:v>0.33003391602490978</c:v>
                </c:pt>
                <c:pt idx="7">
                  <c:v>0.36542492266703247</c:v>
                </c:pt>
                <c:pt idx="8">
                  <c:v>0.40495772745670805</c:v>
                </c:pt>
                <c:pt idx="9">
                  <c:v>0.44815198740516177</c:v>
                </c:pt>
                <c:pt idx="10">
                  <c:v>0.49414406874159661</c:v>
                </c:pt>
                <c:pt idx="11">
                  <c:v>0.54171928328556784</c:v>
                </c:pt>
                <c:pt idx="12">
                  <c:v>0.58942952365507562</c:v>
                </c:pt>
                <c:pt idx="13">
                  <c:v>0.63577860649330575</c:v>
                </c:pt>
                <c:pt idx="14">
                  <c:v>0.67942664834825084</c:v>
                </c:pt>
                <c:pt idx="15">
                  <c:v>0.71935417456943973</c:v>
                </c:pt>
                <c:pt idx="16">
                  <c:v>0.75494440924840256</c:v>
                </c:pt>
                <c:pt idx="17">
                  <c:v>0.78597678047187813</c:v>
                </c:pt>
                <c:pt idx="18">
                  <c:v>0.81255508330093351</c:v>
                </c:pt>
                <c:pt idx="19">
                  <c:v>0.83500627725566334</c:v>
                </c:pt>
                <c:pt idx="20">
                  <c:v>0.8537810898049456</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0.21450863829629835</c:v>
                </c:pt>
                <c:pt idx="1">
                  <c:v>0.23148898521258662</c:v>
                </c:pt>
                <c:pt idx="2">
                  <c:v>0.25155475268487898</c:v>
                </c:pt>
                <c:pt idx="3">
                  <c:v>0.27512997479084911</c:v>
                </c:pt>
                <c:pt idx="4">
                  <c:v>0.30260001506754863</c:v>
                </c:pt>
                <c:pt idx="5">
                  <c:v>0.33424827661243522</c:v>
                </c:pt>
                <c:pt idx="6">
                  <c:v>0.37017393385453051</c:v>
                </c:pt>
                <c:pt idx="7">
                  <c:v>0.41020124631337829</c:v>
                </c:pt>
                <c:pt idx="8">
                  <c:v>0.4538026307732177</c:v>
                </c:pt>
                <c:pt idx="9">
                  <c:v>0.5000668085627763</c:v>
                </c:pt>
                <c:pt idx="10">
                  <c:v>0.54774156507005689</c:v>
                </c:pt>
                <c:pt idx="11">
                  <c:v>0.59536160021919926</c:v>
                </c:pt>
                <c:pt idx="12">
                  <c:v>0.641439425917952</c:v>
                </c:pt>
                <c:pt idx="13">
                  <c:v>0.68466783604829939</c:v>
                </c:pt>
                <c:pt idx="14">
                  <c:v>0.72407537818383516</c:v>
                </c:pt>
                <c:pt idx="15">
                  <c:v>0.75909711297591975</c:v>
                </c:pt>
                <c:pt idx="16">
                  <c:v>0.78955815965944809</c:v>
                </c:pt>
                <c:pt idx="17">
                  <c:v>0.81559615039457278</c:v>
                </c:pt>
                <c:pt idx="18">
                  <c:v>0.83755877437164639</c:v>
                </c:pt>
                <c:pt idx="19">
                  <c:v>0.85590618043556321</c:v>
                </c:pt>
                <c:pt idx="20">
                  <c:v>0.87113458821879719</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0.23383337245889979</c:v>
                </c:pt>
                <c:pt idx="1">
                  <c:v>0.25431737185561853</c:v>
                </c:pt>
                <c:pt idx="2">
                  <c:v>0.27836250133283097</c:v>
                </c:pt>
                <c:pt idx="3">
                  <c:v>0.30634521961377414</c:v>
                </c:pt>
                <c:pt idx="4">
                  <c:v>0.3385306094507074</c:v>
                </c:pt>
                <c:pt idx="5">
                  <c:v>0.37498824475540932</c:v>
                </c:pt>
                <c:pt idx="6">
                  <c:v>0.41550177216842349</c:v>
                </c:pt>
                <c:pt idx="7">
                  <c:v>0.45949582316817067</c:v>
                </c:pt>
                <c:pt idx="8">
                  <c:v>0.506012133759007</c:v>
                </c:pt>
                <c:pt idx="9">
                  <c:v>0.55376301285025531</c:v>
                </c:pt>
                <c:pt idx="10">
                  <c:v>0.60126905625198068</c:v>
                </c:pt>
                <c:pt idx="11">
                  <c:v>0.64705475301492488</c:v>
                </c:pt>
                <c:pt idx="12">
                  <c:v>0.68984808352477756</c:v>
                </c:pt>
                <c:pt idx="13">
                  <c:v>0.72872673787488706</c:v>
                </c:pt>
                <c:pt idx="14">
                  <c:v>0.76317731565494074</c:v>
                </c:pt>
                <c:pt idx="15">
                  <c:v>0.79306935151688529</c:v>
                </c:pt>
                <c:pt idx="16">
                  <c:v>0.81857265544217406</c:v>
                </c:pt>
                <c:pt idx="17">
                  <c:v>0.84005408272491999</c:v>
                </c:pt>
                <c:pt idx="18">
                  <c:v>0.85798199157723498</c:v>
                </c:pt>
                <c:pt idx="19">
                  <c:v>0.87285302040599133</c:v>
                </c:pt>
                <c:pt idx="20">
                  <c:v>0.88514417594732253</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0.25713633784186818</c:v>
                </c:pt>
                <c:pt idx="1">
                  <c:v>0.28165741122861998</c:v>
                </c:pt>
                <c:pt idx="2">
                  <c:v>0.31015710878015001</c:v>
                </c:pt>
                <c:pt idx="3">
                  <c:v>0.34288084804374841</c:v>
                </c:pt>
                <c:pt idx="4">
                  <c:v>0.379867142050129</c:v>
                </c:pt>
                <c:pt idx="5">
                  <c:v>0.4208578257849232</c:v>
                </c:pt>
                <c:pt idx="6">
                  <c:v>0.46522932810269696</c:v>
                </c:pt>
                <c:pt idx="7">
                  <c:v>0.51197723344444557</c:v>
                </c:pt>
                <c:pt idx="8">
                  <c:v>0.55978058621228177</c:v>
                </c:pt>
                <c:pt idx="9">
                  <c:v>0.60714904461944308</c:v>
                </c:pt>
                <c:pt idx="10">
                  <c:v>0.65262230963522605</c:v>
                </c:pt>
                <c:pt idx="11">
                  <c:v>0.69496590524066992</c:v>
                </c:pt>
                <c:pt idx="12">
                  <c:v>0.73330759555216662</c:v>
                </c:pt>
                <c:pt idx="13">
                  <c:v>0.76718506786391916</c:v>
                </c:pt>
                <c:pt idx="14">
                  <c:v>0.79651091597013335</c:v>
                </c:pt>
                <c:pt idx="15">
                  <c:v>0.82148545835312947</c:v>
                </c:pt>
                <c:pt idx="16">
                  <c:v>0.84249318767729475</c:v>
                </c:pt>
                <c:pt idx="17">
                  <c:v>0.86000951114252111</c:v>
                </c:pt>
                <c:pt idx="18">
                  <c:v>0.87453073418687943</c:v>
                </c:pt>
                <c:pt idx="19">
                  <c:v>0.88652915120325204</c:v>
                </c:pt>
                <c:pt idx="20">
                  <c:v>0.89642901718928603</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0.28501536587087239</c:v>
                </c:pt>
                <c:pt idx="1">
                  <c:v>0.31403603554145171</c:v>
                </c:pt>
                <c:pt idx="2">
                  <c:v>0.34729885381284353</c:v>
                </c:pt>
                <c:pt idx="3">
                  <c:v>0.38480982067899983</c:v>
                </c:pt>
                <c:pt idx="4">
                  <c:v>0.42626782892441156</c:v>
                </c:pt>
                <c:pt idx="5">
                  <c:v>0.47100082305941465</c:v>
                </c:pt>
                <c:pt idx="6">
                  <c:v>0.51795924623160416</c:v>
                </c:pt>
                <c:pt idx="7">
                  <c:v>0.56579124552141591</c:v>
                </c:pt>
                <c:pt idx="8">
                  <c:v>0.61299877141550196</c:v>
                </c:pt>
                <c:pt idx="9">
                  <c:v>0.65813990886276708</c:v>
                </c:pt>
                <c:pt idx="10">
                  <c:v>0.70001992152741976</c:v>
                </c:pt>
                <c:pt idx="11">
                  <c:v>0.73781739117897938</c:v>
                </c:pt>
                <c:pt idx="12">
                  <c:v>0.77112049598255139</c:v>
                </c:pt>
                <c:pt idx="13">
                  <c:v>0.79988346175755431</c:v>
                </c:pt>
                <c:pt idx="14">
                  <c:v>0.82433544339814091</c:v>
                </c:pt>
                <c:pt idx="15">
                  <c:v>0.84487708057305144</c:v>
                </c:pt>
                <c:pt idx="16">
                  <c:v>0.86198972123994289</c:v>
                </c:pt>
                <c:pt idx="17">
                  <c:v>0.87616863419726032</c:v>
                </c:pt>
                <c:pt idx="18">
                  <c:v>0.8878810300194323</c:v>
                </c:pt>
                <c:pt idx="19">
                  <c:v>0.89754422989113569</c:v>
                </c:pt>
                <c:pt idx="20">
                  <c:v>0.90551781885820604</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0.31798230142742112</c:v>
                </c:pt>
                <c:pt idx="1">
                  <c:v>0.35178441325096083</c:v>
                </c:pt>
                <c:pt idx="2">
                  <c:v>0.38981538206198452</c:v>
                </c:pt>
                <c:pt idx="3">
                  <c:v>0.43173010474354984</c:v>
                </c:pt>
                <c:pt idx="4">
                  <c:v>0.47680790276335111</c:v>
                </c:pt>
                <c:pt idx="5">
                  <c:v>0.52395526605774079</c:v>
                </c:pt>
                <c:pt idx="6">
                  <c:v>0.57179195879957334</c:v>
                </c:pt>
                <c:pt idx="7">
                  <c:v>0.61881550180835054</c:v>
                </c:pt>
                <c:pt idx="8">
                  <c:v>0.6636054582138734</c:v>
                </c:pt>
                <c:pt idx="9">
                  <c:v>0.70500885871850305</c:v>
                </c:pt>
                <c:pt idx="10">
                  <c:v>0.74225566056230019</c:v>
                </c:pt>
                <c:pt idx="11">
                  <c:v>0.77498379887449098</c:v>
                </c:pt>
                <c:pt idx="12">
                  <c:v>0.80318764310751489</c:v>
                </c:pt>
                <c:pt idx="13">
                  <c:v>0.82712351653039262</c:v>
                </c:pt>
                <c:pt idx="14">
                  <c:v>0.84720675690756264</c:v>
                </c:pt>
                <c:pt idx="15">
                  <c:v>0.86392359711169731</c:v>
                </c:pt>
                <c:pt idx="16">
                  <c:v>0.87776761247033763</c:v>
                </c:pt>
                <c:pt idx="17">
                  <c:v>0.8892005929994542</c:v>
                </c:pt>
                <c:pt idx="18">
                  <c:v>0.89863280926438027</c:v>
                </c:pt>
                <c:pt idx="19">
                  <c:v>0.90641650871013812</c:v>
                </c:pt>
                <c:pt idx="20">
                  <c:v>0.91284731342451286</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0.35633723515114957</c:v>
                </c:pt>
                <c:pt idx="1">
                  <c:v>0.39488283253321566</c:v>
                </c:pt>
                <c:pt idx="2">
                  <c:v>0.43724287852989224</c:v>
                </c:pt>
                <c:pt idx="3">
                  <c:v>0.48264808281895261</c:v>
                </c:pt>
                <c:pt idx="4">
                  <c:v>0.52996234824684185</c:v>
                </c:pt>
                <c:pt idx="5">
                  <c:v>0.57777970858835448</c:v>
                </c:pt>
                <c:pt idx="6">
                  <c:v>0.62459656562234378</c:v>
                </c:pt>
                <c:pt idx="7">
                  <c:v>0.66901696244694875</c:v>
                </c:pt>
                <c:pt idx="8">
                  <c:v>0.70993154893080779</c:v>
                </c:pt>
                <c:pt idx="9">
                  <c:v>0.7466220329330584</c:v>
                </c:pt>
                <c:pt idx="10">
                  <c:v>0.77877524451672597</c:v>
                </c:pt>
                <c:pt idx="11">
                  <c:v>0.80642415647150445</c:v>
                </c:pt>
                <c:pt idx="12">
                  <c:v>0.82985060280969558</c:v>
                </c:pt>
                <c:pt idx="13">
                  <c:v>0.84948321460071863</c:v>
                </c:pt>
                <c:pt idx="14">
                  <c:v>0.86581210615526627</c:v>
                </c:pt>
                <c:pt idx="15">
                  <c:v>0.87932854800705995</c:v>
                </c:pt>
                <c:pt idx="16">
                  <c:v>0.89048860598350132</c:v>
                </c:pt>
                <c:pt idx="17">
                  <c:v>0.89969540422408867</c:v>
                </c:pt>
                <c:pt idx="18">
                  <c:v>0.90729387965236885</c:v>
                </c:pt>
                <c:pt idx="19">
                  <c:v>0.91357286858566944</c:v>
                </c:pt>
                <c:pt idx="20">
                  <c:v>0.91877084806275233</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0.40001108200834956</c:v>
                </c:pt>
                <c:pt idx="1">
                  <c:v>0.44280427878708345</c:v>
                </c:pt>
                <c:pt idx="2">
                  <c:v>0.48851880370426398</c:v>
                </c:pt>
                <c:pt idx="3">
                  <c:v>0.53597751578055775</c:v>
                </c:pt>
                <c:pt idx="4">
                  <c:v>0.58375149876323196</c:v>
                </c:pt>
                <c:pt idx="5">
                  <c:v>0.63033936263090573</c:v>
                </c:pt>
                <c:pt idx="6">
                  <c:v>0.67437252597850528</c:v>
                </c:pt>
                <c:pt idx="7">
                  <c:v>0.7147869295078596</c:v>
                </c:pt>
                <c:pt idx="8">
                  <c:v>0.75091622833738514</c:v>
                </c:pt>
                <c:pt idx="9">
                  <c:v>0.78249516659262097</c:v>
                </c:pt>
                <c:pt idx="10">
                  <c:v>0.80959373732198325</c:v>
                </c:pt>
                <c:pt idx="11">
                  <c:v>0.8325176439318589</c:v>
                </c:pt>
                <c:pt idx="12">
                  <c:v>0.85170745237334089</c:v>
                </c:pt>
                <c:pt idx="13">
                  <c:v>0.86765620702564428</c:v>
                </c:pt>
                <c:pt idx="14">
                  <c:v>0.88085230640074064</c:v>
                </c:pt>
                <c:pt idx="15">
                  <c:v>0.89174582000106373</c:v>
                </c:pt>
                <c:pt idx="16">
                  <c:v>0.90073264938114694</c:v>
                </c:pt>
                <c:pt idx="17">
                  <c:v>0.90815045866025945</c:v>
                </c:pt>
                <c:pt idx="18">
                  <c:v>0.91428139208928549</c:v>
                </c:pt>
                <c:pt idx="19">
                  <c:v>0.91935808595201829</c:v>
                </c:pt>
                <c:pt idx="20">
                  <c:v>0.92357079692118926</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0.44841233867806329</c:v>
                </c:pt>
                <c:pt idx="1">
                  <c:v>0.49441743511229508</c:v>
                </c:pt>
                <c:pt idx="2">
                  <c:v>0.54199776574959591</c:v>
                </c:pt>
                <c:pt idx="3">
                  <c:v>0.5897043612647358</c:v>
                </c:pt>
                <c:pt idx="4">
                  <c:v>0.63604136753825835</c:v>
                </c:pt>
                <c:pt idx="5">
                  <c:v>0.67967035490444361</c:v>
                </c:pt>
                <c:pt idx="6">
                  <c:v>0.71957404214044796</c:v>
                </c:pt>
                <c:pt idx="7">
                  <c:v>0.75513805485944852</c:v>
                </c:pt>
                <c:pt idx="8">
                  <c:v>0.78614396106475848</c:v>
                </c:pt>
                <c:pt idx="9">
                  <c:v>0.81269715702316658</c:v>
                </c:pt>
                <c:pt idx="10">
                  <c:v>0.8351255958648669</c:v>
                </c:pt>
                <c:pt idx="11">
                  <c:v>0.85388046822446473</c:v>
                </c:pt>
                <c:pt idx="12">
                  <c:v>0.86945684881485152</c:v>
                </c:pt>
                <c:pt idx="13">
                  <c:v>0.88233973951284317</c:v>
                </c:pt>
                <c:pt idx="14">
                  <c:v>0.89297297125329944</c:v>
                </c:pt>
                <c:pt idx="15">
                  <c:v>0.90174516518873626</c:v>
                </c:pt>
                <c:pt idx="16">
                  <c:v>0.90898676007862733</c:v>
                </c:pt>
                <c:pt idx="17">
                  <c:v>0.91497330589698089</c:v>
                </c:pt>
                <c:pt idx="18">
                  <c:v>0.91993171236765758</c:v>
                </c:pt>
                <c:pt idx="19">
                  <c:v>0.92404741582654637</c:v>
                </c:pt>
                <c:pt idx="20">
                  <c:v>0.92747134567581047</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1.0178093774601931</c:v>
                </c:pt>
                <c:pt idx="1">
                  <c:v>1.0540836210050453</c:v>
                </c:pt>
                <c:pt idx="2">
                  <c:v>1.0967810420007389</c:v>
                </c:pt>
                <c:pt idx="3">
                  <c:v>1.145857603127874</c:v>
                </c:pt>
                <c:pt idx="4">
                  <c:v>1.2013360568348204</c:v>
                </c:pt>
                <c:pt idx="5">
                  <c:v>1.2634206903578065</c:v>
                </c:pt>
                <c:pt idx="6">
                  <c:v>1.3325005694074288</c:v>
                </c:pt>
                <c:pt idx="7">
                  <c:v>1.4091600111107616</c:v>
                </c:pt>
                <c:pt idx="8">
                  <c:v>1.4941908320670847</c:v>
                </c:pt>
                <c:pt idx="9">
                  <c:v>1.5885985877820572</c:v>
                </c:pt>
                <c:pt idx="10">
                  <c:v>1.6935873914420259</c:v>
                </c:pt>
                <c:pt idx="11">
                  <c:v>1.8104957940027702</c:v>
                </c:pt>
                <c:pt idx="12">
                  <c:v>1.9406423478894332</c:v>
                </c:pt>
                <c:pt idx="13">
                  <c:v>2.0850378154496636</c:v>
                </c:pt>
                <c:pt idx="14">
                  <c:v>2.2439633304350735</c:v>
                </c:pt>
                <c:pt idx="15">
                  <c:v>2.416528530459777</c:v>
                </c:pt>
                <c:pt idx="16">
                  <c:v>2.6004572999833924</c:v>
                </c:pt>
                <c:pt idx="17">
                  <c:v>2.7923265961024062</c:v>
                </c:pt>
                <c:pt idx="18">
                  <c:v>2.9882125146857463</c:v>
                </c:pt>
                <c:pt idx="19">
                  <c:v>3.1844085894699896</c:v>
                </c:pt>
                <c:pt idx="20">
                  <c:v>3.377888391523904</c:v>
                </c:pt>
                <c:pt idx="21">
                  <c:v>3.5664366784272454</c:v>
                </c:pt>
                <c:pt idx="22">
                  <c:v>3.7485688615547557</c:v>
                </c:pt>
                <c:pt idx="23">
                  <c:v>3.9233787479277389</c:v>
                </c:pt>
                <c:pt idx="24">
                  <c:v>4.0903923083730369</c:v>
                </c:pt>
                <c:pt idx="25">
                  <c:v>4.2494507965696799</c:v>
                </c:pt>
                <c:pt idx="26">
                  <c:v>4.4006213959392024</c:v>
                </c:pt>
                <c:pt idx="27">
                  <c:v>4.5441280915712277</c:v>
                </c:pt>
                <c:pt idx="28">
                  <c:v>4.6802974458499076</c:v>
                </c:pt>
                <c:pt idx="29">
                  <c:v>4.8095165169121534</c:v>
                </c:pt>
              </c:numCache>
            </c:numRef>
          </c:xVal>
          <c:yVal>
            <c:numRef>
              <c:f>'Iteration Data'!$A$3:$A$1000</c:f>
              <c:numCache>
                <c:formatCode>0.00</c:formatCode>
                <c:ptCount val="998"/>
                <c:pt idx="0">
                  <c:v>1.96846399442027</c:v>
                </c:pt>
                <c:pt idx="1">
                  <c:v>1.95999624288271</c:v>
                </c:pt>
                <c:pt idx="2">
                  <c:v>1.951013454345389</c:v>
                </c:pt>
                <c:pt idx="3">
                  <c:v>1.9411857973433539</c:v>
                </c:pt>
                <c:pt idx="4">
                  <c:v>1.9301513996310589</c:v>
                </c:pt>
                <c:pt idx="5">
                  <c:v>1.9174810809093892</c:v>
                </c:pt>
                <c:pt idx="6">
                  <c:v>1.9026427104773349</c:v>
                </c:pt>
                <c:pt idx="7">
                  <c:v>1.8849591640521259</c:v>
                </c:pt>
                <c:pt idx="8">
                  <c:v>1.8635604004084279</c:v>
                </c:pt>
                <c:pt idx="9">
                  <c:v>1.837336036528411</c:v>
                </c:pt>
                <c:pt idx="10">
                  <c:v>1.8049076534262141</c:v>
                </c:pt>
                <c:pt idx="11">
                  <c:v>1.7646628972965148</c:v>
                </c:pt>
                <c:pt idx="12">
                  <c:v>1.714921090496063</c:v>
                </c:pt>
                <c:pt idx="13">
                  <c:v>1.6543008867221936</c:v>
                </c:pt>
                <c:pt idx="14">
                  <c:v>1.582268684545491</c:v>
                </c:pt>
                <c:pt idx="15">
                  <c:v>1.4996415811139907</c:v>
                </c:pt>
                <c:pt idx="16">
                  <c:v>1.4086883448187411</c:v>
                </c:pt>
                <c:pt idx="17">
                  <c:v>1.3126861894783972</c:v>
                </c:pt>
                <c:pt idx="18">
                  <c:v>1.2151890790081443</c:v>
                </c:pt>
                <c:pt idx="19">
                  <c:v>1.119386413166807</c:v>
                </c:pt>
                <c:pt idx="20">
                  <c:v>1.0277457876348048</c:v>
                </c:pt>
                <c:pt idx="21">
                  <c:v>0.94192367598563398</c:v>
                </c:pt>
                <c:pt idx="22">
                  <c:v>0.86284014189078651</c:v>
                </c:pt>
                <c:pt idx="23">
                  <c:v>0.79082529597887075</c:v>
                </c:pt>
                <c:pt idx="24">
                  <c:v>0.72578271537268979</c:v>
                </c:pt>
                <c:pt idx="25">
                  <c:v>0.66734037378105859</c:v>
                </c:pt>
                <c:pt idx="26">
                  <c:v>0.61497373154580315</c:v>
                </c:pt>
                <c:pt idx="27">
                  <c:v>0.56809573352423803</c:v>
                </c:pt>
                <c:pt idx="28">
                  <c:v>0.52611593335853069</c:v>
                </c:pt>
                <c:pt idx="29">
                  <c:v>0.48847503114161273</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b3</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-0.23870176422359873</c:v>
                </c:pt>
                <c:pt idx="1">
                  <c:v>-0.23835977039415435</c:v>
                </c:pt>
                <c:pt idx="2">
                  <c:v>-0.24138083040290337</c:v>
                </c:pt>
                <c:pt idx="3">
                  <c:v>-0.24730190019296194</c:v>
                </c:pt>
                <c:pt idx="4">
                  <c:v>-0.25627632494184388</c:v>
                </c:pt>
                <c:pt idx="5">
                  <c:v>-0.26862611088800936</c:v>
                </c:pt>
                <c:pt idx="6">
                  <c:v>-0.28486978964393672</c:v>
                </c:pt>
                <c:pt idx="7">
                  <c:v>-0.30575676453580519</c:v>
                </c:pt>
                <c:pt idx="8">
                  <c:v>-0.33231034789085834</c:v>
                </c:pt>
                <c:pt idx="9">
                  <c:v>-0.36586564674679134</c:v>
                </c:pt>
                <c:pt idx="10">
                  <c:v>-0.408068314470176</c:v>
                </c:pt>
                <c:pt idx="11">
                  <c:v>-0.46076417667989045</c:v>
                </c:pt>
                <c:pt idx="12">
                  <c:v>-0.52566812828302756</c:v>
                </c:pt>
                <c:pt idx="13">
                  <c:v>-0.6037138642512172</c:v>
                </c:pt>
                <c:pt idx="14">
                  <c:v>-0.69418654379471978</c:v>
                </c:pt>
                <c:pt idx="15">
                  <c:v>-0.7941721760874394</c:v>
                </c:pt>
                <c:pt idx="16">
                  <c:v>-0.89906507823094384</c:v>
                </c:pt>
                <c:pt idx="17">
                  <c:v>-1.0041369947873986</c:v>
                </c:pt>
                <c:pt idx="18">
                  <c:v>-1.1060419262763908</c:v>
                </c:pt>
                <c:pt idx="19">
                  <c:v>-1.2032414930936064</c:v>
                </c:pt>
                <c:pt idx="20">
                  <c:v>-1.2954977398349092</c:v>
                </c:pt>
                <c:pt idx="21">
                  <c:v>-1.3831601724635538</c:v>
                </c:pt>
                <c:pt idx="22">
                  <c:v>-1.466689231368808</c:v>
                </c:pt>
                <c:pt idx="23">
                  <c:v>-1.546458904846711</c:v>
                </c:pt>
                <c:pt idx="24">
                  <c:v>-1.6227259413271664</c:v>
                </c:pt>
                <c:pt idx="25">
                  <c:v>-1.6956625040144779</c:v>
                </c:pt>
                <c:pt idx="26">
                  <c:v>-1.7653970538901973</c:v>
                </c:pt>
                <c:pt idx="27">
                  <c:v>-1.8320437764178623</c:v>
                </c:pt>
                <c:pt idx="28">
                  <c:v>-1.8957183351535376</c:v>
                </c:pt>
                <c:pt idx="29">
                  <c:v>-1.9565436554844775</c:v>
                </c:pt>
              </c:numCache>
            </c:numRef>
          </c:xVal>
          <c:yVal>
            <c:numRef>
              <c:f>'Iteration Data'!$A$3:$A$1000</c:f>
              <c:numCache>
                <c:formatCode>0.00</c:formatCode>
                <c:ptCount val="998"/>
                <c:pt idx="0">
                  <c:v>1.96846399442027</c:v>
                </c:pt>
                <c:pt idx="1">
                  <c:v>1.95999624288271</c:v>
                </c:pt>
                <c:pt idx="2">
                  <c:v>1.951013454345389</c:v>
                </c:pt>
                <c:pt idx="3">
                  <c:v>1.9411857973433539</c:v>
                </c:pt>
                <c:pt idx="4">
                  <c:v>1.9301513996310589</c:v>
                </c:pt>
                <c:pt idx="5">
                  <c:v>1.9174810809093892</c:v>
                </c:pt>
                <c:pt idx="6">
                  <c:v>1.9026427104773349</c:v>
                </c:pt>
                <c:pt idx="7">
                  <c:v>1.8849591640521259</c:v>
                </c:pt>
                <c:pt idx="8">
                  <c:v>1.8635604004084279</c:v>
                </c:pt>
                <c:pt idx="9">
                  <c:v>1.837336036528411</c:v>
                </c:pt>
                <c:pt idx="10">
                  <c:v>1.8049076534262141</c:v>
                </c:pt>
                <c:pt idx="11">
                  <c:v>1.7646628972965148</c:v>
                </c:pt>
                <c:pt idx="12">
                  <c:v>1.714921090496063</c:v>
                </c:pt>
                <c:pt idx="13">
                  <c:v>1.6543008867221936</c:v>
                </c:pt>
                <c:pt idx="14">
                  <c:v>1.582268684545491</c:v>
                </c:pt>
                <c:pt idx="15">
                  <c:v>1.4996415811139907</c:v>
                </c:pt>
                <c:pt idx="16">
                  <c:v>1.4086883448187411</c:v>
                </c:pt>
                <c:pt idx="17">
                  <c:v>1.3126861894783972</c:v>
                </c:pt>
                <c:pt idx="18">
                  <c:v>1.2151890790081443</c:v>
                </c:pt>
                <c:pt idx="19">
                  <c:v>1.119386413166807</c:v>
                </c:pt>
                <c:pt idx="20">
                  <c:v>1.0277457876348048</c:v>
                </c:pt>
                <c:pt idx="21">
                  <c:v>0.94192367598563398</c:v>
                </c:pt>
                <c:pt idx="22">
                  <c:v>0.86284014189078651</c:v>
                </c:pt>
                <c:pt idx="23">
                  <c:v>0.79082529597887075</c:v>
                </c:pt>
                <c:pt idx="24">
                  <c:v>0.72578271537268979</c:v>
                </c:pt>
                <c:pt idx="25">
                  <c:v>0.66734037378105859</c:v>
                </c:pt>
                <c:pt idx="26">
                  <c:v>0.61497373154580315</c:v>
                </c:pt>
                <c:pt idx="27">
                  <c:v>0.56809573352423803</c:v>
                </c:pt>
                <c:pt idx="28">
                  <c:v>0.52611593335853069</c:v>
                </c:pt>
                <c:pt idx="29">
                  <c:v>0.48847503114161273</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-1.5740094414890893</c:v>
                </c:pt>
                <c:pt idx="1">
                  <c:v>-1.6394239910906188</c:v>
                </c:pt>
                <c:pt idx="2">
                  <c:v>-1.7024886882672412</c:v>
                </c:pt>
                <c:pt idx="3">
                  <c:v>-1.7636812161497157</c:v>
                </c:pt>
                <c:pt idx="4">
                  <c:v>-1.8234634559978407</c:v>
                </c:pt>
                <c:pt idx="5">
                  <c:v>-1.8822463875967013</c:v>
                </c:pt>
                <c:pt idx="6">
                  <c:v>-1.9404111336866625</c:v>
                </c:pt>
                <c:pt idx="7">
                  <c:v>-1.9983284801166021</c:v>
                </c:pt>
                <c:pt idx="8">
                  <c:v>-2.0563798411752878</c:v>
                </c:pt>
                <c:pt idx="9">
                  <c:v>-2.1149825391077726</c:v>
                </c:pt>
                <c:pt idx="10">
                  <c:v>-2.174622988485051</c:v>
                </c:pt>
                <c:pt idx="11">
                  <c:v>-2.2359006828708337</c:v>
                </c:pt>
                <c:pt idx="12">
                  <c:v>-2.2995795905765264</c:v>
                </c:pt>
                <c:pt idx="13">
                  <c:v>-2.3666230965129174</c:v>
                </c:pt>
                <c:pt idx="14">
                  <c:v>-2.4381480456663822</c:v>
                </c:pt>
                <c:pt idx="15">
                  <c:v>-2.515201681422143</c:v>
                </c:pt>
                <c:pt idx="16">
                  <c:v>-2.5983367243095157</c:v>
                </c:pt>
                <c:pt idx="17">
                  <c:v>-2.6871785304142572</c:v>
                </c:pt>
                <c:pt idx="18">
                  <c:v>-2.7803155828530031</c:v>
                </c:pt>
                <c:pt idx="19">
                  <c:v>-2.8756350618415349</c:v>
                </c:pt>
                <c:pt idx="20">
                  <c:v>-2.9708806432971531</c:v>
                </c:pt>
                <c:pt idx="21">
                  <c:v>-3.0641197669734233</c:v>
                </c:pt>
                <c:pt idx="22">
                  <c:v>-3.1539715349786639</c:v>
                </c:pt>
                <c:pt idx="23">
                  <c:v>-3.239622667085464</c:v>
                </c:pt>
                <c:pt idx="24">
                  <c:v>-3.3207254652138389</c:v>
                </c:pt>
                <c:pt idx="25">
                  <c:v>-3.3972593339140458</c:v>
                </c:pt>
                <c:pt idx="26">
                  <c:v>-3.4694034908799267</c:v>
                </c:pt>
                <c:pt idx="27">
                  <c:v>-3.5374401431452638</c:v>
                </c:pt>
                <c:pt idx="28">
                  <c:v>-3.6016900795563482</c:v>
                </c:pt>
                <c:pt idx="29">
                  <c:v>-3.6624746381905831</c:v>
                </c:pt>
              </c:numCache>
            </c:numRef>
          </c:xVal>
          <c:yVal>
            <c:numRef>
              <c:f>'Iteration Data'!$A$3:$A$1000</c:f>
              <c:numCache>
                <c:formatCode>0.00</c:formatCode>
                <c:ptCount val="998"/>
                <c:pt idx="0">
                  <c:v>1.96846399442027</c:v>
                </c:pt>
                <c:pt idx="1">
                  <c:v>1.95999624288271</c:v>
                </c:pt>
                <c:pt idx="2">
                  <c:v>1.951013454345389</c:v>
                </c:pt>
                <c:pt idx="3">
                  <c:v>1.9411857973433539</c:v>
                </c:pt>
                <c:pt idx="4">
                  <c:v>1.9301513996310589</c:v>
                </c:pt>
                <c:pt idx="5">
                  <c:v>1.9174810809093892</c:v>
                </c:pt>
                <c:pt idx="6">
                  <c:v>1.9026427104773349</c:v>
                </c:pt>
                <c:pt idx="7">
                  <c:v>1.8849591640521259</c:v>
                </c:pt>
                <c:pt idx="8">
                  <c:v>1.8635604004084279</c:v>
                </c:pt>
                <c:pt idx="9">
                  <c:v>1.837336036528411</c:v>
                </c:pt>
                <c:pt idx="10">
                  <c:v>1.8049076534262141</c:v>
                </c:pt>
                <c:pt idx="11">
                  <c:v>1.7646628972965148</c:v>
                </c:pt>
                <c:pt idx="12">
                  <c:v>1.714921090496063</c:v>
                </c:pt>
                <c:pt idx="13">
                  <c:v>1.6543008867221936</c:v>
                </c:pt>
                <c:pt idx="14">
                  <c:v>1.582268684545491</c:v>
                </c:pt>
                <c:pt idx="15">
                  <c:v>1.4996415811139907</c:v>
                </c:pt>
                <c:pt idx="16">
                  <c:v>1.4086883448187411</c:v>
                </c:pt>
                <c:pt idx="17">
                  <c:v>1.3126861894783972</c:v>
                </c:pt>
                <c:pt idx="18">
                  <c:v>1.2151890790081443</c:v>
                </c:pt>
                <c:pt idx="19">
                  <c:v>1.119386413166807</c:v>
                </c:pt>
                <c:pt idx="20">
                  <c:v>1.0277457876348048</c:v>
                </c:pt>
                <c:pt idx="21">
                  <c:v>0.94192367598563398</c:v>
                </c:pt>
                <c:pt idx="22">
                  <c:v>0.86284014189078651</c:v>
                </c:pt>
                <c:pt idx="23">
                  <c:v>0.79082529597887075</c:v>
                </c:pt>
                <c:pt idx="24">
                  <c:v>0.72578271537268979</c:v>
                </c:pt>
                <c:pt idx="25">
                  <c:v>0.66734037378105859</c:v>
                </c:pt>
                <c:pt idx="26">
                  <c:v>0.61497373154580315</c:v>
                </c:pt>
                <c:pt idx="27">
                  <c:v>0.56809573352423803</c:v>
                </c:pt>
                <c:pt idx="28">
                  <c:v>0.52611593335853069</c:v>
                </c:pt>
                <c:pt idx="29">
                  <c:v>0.48847503114161273</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0.47804121429920043</c:v>
                </c:pt>
                <c:pt idx="1">
                  <c:v>0.4120969380370158</c:v>
                </c:pt>
                <c:pt idx="2">
                  <c:v>0.34780226345172249</c:v>
                </c:pt>
                <c:pt idx="3">
                  <c:v>0.28469656545819899</c:v>
                </c:pt>
                <c:pt idx="4">
                  <c:v>0.22230726941518825</c:v>
                </c:pt>
                <c:pt idx="5">
                  <c:v>0.16016632464511257</c:v>
                </c:pt>
                <c:pt idx="6">
                  <c:v>9.778234654558822E-2</c:v>
                </c:pt>
                <c:pt idx="7">
                  <c:v>3.4607781335406526E-2</c:v>
                </c:pt>
                <c:pt idx="8">
                  <c:v>-3.0003086532539566E-2</c:v>
                </c:pt>
                <c:pt idx="9">
                  <c:v>-9.6848795702073207E-2</c:v>
                </c:pt>
                <c:pt idx="10">
                  <c:v>-0.1669481218662725</c:v>
                </c:pt>
                <c:pt idx="11">
                  <c:v>-0.24160717094212666</c:v>
                </c:pt>
                <c:pt idx="12">
                  <c:v>-0.3224391254720731</c:v>
                </c:pt>
                <c:pt idx="13">
                  <c:v>-0.41123024655376217</c:v>
                </c:pt>
                <c:pt idx="14">
                  <c:v>-0.50950858933889309</c:v>
                </c:pt>
                <c:pt idx="15">
                  <c:v>-0.61780660277354349</c:v>
                </c:pt>
                <c:pt idx="16">
                  <c:v>-0.73499815164479632</c:v>
                </c:pt>
                <c:pt idx="17">
                  <c:v>-0.85832220614616295</c:v>
                </c:pt>
                <c:pt idx="18">
                  <c:v>-0.98421396074191181</c:v>
                </c:pt>
                <c:pt idx="19">
                  <c:v>-1.1093389169404484</c:v>
                </c:pt>
                <c:pt idx="20">
                  <c:v>-1.2312150230803465</c:v>
                </c:pt>
                <c:pt idx="21">
                  <c:v>-1.3483195305579758</c:v>
                </c:pt>
                <c:pt idx="22">
                  <c:v>-1.4599030082089686</c:v>
                </c:pt>
                <c:pt idx="23">
                  <c:v>-1.5657339797773417</c:v>
                </c:pt>
                <c:pt idx="24">
                  <c:v>-1.6658857589448779</c:v>
                </c:pt>
                <c:pt idx="25">
                  <c:v>-1.7605917786836363</c:v>
                </c:pt>
                <c:pt idx="26">
                  <c:v>-1.8501584987860944</c:v>
                </c:pt>
                <c:pt idx="27">
                  <c:v>-1.9349169689556973</c:v>
                </c:pt>
                <c:pt idx="28">
                  <c:v>-2.0151974440916338</c:v>
                </c:pt>
                <c:pt idx="29">
                  <c:v>-2.0913168386377992</c:v>
                </c:pt>
              </c:numCache>
            </c:numRef>
          </c:xVal>
          <c:yVal>
            <c:numRef>
              <c:f>'Iteration Data'!$A$3:$A$1000</c:f>
              <c:numCache>
                <c:formatCode>0.00</c:formatCode>
                <c:ptCount val="998"/>
                <c:pt idx="0">
                  <c:v>1.96846399442027</c:v>
                </c:pt>
                <c:pt idx="1">
                  <c:v>1.95999624288271</c:v>
                </c:pt>
                <c:pt idx="2">
                  <c:v>1.951013454345389</c:v>
                </c:pt>
                <c:pt idx="3">
                  <c:v>1.9411857973433539</c:v>
                </c:pt>
                <c:pt idx="4">
                  <c:v>1.9301513996310589</c:v>
                </c:pt>
                <c:pt idx="5">
                  <c:v>1.9174810809093892</c:v>
                </c:pt>
                <c:pt idx="6">
                  <c:v>1.9026427104773349</c:v>
                </c:pt>
                <c:pt idx="7">
                  <c:v>1.8849591640521259</c:v>
                </c:pt>
                <c:pt idx="8">
                  <c:v>1.8635604004084279</c:v>
                </c:pt>
                <c:pt idx="9">
                  <c:v>1.837336036528411</c:v>
                </c:pt>
                <c:pt idx="10">
                  <c:v>1.8049076534262141</c:v>
                </c:pt>
                <c:pt idx="11">
                  <c:v>1.7646628972965148</c:v>
                </c:pt>
                <c:pt idx="12">
                  <c:v>1.714921090496063</c:v>
                </c:pt>
                <c:pt idx="13">
                  <c:v>1.6543008867221936</c:v>
                </c:pt>
                <c:pt idx="14">
                  <c:v>1.582268684545491</c:v>
                </c:pt>
                <c:pt idx="15">
                  <c:v>1.4996415811139907</c:v>
                </c:pt>
                <c:pt idx="16">
                  <c:v>1.4086883448187411</c:v>
                </c:pt>
                <c:pt idx="17">
                  <c:v>1.3126861894783972</c:v>
                </c:pt>
                <c:pt idx="18">
                  <c:v>1.2151890790081443</c:v>
                </c:pt>
                <c:pt idx="19">
                  <c:v>1.119386413166807</c:v>
                </c:pt>
                <c:pt idx="20">
                  <c:v>1.0277457876348048</c:v>
                </c:pt>
                <c:pt idx="21">
                  <c:v>0.94192367598563398</c:v>
                </c:pt>
                <c:pt idx="22">
                  <c:v>0.86284014189078651</c:v>
                </c:pt>
                <c:pt idx="23">
                  <c:v>0.79082529597887075</c:v>
                </c:pt>
                <c:pt idx="24">
                  <c:v>0.72578271537268979</c:v>
                </c:pt>
                <c:pt idx="25">
                  <c:v>0.66734037378105859</c:v>
                </c:pt>
                <c:pt idx="26">
                  <c:v>0.61497373154580315</c:v>
                </c:pt>
                <c:pt idx="27">
                  <c:v>0.56809573352423803</c:v>
                </c:pt>
                <c:pt idx="28">
                  <c:v>0.52611593335853069</c:v>
                </c:pt>
                <c:pt idx="29">
                  <c:v>0.48847503114161273</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-1.4939236443586075</c:v>
                </c:pt>
                <c:pt idx="1">
                  <c:v>-1.4318917168359824</c:v>
                </c:pt>
                <c:pt idx="2">
                  <c:v>-1.3667582316453935</c:v>
                </c:pt>
                <c:pt idx="3">
                  <c:v>-1.2977380072834999</c:v>
                </c:pt>
                <c:pt idx="4">
                  <c:v>-1.2240119901277393</c:v>
                </c:pt>
                <c:pt idx="5">
                  <c:v>-1.1446565138619695</c:v>
                </c:pt>
                <c:pt idx="6">
                  <c:v>-1.0586080678657246</c:v>
                </c:pt>
                <c:pt idx="7">
                  <c:v>-0.9646259864887905</c:v>
                </c:pt>
                <c:pt idx="8">
                  <c:v>-0.86125703642238371</c:v>
                </c:pt>
                <c:pt idx="9">
                  <c:v>-0.7468110039526118</c:v>
                </c:pt>
                <c:pt idx="10">
                  <c:v>-0.61936672518573899</c:v>
                </c:pt>
                <c:pt idx="11">
                  <c:v>-0.47684441139464095</c:v>
                </c:pt>
                <c:pt idx="12">
                  <c:v>-0.31719951350618519</c:v>
                </c:pt>
                <c:pt idx="13">
                  <c:v>-0.13879823222871238</c:v>
                </c:pt>
                <c:pt idx="14">
                  <c:v>5.9017372633200643E-2</c:v>
                </c:pt>
                <c:pt idx="15">
                  <c:v>0.27531960537984979</c:v>
                </c:pt>
                <c:pt idx="16">
                  <c:v>0.50727601465848715</c:v>
                </c:pt>
                <c:pt idx="17">
                  <c:v>0.75043531003346331</c:v>
                </c:pt>
                <c:pt idx="18">
                  <c:v>0.99955220774113651</c:v>
                </c:pt>
                <c:pt idx="19">
                  <c:v>1.2494986106659414</c:v>
                </c:pt>
                <c:pt idx="20">
                  <c:v>1.4958638632197154</c:v>
                </c:pt>
                <c:pt idx="21">
                  <c:v>1.7351927468864652</c:v>
                </c:pt>
                <c:pt idx="22">
                  <c:v>1.9650098973029624</c:v>
                </c:pt>
                <c:pt idx="23">
                  <c:v>2.1837487850487878</c:v>
                </c:pt>
                <c:pt idx="24">
                  <c:v>2.3906253802050146</c:v>
                </c:pt>
                <c:pt idx="25">
                  <c:v>2.5854731919542546</c:v>
                </c:pt>
                <c:pt idx="26">
                  <c:v>2.7685649839889863</c:v>
                </c:pt>
                <c:pt idx="27">
                  <c:v>2.9404494877291865</c:v>
                </c:pt>
                <c:pt idx="28">
                  <c:v>3.1018216188168823</c:v>
                </c:pt>
                <c:pt idx="29">
                  <c:v>3.2534311551051474</c:v>
                </c:pt>
              </c:numCache>
            </c:numRef>
          </c:xVal>
          <c:yVal>
            <c:numRef>
              <c:f>'Iteration Data'!$A$3:$A$1000</c:f>
              <c:numCache>
                <c:formatCode>0.00</c:formatCode>
                <c:ptCount val="998"/>
                <c:pt idx="0">
                  <c:v>1.96846399442027</c:v>
                </c:pt>
                <c:pt idx="1">
                  <c:v>1.95999624288271</c:v>
                </c:pt>
                <c:pt idx="2">
                  <c:v>1.951013454345389</c:v>
                </c:pt>
                <c:pt idx="3">
                  <c:v>1.9411857973433539</c:v>
                </c:pt>
                <c:pt idx="4">
                  <c:v>1.9301513996310589</c:v>
                </c:pt>
                <c:pt idx="5">
                  <c:v>1.9174810809093892</c:v>
                </c:pt>
                <c:pt idx="6">
                  <c:v>1.9026427104773349</c:v>
                </c:pt>
                <c:pt idx="7">
                  <c:v>1.8849591640521259</c:v>
                </c:pt>
                <c:pt idx="8">
                  <c:v>1.8635604004084279</c:v>
                </c:pt>
                <c:pt idx="9">
                  <c:v>1.837336036528411</c:v>
                </c:pt>
                <c:pt idx="10">
                  <c:v>1.8049076534262141</c:v>
                </c:pt>
                <c:pt idx="11">
                  <c:v>1.7646628972965148</c:v>
                </c:pt>
                <c:pt idx="12">
                  <c:v>1.714921090496063</c:v>
                </c:pt>
                <c:pt idx="13">
                  <c:v>1.6543008867221936</c:v>
                </c:pt>
                <c:pt idx="14">
                  <c:v>1.582268684545491</c:v>
                </c:pt>
                <c:pt idx="15">
                  <c:v>1.4996415811139907</c:v>
                </c:pt>
                <c:pt idx="16">
                  <c:v>1.4086883448187411</c:v>
                </c:pt>
                <c:pt idx="17">
                  <c:v>1.3126861894783972</c:v>
                </c:pt>
                <c:pt idx="18">
                  <c:v>1.2151890790081443</c:v>
                </c:pt>
                <c:pt idx="19">
                  <c:v>1.119386413166807</c:v>
                </c:pt>
                <c:pt idx="20">
                  <c:v>1.0277457876348048</c:v>
                </c:pt>
                <c:pt idx="21">
                  <c:v>0.94192367598563398</c:v>
                </c:pt>
                <c:pt idx="22">
                  <c:v>0.86284014189078651</c:v>
                </c:pt>
                <c:pt idx="23">
                  <c:v>0.79082529597887075</c:v>
                </c:pt>
                <c:pt idx="24">
                  <c:v>0.72578271537268979</c:v>
                </c:pt>
                <c:pt idx="25">
                  <c:v>0.66734037378105859</c:v>
                </c:pt>
                <c:pt idx="26">
                  <c:v>0.61497373154580315</c:v>
                </c:pt>
                <c:pt idx="27">
                  <c:v>0.56809573352423803</c:v>
                </c:pt>
                <c:pt idx="28">
                  <c:v>0.52611593335853069</c:v>
                </c:pt>
                <c:pt idx="29">
                  <c:v>0.48847503114161273</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Data'!$R$3:$R$1000</c:f>
              <c:numCache>
                <c:formatCode>0.00</c:formatCode>
                <c:ptCount val="998"/>
                <c:pt idx="0">
                  <c:v>-9.625942306813029E-2</c:v>
                </c:pt>
                <c:pt idx="1">
                  <c:v>-7.9462529710451757E-2</c:v>
                </c:pt>
                <c:pt idx="2">
                  <c:v>-5.7641078487100178E-2</c:v>
                </c:pt>
                <c:pt idx="3">
                  <c:v>-3.0323043590844763E-2</c:v>
                </c:pt>
                <c:pt idx="4">
                  <c:v>2.964545000096401E-3</c:v>
                </c:pt>
                <c:pt idx="5">
                  <c:v>4.2793221809033812E-2</c:v>
                </c:pt>
                <c:pt idx="6">
                  <c:v>8.9834351618677005E-2</c:v>
                </c:pt>
                <c:pt idx="7">
                  <c:v>0.14484946266773879</c:v>
                </c:pt>
                <c:pt idx="8">
                  <c:v>0.20865533304758277</c:v>
                </c:pt>
                <c:pt idx="9">
                  <c:v>0.28204074767108667</c:v>
                </c:pt>
                <c:pt idx="10">
                  <c:v>0.36559818382050657</c:v>
                </c:pt>
                <c:pt idx="11">
                  <c:v>0.45942302412443209</c:v>
                </c:pt>
                <c:pt idx="12">
                  <c:v>0.56264887720048695</c:v>
                </c:pt>
                <c:pt idx="13">
                  <c:v>0.67288230589406195</c:v>
                </c:pt>
                <c:pt idx="14">
                  <c:v>0.78582262666703029</c:v>
                </c:pt>
                <c:pt idx="15">
                  <c:v>0.89559050387886763</c:v>
                </c:pt>
                <c:pt idx="16">
                  <c:v>0.99610849784356059</c:v>
                </c:pt>
                <c:pt idx="17">
                  <c:v>1.0830037664827081</c:v>
                </c:pt>
                <c:pt idx="18">
                  <c:v>1.154794905238945</c:v>
                </c:pt>
                <c:pt idx="19">
                  <c:v>1.2126886433844242</c:v>
                </c:pt>
                <c:pt idx="20">
                  <c:v>1.259465773369473</c:v>
                </c:pt>
                <c:pt idx="21">
                  <c:v>1.2983108998790798</c:v>
                </c:pt>
                <c:pt idx="22">
                  <c:v>1.3320482298623406</c:v>
                </c:pt>
                <c:pt idx="23">
                  <c:v>1.3628155111531028</c:v>
                </c:pt>
                <c:pt idx="24">
                  <c:v>1.3920355742956765</c:v>
                </c:pt>
                <c:pt idx="25">
                  <c:v>1.4205385993705011</c:v>
                </c:pt>
                <c:pt idx="26">
                  <c:v>1.4487311399404135</c:v>
                </c:pt>
                <c:pt idx="27">
                  <c:v>1.4767528332400921</c:v>
                </c:pt>
                <c:pt idx="28">
                  <c:v>1.5045962734250451</c:v>
                </c:pt>
                <c:pt idx="29">
                  <c:v>1.532187106408633</c:v>
                </c:pt>
              </c:numCache>
            </c:numRef>
          </c:xVal>
          <c:yVal>
            <c:numRef>
              <c:f>'Iteration Data'!$A$3:$A$1000</c:f>
              <c:numCache>
                <c:formatCode>0.00</c:formatCode>
                <c:ptCount val="998"/>
                <c:pt idx="0">
                  <c:v>1.96846399442027</c:v>
                </c:pt>
                <c:pt idx="1">
                  <c:v>1.95999624288271</c:v>
                </c:pt>
                <c:pt idx="2">
                  <c:v>1.951013454345389</c:v>
                </c:pt>
                <c:pt idx="3">
                  <c:v>1.9411857973433539</c:v>
                </c:pt>
                <c:pt idx="4">
                  <c:v>1.9301513996310589</c:v>
                </c:pt>
                <c:pt idx="5">
                  <c:v>1.9174810809093892</c:v>
                </c:pt>
                <c:pt idx="6">
                  <c:v>1.9026427104773349</c:v>
                </c:pt>
                <c:pt idx="7">
                  <c:v>1.8849591640521259</c:v>
                </c:pt>
                <c:pt idx="8">
                  <c:v>1.8635604004084279</c:v>
                </c:pt>
                <c:pt idx="9">
                  <c:v>1.837336036528411</c:v>
                </c:pt>
                <c:pt idx="10">
                  <c:v>1.8049076534262141</c:v>
                </c:pt>
                <c:pt idx="11">
                  <c:v>1.7646628972965148</c:v>
                </c:pt>
                <c:pt idx="12">
                  <c:v>1.714921090496063</c:v>
                </c:pt>
                <c:pt idx="13">
                  <c:v>1.6543008867221936</c:v>
                </c:pt>
                <c:pt idx="14">
                  <c:v>1.582268684545491</c:v>
                </c:pt>
                <c:pt idx="15">
                  <c:v>1.4996415811139907</c:v>
                </c:pt>
                <c:pt idx="16">
                  <c:v>1.4086883448187411</c:v>
                </c:pt>
                <c:pt idx="17">
                  <c:v>1.3126861894783972</c:v>
                </c:pt>
                <c:pt idx="18">
                  <c:v>1.2151890790081443</c:v>
                </c:pt>
                <c:pt idx="19">
                  <c:v>1.119386413166807</c:v>
                </c:pt>
                <c:pt idx="20">
                  <c:v>1.0277457876348048</c:v>
                </c:pt>
                <c:pt idx="21">
                  <c:v>0.94192367598563398</c:v>
                </c:pt>
                <c:pt idx="22">
                  <c:v>0.86284014189078651</c:v>
                </c:pt>
                <c:pt idx="23">
                  <c:v>0.79082529597887075</c:v>
                </c:pt>
                <c:pt idx="24">
                  <c:v>0.72578271537268979</c:v>
                </c:pt>
                <c:pt idx="25">
                  <c:v>0.66734037378105859</c:v>
                </c:pt>
                <c:pt idx="26">
                  <c:v>0.61497373154580315</c:v>
                </c:pt>
                <c:pt idx="27">
                  <c:v>0.56809573352423803</c:v>
                </c:pt>
                <c:pt idx="28">
                  <c:v>0.52611593335853069</c:v>
                </c:pt>
                <c:pt idx="29">
                  <c:v>0.48847503114161273</c:v>
                </c:pt>
              </c:numCache>
            </c:numRef>
          </c:yVal>
          <c:smooth val="1"/>
          <c:extLst>
            <c:ext xmlns:c16="http://schemas.microsoft.com/office/drawing/2014/chart" uri="{C3380CC4-5D6E-409C-BE32-E72D297353CC}">
              <c16:uniqueId val="{00000000-E9B0-4916-872D-904AA14BFD0A}"/>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0.13158868905876925</c:v>
                </c:pt>
                <c:pt idx="1">
                  <c:v>0.13297515602870308</c:v>
                </c:pt>
                <c:pt idx="2">
                  <c:v>0.13461320306662883</c:v>
                </c:pt>
                <c:pt idx="3">
                  <c:v>0.13654968183876004</c:v>
                </c:pt>
                <c:pt idx="4">
                  <c:v>0.13884055097583631</c:v>
                </c:pt>
                <c:pt idx="5">
                  <c:v>0.14155274297820702</c:v>
                </c:pt>
                <c:pt idx="6">
                  <c:v>0.14476642117591842</c:v>
                </c:pt>
                <c:pt idx="7">
                  <c:v>0.14857769413063771</c:v>
                </c:pt>
                <c:pt idx="8">
                  <c:v>0.1531018508603284</c:v>
                </c:pt>
                <c:pt idx="9">
                  <c:v>0.15847716038883039</c:v>
                </c:pt>
                <c:pt idx="10">
                  <c:v>0.16486923004222998</c:v>
                </c:pt>
                <c:pt idx="11">
                  <c:v>0.17247581733132653</c:v>
                </c:pt>
                <c:pt idx="12">
                  <c:v>0.18153180801605889</c:v>
                </c:pt>
                <c:pt idx="13">
                  <c:v>0.19231376322324231</c:v>
                </c:pt>
                <c:pt idx="14">
                  <c:v>0.20514294659247087</c:v>
                </c:pt>
                <c:pt idx="15">
                  <c:v>0.22038501859057982</c:v>
                </c:pt>
                <c:pt idx="16">
                  <c:v>0.23844362432231508</c:v>
                </c:pt>
                <c:pt idx="17">
                  <c:v>0.25974402523125623</c:v>
                </c:pt>
                <c:pt idx="18">
                  <c:v>0.28470211754042868</c:v>
                </c:pt>
                <c:pt idx="19">
                  <c:v>0.31367444232158342</c:v>
                </c:pt>
                <c:pt idx="20">
                  <c:v>0.34688738282802856</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0.1331663882886043</c:v>
                </c:pt>
                <c:pt idx="1">
                  <c:v>0.13483920952921288</c:v>
                </c:pt>
                <c:pt idx="2">
                  <c:v>0.13681696238899033</c:v>
                </c:pt>
                <c:pt idx="3">
                  <c:v>0.13915687519827749</c:v>
                </c:pt>
                <c:pt idx="4">
                  <c:v>0.14192741110683776</c:v>
                </c:pt>
                <c:pt idx="5">
                  <c:v>0.14521057883466598</c:v>
                </c:pt>
                <c:pt idx="6">
                  <c:v>0.14910470928630504</c:v>
                </c:pt>
                <c:pt idx="7">
                  <c:v>0.15372775999615124</c:v>
                </c:pt>
                <c:pt idx="8">
                  <c:v>0.15922118669145519</c:v>
                </c:pt>
                <c:pt idx="9">
                  <c:v>0.16575436719716344</c:v>
                </c:pt>
                <c:pt idx="10">
                  <c:v>0.17352945495199529</c:v>
                </c:pt>
                <c:pt idx="11">
                  <c:v>0.18278634385815057</c:v>
                </c:pt>
                <c:pt idx="12">
                  <c:v>0.19380709667758136</c:v>
                </c:pt>
                <c:pt idx="13">
                  <c:v>0.2069186704659951</c:v>
                </c:pt>
                <c:pt idx="14">
                  <c:v>0.22249201757270284</c:v>
                </c:pt>
                <c:pt idx="15">
                  <c:v>0.240934654865925</c:v>
                </c:pt>
                <c:pt idx="16">
                  <c:v>0.26267272339190029</c:v>
                </c:pt>
                <c:pt idx="17">
                  <c:v>0.28811783355307313</c:v>
                </c:pt>
                <c:pt idx="18">
                  <c:v>0.31761446862487042</c:v>
                </c:pt>
                <c:pt idx="19">
                  <c:v>0.35136670507845758</c:v>
                </c:pt>
                <c:pt idx="20">
                  <c:v>0.38934979231105171</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0.13507002408660329</c:v>
                </c:pt>
                <c:pt idx="1">
                  <c:v>0.13708995318720299</c:v>
                </c:pt>
                <c:pt idx="2">
                  <c:v>0.13947998889737837</c:v>
                </c:pt>
                <c:pt idx="3">
                  <c:v>0.14231016145403574</c:v>
                </c:pt>
                <c:pt idx="4">
                  <c:v>0.14566436877454694</c:v>
                </c:pt>
                <c:pt idx="5">
                  <c:v>0.14964321628434221</c:v>
                </c:pt>
                <c:pt idx="6">
                  <c:v>0.15436739124312029</c:v>
                </c:pt>
                <c:pt idx="7">
                  <c:v>0.15998160615561843</c:v>
                </c:pt>
                <c:pt idx="8">
                  <c:v>0.16665908645614774</c:v>
                </c:pt>
                <c:pt idx="9">
                  <c:v>0.17460646079900161</c:v>
                </c:pt>
                <c:pt idx="10">
                  <c:v>0.18406870269972736</c:v>
                </c:pt>
                <c:pt idx="11">
                  <c:v>0.19533342208469776</c:v>
                </c:pt>
                <c:pt idx="12">
                  <c:v>0.20873325896206502</c:v>
                </c:pt>
                <c:pt idx="13">
                  <c:v>0.22464434530726957</c:v>
                </c:pt>
                <c:pt idx="14">
                  <c:v>0.24347779245771417</c:v>
                </c:pt>
                <c:pt idx="15">
                  <c:v>0.26566010288459846</c:v>
                </c:pt>
                <c:pt idx="16">
                  <c:v>0.29159777205946757</c:v>
                </c:pt>
                <c:pt idx="17">
                  <c:v>0.32162206067435878</c:v>
                </c:pt>
                <c:pt idx="18">
                  <c:v>0.35591332005864423</c:v>
                </c:pt>
                <c:pt idx="19">
                  <c:v>0.39441156277833722</c:v>
                </c:pt>
                <c:pt idx="20">
                  <c:v>0.43673091867818015</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0.13736877950306786</c:v>
                </c:pt>
                <c:pt idx="1">
                  <c:v>0.1398100420429883</c:v>
                </c:pt>
                <c:pt idx="2">
                  <c:v>0.14270117377041999</c:v>
                </c:pt>
                <c:pt idx="3">
                  <c:v>0.14612800660870592</c:v>
                </c:pt>
                <c:pt idx="4">
                  <c:v>0.15019347379250594</c:v>
                </c:pt>
                <c:pt idx="5">
                  <c:v>0.15502105466381008</c:v>
                </c:pt>
                <c:pt idx="6">
                  <c:v>0.16075878961076676</c:v>
                </c:pt>
                <c:pt idx="7">
                  <c:v>0.16758382941044001</c:v>
                </c:pt>
                <c:pt idx="8">
                  <c:v>0.17570735692176456</c:v>
                </c:pt>
                <c:pt idx="9">
                  <c:v>0.18537949468610085</c:v>
                </c:pt>
                <c:pt idx="10">
                  <c:v>0.19689344022604069</c:v>
                </c:pt>
                <c:pt idx="11">
                  <c:v>0.21058749611679242</c:v>
                </c:pt>
                <c:pt idx="12">
                  <c:v>0.22684284477631639</c:v>
                </c:pt>
                <c:pt idx="13">
                  <c:v>0.24607388873142497</c:v>
                </c:pt>
                <c:pt idx="14">
                  <c:v>0.26870693800492906</c:v>
                </c:pt>
                <c:pt idx="15">
                  <c:v>0.29514250164918393</c:v>
                </c:pt>
                <c:pt idx="16">
                  <c:v>0.32569741361534327</c:v>
                </c:pt>
                <c:pt idx="17">
                  <c:v>0.3605268637248405</c:v>
                </c:pt>
                <c:pt idx="18">
                  <c:v>0.3995342371513998</c:v>
                </c:pt>
                <c:pt idx="19">
                  <c:v>0.44228790245637373</c:v>
                </c:pt>
                <c:pt idx="20">
                  <c:v>0.4879745944903916</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0.14014718805057758</c:v>
                </c:pt>
                <c:pt idx="1">
                  <c:v>0.14310063195921763</c:v>
                </c:pt>
                <c:pt idx="2">
                  <c:v>0.14660171294438715</c:v>
                </c:pt>
                <c:pt idx="3">
                  <c:v>0.15075574645860942</c:v>
                </c:pt>
                <c:pt idx="4">
                  <c:v>0.15568906742734623</c:v>
                </c:pt>
                <c:pt idx="5">
                  <c:v>0.16155311622823557</c:v>
                </c:pt>
                <c:pt idx="6">
                  <c:v>0.16852904725529008</c:v>
                </c:pt>
                <c:pt idx="7">
                  <c:v>0.17683267609538553</c:v>
                </c:pt>
                <c:pt idx="8">
                  <c:v>0.18671934136795346</c:v>
                </c:pt>
                <c:pt idx="9">
                  <c:v>0.1984878630280684</c:v>
                </c:pt>
                <c:pt idx="10">
                  <c:v>0.21248217515476137</c:v>
                </c:pt>
                <c:pt idx="11">
                  <c:v>0.22908836345883696</c:v>
                </c:pt>
                <c:pt idx="12">
                  <c:v>0.24872379115670612</c:v>
                </c:pt>
                <c:pt idx="13">
                  <c:v>0.27181398513957078</c:v>
                </c:pt>
                <c:pt idx="14">
                  <c:v>0.29875255385050109</c:v>
                </c:pt>
                <c:pt idx="15">
                  <c:v>0.32984066246972366</c:v>
                </c:pt>
                <c:pt idx="16">
                  <c:v>0.36520688931100548</c:v>
                </c:pt>
                <c:pt idx="17">
                  <c:v>0.40471663690180509</c:v>
                </c:pt>
                <c:pt idx="18">
                  <c:v>0.44789173174163444</c:v>
                </c:pt>
                <c:pt idx="19">
                  <c:v>0.49387075657718255</c:v>
                </c:pt>
                <c:pt idx="20">
                  <c:v>0.54144080552970697</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0.14350872417438329</c:v>
                </c:pt>
                <c:pt idx="1">
                  <c:v>0.14708571349885927</c:v>
                </c:pt>
                <c:pt idx="2">
                  <c:v>0.15133030504474149</c:v>
                </c:pt>
                <c:pt idx="3">
                  <c:v>0.15637175395982861</c:v>
                </c:pt>
                <c:pt idx="4">
                  <c:v>0.16236497368091149</c:v>
                </c:pt>
                <c:pt idx="5">
                  <c:v>0.16949520094337073</c:v>
                </c:pt>
                <c:pt idx="6">
                  <c:v>0.17798296193849472</c:v>
                </c:pt>
                <c:pt idx="7">
                  <c:v>0.18808887573314834</c:v>
                </c:pt>
                <c:pt idx="8">
                  <c:v>0.20011741342822315</c:v>
                </c:pt>
                <c:pt idx="9">
                  <c:v>0.21441809807378948</c:v>
                </c:pt>
                <c:pt idx="10">
                  <c:v>0.23138175248612533</c:v>
                </c:pt>
                <c:pt idx="11">
                  <c:v>0.25142834160836419</c:v>
                </c:pt>
                <c:pt idx="12">
                  <c:v>0.27498198064705537</c:v>
                </c:pt>
                <c:pt idx="13">
                  <c:v>0.30242842038687912</c:v>
                </c:pt>
                <c:pt idx="14">
                  <c:v>0.33405187914284873</c:v>
                </c:pt>
                <c:pt idx="15">
                  <c:v>0.36995286486691792</c:v>
                </c:pt>
                <c:pt idx="16">
                  <c:v>0.40995748524993619</c:v>
                </c:pt>
                <c:pt idx="17">
                  <c:v>0.4535403547294331</c:v>
                </c:pt>
                <c:pt idx="18">
                  <c:v>0.4997923848121415</c:v>
                </c:pt>
                <c:pt idx="19">
                  <c:v>0.54746305240206394</c:v>
                </c:pt>
                <c:pt idx="20">
                  <c:v>0.59508778506070126</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0.14758023921765029</c:v>
                </c:pt>
                <c:pt idx="1">
                  <c:v>0.15191742656371165</c:v>
                </c:pt>
                <c:pt idx="2">
                  <c:v>0.15706944609643239</c:v>
                </c:pt>
                <c:pt idx="3">
                  <c:v>0.16319475830318722</c:v>
                </c:pt>
                <c:pt idx="4">
                  <c:v>0.17048276133570434</c:v>
                </c:pt>
                <c:pt idx="5">
                  <c:v>0.17915876902357949</c:v>
                </c:pt>
                <c:pt idx="6">
                  <c:v>0.1894887422227676</c:v>
                </c:pt>
                <c:pt idx="7">
                  <c:v>0.20178282521265473</c:v>
                </c:pt>
                <c:pt idx="8">
                  <c:v>0.21639607518437759</c:v>
                </c:pt>
                <c:pt idx="9">
                  <c:v>0.23372386573172563</c:v>
                </c:pt>
                <c:pt idx="10">
                  <c:v>0.25418837485253631</c:v>
                </c:pt>
                <c:pt idx="11">
                  <c:v>0.27821163865151577</c:v>
                </c:pt>
                <c:pt idx="12">
                  <c:v>0.30617055037353935</c:v>
                </c:pt>
                <c:pt idx="13">
                  <c:v>0.33833106944577412</c:v>
                </c:pt>
                <c:pt idx="14">
                  <c:v>0.37476417093700176</c:v>
                </c:pt>
                <c:pt idx="15">
                  <c:v>0.41525540660804483</c:v>
                </c:pt>
                <c:pt idx="16">
                  <c:v>0.45923162804254047</c:v>
                </c:pt>
                <c:pt idx="17">
                  <c:v>0.50573672710027251</c:v>
                </c:pt>
                <c:pt idx="18">
                  <c:v>0.55348460578327219</c:v>
                </c:pt>
                <c:pt idx="19">
                  <c:v>0.60099644287543752</c:v>
                </c:pt>
                <c:pt idx="20">
                  <c:v>0.64679610176960933</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0.15251739441768369</c:v>
                </c:pt>
                <c:pt idx="1">
                  <c:v>0.15778248323506947</c:v>
                </c:pt>
                <c:pt idx="2">
                  <c:v>0.16404287525095046</c:v>
                </c:pt>
                <c:pt idx="3">
                  <c:v>0.17149220934959925</c:v>
                </c:pt>
                <c:pt idx="4">
                  <c:v>0.18036066297895517</c:v>
                </c:pt>
                <c:pt idx="5">
                  <c:v>0.19091959673005829</c:v>
                </c:pt>
                <c:pt idx="6">
                  <c:v>0.20348484282378998</c:v>
                </c:pt>
                <c:pt idx="7">
                  <c:v>0.21841692460142506</c:v>
                </c:pt>
                <c:pt idx="8">
                  <c:v>0.23611555883345958</c:v>
                </c:pt>
                <c:pt idx="9">
                  <c:v>0.25700471694822402</c:v>
                </c:pt>
                <c:pt idx="10">
                  <c:v>0.2815036487507333</c:v>
                </c:pt>
                <c:pt idx="11">
                  <c:v>0.3099793474607051</c:v>
                </c:pt>
                <c:pt idx="12">
                  <c:v>0.34267817014621038</c:v>
                </c:pt>
                <c:pt idx="13">
                  <c:v>0.37964009839797064</c:v>
                </c:pt>
                <c:pt idx="14">
                  <c:v>0.42060892632180386</c:v>
                </c:pt>
                <c:pt idx="15">
                  <c:v>0.464963319245283</c:v>
                </c:pt>
                <c:pt idx="16">
                  <c:v>0.51170097502799461</c:v>
                </c:pt>
                <c:pt idx="17">
                  <c:v>0.55950242538960493</c:v>
                </c:pt>
                <c:pt idx="18">
                  <c:v>0.6068777635660717</c:v>
                </c:pt>
                <c:pt idx="19">
                  <c:v>0.65236591653726383</c:v>
                </c:pt>
                <c:pt idx="20">
                  <c:v>0.69473062233414862</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0.15851121249147679</c:v>
                </c:pt>
                <c:pt idx="1">
                  <c:v>0.16490973866132325</c:v>
                </c:pt>
                <c:pt idx="2">
                  <c:v>0.17252403610306796</c:v>
                </c:pt>
                <c:pt idx="3">
                  <c:v>0.18158922058148935</c:v>
                </c:pt>
                <c:pt idx="4">
                  <c:v>0.19238210658089902</c:v>
                </c:pt>
                <c:pt idx="5">
                  <c:v>0.20522422113577724</c:v>
                </c:pt>
                <c:pt idx="6">
                  <c:v>0.22048147168573959</c:v>
                </c:pt>
                <c:pt idx="7">
                  <c:v>0.23855768814505668</c:v>
                </c:pt>
                <c:pt idx="8">
                  <c:v>0.2598781835628734</c:v>
                </c:pt>
                <c:pt idx="9">
                  <c:v>0.28485867364032025</c:v>
                </c:pt>
                <c:pt idx="10">
                  <c:v>0.31385516693085891</c:v>
                </c:pt>
                <c:pt idx="11">
                  <c:v>0.3470930460622586</c:v>
                </c:pt>
                <c:pt idx="12">
                  <c:v>0.38457984647360893</c:v>
                </c:pt>
                <c:pt idx="13">
                  <c:v>0.42601647072500892</c:v>
                </c:pt>
                <c:pt idx="14">
                  <c:v>0.47073310972950005</c:v>
                </c:pt>
                <c:pt idx="15">
                  <c:v>0.51768226941674833</c:v>
                </c:pt>
                <c:pt idx="16">
                  <c:v>0.56551347139865926</c:v>
                </c:pt>
                <c:pt idx="17">
                  <c:v>0.61272895063406407</c:v>
                </c:pt>
                <c:pt idx="18">
                  <c:v>0.65788587298929546</c:v>
                </c:pt>
                <c:pt idx="19">
                  <c:v>0.69978761828409508</c:v>
                </c:pt>
                <c:pt idx="20">
                  <c:v>0.73761040444338111</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0.16579577181184399</c:v>
                </c:pt>
                <c:pt idx="1">
                  <c:v>0.17357874305516274</c:v>
                </c:pt>
                <c:pt idx="2">
                  <c:v>0.18284502983913203</c:v>
                </c:pt>
                <c:pt idx="3">
                  <c:v>0.19387695049432499</c:v>
                </c:pt>
                <c:pt idx="4">
                  <c:v>0.20700172519575505</c:v>
                </c:pt>
                <c:pt idx="5">
                  <c:v>0.22259054843283183</c:v>
                </c:pt>
                <c:pt idx="6">
                  <c:v>0.24105110961496812</c:v>
                </c:pt>
                <c:pt idx="7">
                  <c:v>0.26280957820094902</c:v>
                </c:pt>
                <c:pt idx="8">
                  <c:v>0.28827734665643212</c:v>
                </c:pt>
                <c:pt idx="9">
                  <c:v>0.31779831275820664</c:v>
                </c:pt>
                <c:pt idx="10">
                  <c:v>0.35157548721378995</c:v>
                </c:pt>
                <c:pt idx="11">
                  <c:v>0.38958252094508478</c:v>
                </c:pt>
                <c:pt idx="12">
                  <c:v>0.43147636752084556</c:v>
                </c:pt>
                <c:pt idx="13">
                  <c:v>0.47653859797001297</c:v>
                </c:pt>
                <c:pt idx="14">
                  <c:v>0.52367770613787767</c:v>
                </c:pt>
                <c:pt idx="15">
                  <c:v>0.57151471132666376</c:v>
                </c:pt>
                <c:pt idx="16">
                  <c:v>0.61854726639041469</c:v>
                </c:pt>
                <c:pt idx="17">
                  <c:v>0.66335387420990766</c:v>
                </c:pt>
                <c:pt idx="18">
                  <c:v>0.70477959170472548</c:v>
                </c:pt>
                <c:pt idx="19">
                  <c:v>0.74205199053002824</c:v>
                </c:pt>
                <c:pt idx="20">
                  <c:v>0.77480672280418206</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0.17465684214162477</c:v>
                </c:pt>
                <c:pt idx="1">
                  <c:v>0.18412869006224863</c:v>
                </c:pt>
                <c:pt idx="2">
                  <c:v>0.19540481852158242</c:v>
                </c:pt>
                <c:pt idx="3">
                  <c:v>0.20881812992883139</c:v>
                </c:pt>
                <c:pt idx="4">
                  <c:v>0.22474499280645555</c:v>
                </c:pt>
                <c:pt idx="5">
                  <c:v>0.24359667759004058</c:v>
                </c:pt>
                <c:pt idx="6">
                  <c:v>0.26579969034476325</c:v>
                </c:pt>
                <c:pt idx="7">
                  <c:v>0.29176026924002624</c:v>
                </c:pt>
                <c:pt idx="8">
                  <c:v>0.32180903463938454</c:v>
                </c:pt>
                <c:pt idx="9">
                  <c:v>0.35612520604707121</c:v>
                </c:pt>
                <c:pt idx="10">
                  <c:v>0.39464713257513784</c:v>
                </c:pt>
                <c:pt idx="11">
                  <c:v>0.43698684650173308</c:v>
                </c:pt>
                <c:pt idx="12">
                  <c:v>0.4823773031449225</c:v>
                </c:pt>
                <c:pt idx="13">
                  <c:v>0.52968434216429172</c:v>
                </c:pt>
                <c:pt idx="14">
                  <c:v>0.57750312689295558</c:v>
                </c:pt>
                <c:pt idx="15">
                  <c:v>0.62433003755033889</c:v>
                </c:pt>
                <c:pt idx="16">
                  <c:v>0.66876792040410937</c:v>
                </c:pt>
                <c:pt idx="17">
                  <c:v>0.70970536983058075</c:v>
                </c:pt>
                <c:pt idx="18">
                  <c:v>0.74642169472723185</c:v>
                </c:pt>
                <c:pt idx="19">
                  <c:v>0.77860148470519674</c:v>
                </c:pt>
                <c:pt idx="20">
                  <c:v>0.80627596191364093</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0.18544081192269121</c:v>
                </c:pt>
                <c:pt idx="1">
                  <c:v>0.19696641196210424</c:v>
                </c:pt>
                <c:pt idx="2">
                  <c:v>0.21067421980458204</c:v>
                </c:pt>
                <c:pt idx="3">
                  <c:v>0.22694564801433009</c:v>
                </c:pt>
                <c:pt idx="4">
                  <c:v>0.24619524354182126</c:v>
                </c:pt>
                <c:pt idx="5">
                  <c:v>0.26884929350715375</c:v>
                </c:pt>
                <c:pt idx="6">
                  <c:v>0.2953080083263121</c:v>
                </c:pt>
                <c:pt idx="7">
                  <c:v>0.32588752500530616</c:v>
                </c:pt>
                <c:pt idx="8">
                  <c:v>0.36074183474888794</c:v>
                </c:pt>
                <c:pt idx="9">
                  <c:v>0.39977259576426988</c:v>
                </c:pt>
                <c:pt idx="10">
                  <c:v>0.44254604061815817</c:v>
                </c:pt>
                <c:pt idx="11">
                  <c:v>0.48824666911346831</c:v>
                </c:pt>
                <c:pt idx="12">
                  <c:v>0.53569920183235076</c:v>
                </c:pt>
                <c:pt idx="13">
                  <c:v>0.58347572083718291</c:v>
                </c:pt>
                <c:pt idx="14">
                  <c:v>0.63007466054004402</c:v>
                </c:pt>
                <c:pt idx="15">
                  <c:v>0.67412611133199107</c:v>
                </c:pt>
                <c:pt idx="16">
                  <c:v>0.71456388515582714</c:v>
                </c:pt>
                <c:pt idx="17">
                  <c:v>0.75071923294129295</c:v>
                </c:pt>
                <c:pt idx="18">
                  <c:v>0.78232470620839101</c:v>
                </c:pt>
                <c:pt idx="19">
                  <c:v>0.80944862139198936</c:v>
                </c:pt>
                <c:pt idx="20">
                  <c:v>0.83239561393527806</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0.19856244325473107</c:v>
                </c:pt>
                <c:pt idx="1">
                  <c:v>0.21257078846281682</c:v>
                </c:pt>
                <c:pt idx="2">
                  <c:v>0.22919336172347513</c:v>
                </c:pt>
                <c:pt idx="3">
                  <c:v>0.2488476547134045</c:v>
                </c:pt>
                <c:pt idx="4">
                  <c:v>0.27195914319598374</c:v>
                </c:pt>
                <c:pt idx="5">
                  <c:v>0.29892109366373543</c:v>
                </c:pt>
                <c:pt idx="6">
                  <c:v>0.33003391602490978</c:v>
                </c:pt>
                <c:pt idx="7">
                  <c:v>0.36542492266703247</c:v>
                </c:pt>
                <c:pt idx="8">
                  <c:v>0.40495772745670805</c:v>
                </c:pt>
                <c:pt idx="9">
                  <c:v>0.44815198740516177</c:v>
                </c:pt>
                <c:pt idx="10">
                  <c:v>0.49414406874159661</c:v>
                </c:pt>
                <c:pt idx="11">
                  <c:v>0.54171928328556784</c:v>
                </c:pt>
                <c:pt idx="12">
                  <c:v>0.58942952365507562</c:v>
                </c:pt>
                <c:pt idx="13">
                  <c:v>0.63577860649330575</c:v>
                </c:pt>
                <c:pt idx="14">
                  <c:v>0.67942664834825084</c:v>
                </c:pt>
                <c:pt idx="15">
                  <c:v>0.71935417456943973</c:v>
                </c:pt>
                <c:pt idx="16">
                  <c:v>0.75494440924840256</c:v>
                </c:pt>
                <c:pt idx="17">
                  <c:v>0.78597678047187813</c:v>
                </c:pt>
                <c:pt idx="18">
                  <c:v>0.81255508330093351</c:v>
                </c:pt>
                <c:pt idx="19">
                  <c:v>0.83500627725566334</c:v>
                </c:pt>
                <c:pt idx="20">
                  <c:v>0.8537810898049456</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0.21450863829629835</c:v>
                </c:pt>
                <c:pt idx="1">
                  <c:v>0.23148898521258662</c:v>
                </c:pt>
                <c:pt idx="2">
                  <c:v>0.25155475268487898</c:v>
                </c:pt>
                <c:pt idx="3">
                  <c:v>0.27512997479084911</c:v>
                </c:pt>
                <c:pt idx="4">
                  <c:v>0.30260001506754863</c:v>
                </c:pt>
                <c:pt idx="5">
                  <c:v>0.33424827661243522</c:v>
                </c:pt>
                <c:pt idx="6">
                  <c:v>0.37017393385453051</c:v>
                </c:pt>
                <c:pt idx="7">
                  <c:v>0.41020124631337829</c:v>
                </c:pt>
                <c:pt idx="8">
                  <c:v>0.4538026307732177</c:v>
                </c:pt>
                <c:pt idx="9">
                  <c:v>0.5000668085627763</c:v>
                </c:pt>
                <c:pt idx="10">
                  <c:v>0.54774156507005689</c:v>
                </c:pt>
                <c:pt idx="11">
                  <c:v>0.59536160021919926</c:v>
                </c:pt>
                <c:pt idx="12">
                  <c:v>0.641439425917952</c:v>
                </c:pt>
                <c:pt idx="13">
                  <c:v>0.68466783604829939</c:v>
                </c:pt>
                <c:pt idx="14">
                  <c:v>0.72407537818383516</c:v>
                </c:pt>
                <c:pt idx="15">
                  <c:v>0.75909711297591975</c:v>
                </c:pt>
                <c:pt idx="16">
                  <c:v>0.78955815965944809</c:v>
                </c:pt>
                <c:pt idx="17">
                  <c:v>0.81559615039457278</c:v>
                </c:pt>
                <c:pt idx="18">
                  <c:v>0.83755877437164639</c:v>
                </c:pt>
                <c:pt idx="19">
                  <c:v>0.85590618043556321</c:v>
                </c:pt>
                <c:pt idx="20">
                  <c:v>0.87113458821879719</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0.23383337245889979</c:v>
                </c:pt>
                <c:pt idx="1">
                  <c:v>0.25431737185561853</c:v>
                </c:pt>
                <c:pt idx="2">
                  <c:v>0.27836250133283097</c:v>
                </c:pt>
                <c:pt idx="3">
                  <c:v>0.30634521961377414</c:v>
                </c:pt>
                <c:pt idx="4">
                  <c:v>0.3385306094507074</c:v>
                </c:pt>
                <c:pt idx="5">
                  <c:v>0.37498824475540932</c:v>
                </c:pt>
                <c:pt idx="6">
                  <c:v>0.41550177216842349</c:v>
                </c:pt>
                <c:pt idx="7">
                  <c:v>0.45949582316817067</c:v>
                </c:pt>
                <c:pt idx="8">
                  <c:v>0.506012133759007</c:v>
                </c:pt>
                <c:pt idx="9">
                  <c:v>0.55376301285025531</c:v>
                </c:pt>
                <c:pt idx="10">
                  <c:v>0.60126905625198068</c:v>
                </c:pt>
                <c:pt idx="11">
                  <c:v>0.64705475301492488</c:v>
                </c:pt>
                <c:pt idx="12">
                  <c:v>0.68984808352477756</c:v>
                </c:pt>
                <c:pt idx="13">
                  <c:v>0.72872673787488706</c:v>
                </c:pt>
                <c:pt idx="14">
                  <c:v>0.76317731565494074</c:v>
                </c:pt>
                <c:pt idx="15">
                  <c:v>0.79306935151688529</c:v>
                </c:pt>
                <c:pt idx="16">
                  <c:v>0.81857265544217406</c:v>
                </c:pt>
                <c:pt idx="17">
                  <c:v>0.84005408272491999</c:v>
                </c:pt>
                <c:pt idx="18">
                  <c:v>0.85798199157723498</c:v>
                </c:pt>
                <c:pt idx="19">
                  <c:v>0.87285302040599133</c:v>
                </c:pt>
                <c:pt idx="20">
                  <c:v>0.88514417594732253</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0.25713633784186818</c:v>
                </c:pt>
                <c:pt idx="1">
                  <c:v>0.28165741122861998</c:v>
                </c:pt>
                <c:pt idx="2">
                  <c:v>0.31015710878015001</c:v>
                </c:pt>
                <c:pt idx="3">
                  <c:v>0.34288084804374841</c:v>
                </c:pt>
                <c:pt idx="4">
                  <c:v>0.379867142050129</c:v>
                </c:pt>
                <c:pt idx="5">
                  <c:v>0.4208578257849232</c:v>
                </c:pt>
                <c:pt idx="6">
                  <c:v>0.46522932810269696</c:v>
                </c:pt>
                <c:pt idx="7">
                  <c:v>0.51197723344444557</c:v>
                </c:pt>
                <c:pt idx="8">
                  <c:v>0.55978058621228177</c:v>
                </c:pt>
                <c:pt idx="9">
                  <c:v>0.60714904461944308</c:v>
                </c:pt>
                <c:pt idx="10">
                  <c:v>0.65262230963522605</c:v>
                </c:pt>
                <c:pt idx="11">
                  <c:v>0.69496590524066992</c:v>
                </c:pt>
                <c:pt idx="12">
                  <c:v>0.73330759555216662</c:v>
                </c:pt>
                <c:pt idx="13">
                  <c:v>0.76718506786391916</c:v>
                </c:pt>
                <c:pt idx="14">
                  <c:v>0.79651091597013335</c:v>
                </c:pt>
                <c:pt idx="15">
                  <c:v>0.82148545835312947</c:v>
                </c:pt>
                <c:pt idx="16">
                  <c:v>0.84249318767729475</c:v>
                </c:pt>
                <c:pt idx="17">
                  <c:v>0.86000951114252111</c:v>
                </c:pt>
                <c:pt idx="18">
                  <c:v>0.87453073418687943</c:v>
                </c:pt>
                <c:pt idx="19">
                  <c:v>0.88652915120325204</c:v>
                </c:pt>
                <c:pt idx="20">
                  <c:v>0.89642901718928603</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0.28501536587087239</c:v>
                </c:pt>
                <c:pt idx="1">
                  <c:v>0.31403603554145171</c:v>
                </c:pt>
                <c:pt idx="2">
                  <c:v>0.34729885381284353</c:v>
                </c:pt>
                <c:pt idx="3">
                  <c:v>0.38480982067899983</c:v>
                </c:pt>
                <c:pt idx="4">
                  <c:v>0.42626782892441156</c:v>
                </c:pt>
                <c:pt idx="5">
                  <c:v>0.47100082305941465</c:v>
                </c:pt>
                <c:pt idx="6">
                  <c:v>0.51795924623160416</c:v>
                </c:pt>
                <c:pt idx="7">
                  <c:v>0.56579124552141591</c:v>
                </c:pt>
                <c:pt idx="8">
                  <c:v>0.61299877141550196</c:v>
                </c:pt>
                <c:pt idx="9">
                  <c:v>0.65813990886276708</c:v>
                </c:pt>
                <c:pt idx="10">
                  <c:v>0.70001992152741976</c:v>
                </c:pt>
                <c:pt idx="11">
                  <c:v>0.73781739117897938</c:v>
                </c:pt>
                <c:pt idx="12">
                  <c:v>0.77112049598255139</c:v>
                </c:pt>
                <c:pt idx="13">
                  <c:v>0.79988346175755431</c:v>
                </c:pt>
                <c:pt idx="14">
                  <c:v>0.82433544339814091</c:v>
                </c:pt>
                <c:pt idx="15">
                  <c:v>0.84487708057305144</c:v>
                </c:pt>
                <c:pt idx="16">
                  <c:v>0.86198972123994289</c:v>
                </c:pt>
                <c:pt idx="17">
                  <c:v>0.87616863419726032</c:v>
                </c:pt>
                <c:pt idx="18">
                  <c:v>0.8878810300194323</c:v>
                </c:pt>
                <c:pt idx="19">
                  <c:v>0.89754422989113569</c:v>
                </c:pt>
                <c:pt idx="20">
                  <c:v>0.90551781885820604</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0.31798230142742112</c:v>
                </c:pt>
                <c:pt idx="1">
                  <c:v>0.35178441325096083</c:v>
                </c:pt>
                <c:pt idx="2">
                  <c:v>0.38981538206198452</c:v>
                </c:pt>
                <c:pt idx="3">
                  <c:v>0.43173010474354984</c:v>
                </c:pt>
                <c:pt idx="4">
                  <c:v>0.47680790276335111</c:v>
                </c:pt>
                <c:pt idx="5">
                  <c:v>0.52395526605774079</c:v>
                </c:pt>
                <c:pt idx="6">
                  <c:v>0.57179195879957334</c:v>
                </c:pt>
                <c:pt idx="7">
                  <c:v>0.61881550180835054</c:v>
                </c:pt>
                <c:pt idx="8">
                  <c:v>0.6636054582138734</c:v>
                </c:pt>
                <c:pt idx="9">
                  <c:v>0.70500885871850305</c:v>
                </c:pt>
                <c:pt idx="10">
                  <c:v>0.74225566056230019</c:v>
                </c:pt>
                <c:pt idx="11">
                  <c:v>0.77498379887449098</c:v>
                </c:pt>
                <c:pt idx="12">
                  <c:v>0.80318764310751489</c:v>
                </c:pt>
                <c:pt idx="13">
                  <c:v>0.82712351653039262</c:v>
                </c:pt>
                <c:pt idx="14">
                  <c:v>0.84720675690756264</c:v>
                </c:pt>
                <c:pt idx="15">
                  <c:v>0.86392359711169731</c:v>
                </c:pt>
                <c:pt idx="16">
                  <c:v>0.87776761247033763</c:v>
                </c:pt>
                <c:pt idx="17">
                  <c:v>0.8892005929994542</c:v>
                </c:pt>
                <c:pt idx="18">
                  <c:v>0.89863280926438027</c:v>
                </c:pt>
                <c:pt idx="19">
                  <c:v>0.90641650871013812</c:v>
                </c:pt>
                <c:pt idx="20">
                  <c:v>0.91284731342451286</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0.35633723515114957</c:v>
                </c:pt>
                <c:pt idx="1">
                  <c:v>0.39488283253321566</c:v>
                </c:pt>
                <c:pt idx="2">
                  <c:v>0.43724287852989224</c:v>
                </c:pt>
                <c:pt idx="3">
                  <c:v>0.48264808281895261</c:v>
                </c:pt>
                <c:pt idx="4">
                  <c:v>0.52996234824684185</c:v>
                </c:pt>
                <c:pt idx="5">
                  <c:v>0.57777970858835448</c:v>
                </c:pt>
                <c:pt idx="6">
                  <c:v>0.62459656562234378</c:v>
                </c:pt>
                <c:pt idx="7">
                  <c:v>0.66901696244694875</c:v>
                </c:pt>
                <c:pt idx="8">
                  <c:v>0.70993154893080779</c:v>
                </c:pt>
                <c:pt idx="9">
                  <c:v>0.7466220329330584</c:v>
                </c:pt>
                <c:pt idx="10">
                  <c:v>0.77877524451672597</c:v>
                </c:pt>
                <c:pt idx="11">
                  <c:v>0.80642415647150445</c:v>
                </c:pt>
                <c:pt idx="12">
                  <c:v>0.82985060280969558</c:v>
                </c:pt>
                <c:pt idx="13">
                  <c:v>0.84948321460071863</c:v>
                </c:pt>
                <c:pt idx="14">
                  <c:v>0.86581210615526627</c:v>
                </c:pt>
                <c:pt idx="15">
                  <c:v>0.87932854800705995</c:v>
                </c:pt>
                <c:pt idx="16">
                  <c:v>0.89048860598350132</c:v>
                </c:pt>
                <c:pt idx="17">
                  <c:v>0.89969540422408867</c:v>
                </c:pt>
                <c:pt idx="18">
                  <c:v>0.90729387965236885</c:v>
                </c:pt>
                <c:pt idx="19">
                  <c:v>0.91357286858566944</c:v>
                </c:pt>
                <c:pt idx="20">
                  <c:v>0.91877084806275233</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0.40001108200834956</c:v>
                </c:pt>
                <c:pt idx="1">
                  <c:v>0.44280427878708345</c:v>
                </c:pt>
                <c:pt idx="2">
                  <c:v>0.48851880370426398</c:v>
                </c:pt>
                <c:pt idx="3">
                  <c:v>0.53597751578055775</c:v>
                </c:pt>
                <c:pt idx="4">
                  <c:v>0.58375149876323196</c:v>
                </c:pt>
                <c:pt idx="5">
                  <c:v>0.63033936263090573</c:v>
                </c:pt>
                <c:pt idx="6">
                  <c:v>0.67437252597850528</c:v>
                </c:pt>
                <c:pt idx="7">
                  <c:v>0.7147869295078596</c:v>
                </c:pt>
                <c:pt idx="8">
                  <c:v>0.75091622833738514</c:v>
                </c:pt>
                <c:pt idx="9">
                  <c:v>0.78249516659262097</c:v>
                </c:pt>
                <c:pt idx="10">
                  <c:v>0.80959373732198325</c:v>
                </c:pt>
                <c:pt idx="11">
                  <c:v>0.8325176439318589</c:v>
                </c:pt>
                <c:pt idx="12">
                  <c:v>0.85170745237334089</c:v>
                </c:pt>
                <c:pt idx="13">
                  <c:v>0.86765620702564428</c:v>
                </c:pt>
                <c:pt idx="14">
                  <c:v>0.88085230640074064</c:v>
                </c:pt>
                <c:pt idx="15">
                  <c:v>0.89174582000106373</c:v>
                </c:pt>
                <c:pt idx="16">
                  <c:v>0.90073264938114694</c:v>
                </c:pt>
                <c:pt idx="17">
                  <c:v>0.90815045866025945</c:v>
                </c:pt>
                <c:pt idx="18">
                  <c:v>0.91428139208928549</c:v>
                </c:pt>
                <c:pt idx="19">
                  <c:v>0.91935808595201829</c:v>
                </c:pt>
                <c:pt idx="20">
                  <c:v>0.92357079692118926</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0.44841233867806329</c:v>
                </c:pt>
                <c:pt idx="1">
                  <c:v>0.49441743511229508</c:v>
                </c:pt>
                <c:pt idx="2">
                  <c:v>0.54199776574959591</c:v>
                </c:pt>
                <c:pt idx="3">
                  <c:v>0.5897043612647358</c:v>
                </c:pt>
                <c:pt idx="4">
                  <c:v>0.63604136753825835</c:v>
                </c:pt>
                <c:pt idx="5">
                  <c:v>0.67967035490444361</c:v>
                </c:pt>
                <c:pt idx="6">
                  <c:v>0.71957404214044796</c:v>
                </c:pt>
                <c:pt idx="7">
                  <c:v>0.75513805485944852</c:v>
                </c:pt>
                <c:pt idx="8">
                  <c:v>0.78614396106475848</c:v>
                </c:pt>
                <c:pt idx="9">
                  <c:v>0.81269715702316658</c:v>
                </c:pt>
                <c:pt idx="10">
                  <c:v>0.8351255958648669</c:v>
                </c:pt>
                <c:pt idx="11">
                  <c:v>0.85388046822446473</c:v>
                </c:pt>
                <c:pt idx="12">
                  <c:v>0.86945684881485152</c:v>
                </c:pt>
                <c:pt idx="13">
                  <c:v>0.88233973951284317</c:v>
                </c:pt>
                <c:pt idx="14">
                  <c:v>0.89297297125329944</c:v>
                </c:pt>
                <c:pt idx="15">
                  <c:v>0.90174516518873626</c:v>
                </c:pt>
                <c:pt idx="16">
                  <c:v>0.90898676007862733</c:v>
                </c:pt>
                <c:pt idx="17">
                  <c:v>0.91497330589698089</c:v>
                </c:pt>
                <c:pt idx="18">
                  <c:v>0.91993171236765758</c:v>
                </c:pt>
                <c:pt idx="19">
                  <c:v>0.92404741582654637</c:v>
                </c:pt>
                <c:pt idx="20">
                  <c:v>0.92747134567581047</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0.44841233867806329</c:v>
                </c:pt>
                <c:pt idx="1">
                  <c:v>0.49441743511229508</c:v>
                </c:pt>
                <c:pt idx="2">
                  <c:v>0.54199776574959591</c:v>
                </c:pt>
                <c:pt idx="3">
                  <c:v>0.5897043612647358</c:v>
                </c:pt>
                <c:pt idx="4">
                  <c:v>0.63604136753825835</c:v>
                </c:pt>
                <c:pt idx="5">
                  <c:v>0.67967035490444361</c:v>
                </c:pt>
                <c:pt idx="6">
                  <c:v>0.71957404214044796</c:v>
                </c:pt>
                <c:pt idx="7">
                  <c:v>0.75513805485944852</c:v>
                </c:pt>
                <c:pt idx="8">
                  <c:v>0.78614396106475848</c:v>
                </c:pt>
                <c:pt idx="9">
                  <c:v>0.81269715702316658</c:v>
                </c:pt>
                <c:pt idx="10">
                  <c:v>0.8351255958648669</c:v>
                </c:pt>
                <c:pt idx="11">
                  <c:v>0.85388046822446473</c:v>
                </c:pt>
                <c:pt idx="12">
                  <c:v>0.86945684881485152</c:v>
                </c:pt>
                <c:pt idx="13">
                  <c:v>0.88233973951284317</c:v>
                </c:pt>
                <c:pt idx="14">
                  <c:v>0.89297297125329944</c:v>
                </c:pt>
                <c:pt idx="15">
                  <c:v>0.90174516518873626</c:v>
                </c:pt>
                <c:pt idx="16">
                  <c:v>0.90898676007862733</c:v>
                </c:pt>
                <c:pt idx="17">
                  <c:v>0.91497330589698089</c:v>
                </c:pt>
                <c:pt idx="18">
                  <c:v>0.91993171236765758</c:v>
                </c:pt>
                <c:pt idx="19">
                  <c:v>0.92404741582654637</c:v>
                </c:pt>
                <c:pt idx="20">
                  <c:v>0.92747134567581047</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0.40001108200834956</c:v>
                </c:pt>
                <c:pt idx="1">
                  <c:v>0.44280427878708345</c:v>
                </c:pt>
                <c:pt idx="2">
                  <c:v>0.48851880370426398</c:v>
                </c:pt>
                <c:pt idx="3">
                  <c:v>0.53597751578055775</c:v>
                </c:pt>
                <c:pt idx="4">
                  <c:v>0.58375149876323196</c:v>
                </c:pt>
                <c:pt idx="5">
                  <c:v>0.63033936263090573</c:v>
                </c:pt>
                <c:pt idx="6">
                  <c:v>0.67437252597850528</c:v>
                </c:pt>
                <c:pt idx="7">
                  <c:v>0.7147869295078596</c:v>
                </c:pt>
                <c:pt idx="8">
                  <c:v>0.75091622833738514</c:v>
                </c:pt>
                <c:pt idx="9">
                  <c:v>0.78249516659262097</c:v>
                </c:pt>
                <c:pt idx="10">
                  <c:v>0.80959373732198325</c:v>
                </c:pt>
                <c:pt idx="11">
                  <c:v>0.8325176439318589</c:v>
                </c:pt>
                <c:pt idx="12">
                  <c:v>0.85170745237334089</c:v>
                </c:pt>
                <c:pt idx="13">
                  <c:v>0.86765620702564428</c:v>
                </c:pt>
                <c:pt idx="14">
                  <c:v>0.88085230640074064</c:v>
                </c:pt>
                <c:pt idx="15">
                  <c:v>0.89174582000106373</c:v>
                </c:pt>
                <c:pt idx="16">
                  <c:v>0.90073264938114694</c:v>
                </c:pt>
                <c:pt idx="17">
                  <c:v>0.90815045866025945</c:v>
                </c:pt>
                <c:pt idx="18">
                  <c:v>0.91428139208928549</c:v>
                </c:pt>
                <c:pt idx="19">
                  <c:v>0.91935808595201829</c:v>
                </c:pt>
                <c:pt idx="20">
                  <c:v>0.92357079692118926</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0.35633723515114957</c:v>
                </c:pt>
                <c:pt idx="1">
                  <c:v>0.39488283253321566</c:v>
                </c:pt>
                <c:pt idx="2">
                  <c:v>0.43724287852989224</c:v>
                </c:pt>
                <c:pt idx="3">
                  <c:v>0.48264808281895261</c:v>
                </c:pt>
                <c:pt idx="4">
                  <c:v>0.52996234824684185</c:v>
                </c:pt>
                <c:pt idx="5">
                  <c:v>0.57777970858835448</c:v>
                </c:pt>
                <c:pt idx="6">
                  <c:v>0.62459656562234378</c:v>
                </c:pt>
                <c:pt idx="7">
                  <c:v>0.66901696244694875</c:v>
                </c:pt>
                <c:pt idx="8">
                  <c:v>0.70993154893080779</c:v>
                </c:pt>
                <c:pt idx="9">
                  <c:v>0.7466220329330584</c:v>
                </c:pt>
                <c:pt idx="10">
                  <c:v>0.77877524451672597</c:v>
                </c:pt>
                <c:pt idx="11">
                  <c:v>0.80642415647150445</c:v>
                </c:pt>
                <c:pt idx="12">
                  <c:v>0.82985060280969558</c:v>
                </c:pt>
                <c:pt idx="13">
                  <c:v>0.84948321460071863</c:v>
                </c:pt>
                <c:pt idx="14">
                  <c:v>0.86581210615526627</c:v>
                </c:pt>
                <c:pt idx="15">
                  <c:v>0.87932854800705995</c:v>
                </c:pt>
                <c:pt idx="16">
                  <c:v>0.89048860598350132</c:v>
                </c:pt>
                <c:pt idx="17">
                  <c:v>0.89969540422408867</c:v>
                </c:pt>
                <c:pt idx="18">
                  <c:v>0.90729387965236885</c:v>
                </c:pt>
                <c:pt idx="19">
                  <c:v>0.91357286858566944</c:v>
                </c:pt>
                <c:pt idx="20">
                  <c:v>0.91877084806275233</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0.31798230142742112</c:v>
                </c:pt>
                <c:pt idx="1">
                  <c:v>0.35178441325096083</c:v>
                </c:pt>
                <c:pt idx="2">
                  <c:v>0.38981538206198452</c:v>
                </c:pt>
                <c:pt idx="3">
                  <c:v>0.43173010474354984</c:v>
                </c:pt>
                <c:pt idx="4">
                  <c:v>0.47680790276335111</c:v>
                </c:pt>
                <c:pt idx="5">
                  <c:v>0.52395526605774079</c:v>
                </c:pt>
                <c:pt idx="6">
                  <c:v>0.57179195879957334</c:v>
                </c:pt>
                <c:pt idx="7">
                  <c:v>0.61881550180835054</c:v>
                </c:pt>
                <c:pt idx="8">
                  <c:v>0.6636054582138734</c:v>
                </c:pt>
                <c:pt idx="9">
                  <c:v>0.70500885871850305</c:v>
                </c:pt>
                <c:pt idx="10">
                  <c:v>0.74225566056230019</c:v>
                </c:pt>
                <c:pt idx="11">
                  <c:v>0.77498379887449098</c:v>
                </c:pt>
                <c:pt idx="12">
                  <c:v>0.80318764310751489</c:v>
                </c:pt>
                <c:pt idx="13">
                  <c:v>0.82712351653039262</c:v>
                </c:pt>
                <c:pt idx="14">
                  <c:v>0.84720675690756264</c:v>
                </c:pt>
                <c:pt idx="15">
                  <c:v>0.86392359711169731</c:v>
                </c:pt>
                <c:pt idx="16">
                  <c:v>0.87776761247033763</c:v>
                </c:pt>
                <c:pt idx="17">
                  <c:v>0.8892005929994542</c:v>
                </c:pt>
                <c:pt idx="18">
                  <c:v>0.89863280926438027</c:v>
                </c:pt>
                <c:pt idx="19">
                  <c:v>0.90641650871013812</c:v>
                </c:pt>
                <c:pt idx="20">
                  <c:v>0.91284731342451286</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0.28501536587087239</c:v>
                </c:pt>
                <c:pt idx="1">
                  <c:v>0.31403603554145171</c:v>
                </c:pt>
                <c:pt idx="2">
                  <c:v>0.34729885381284353</c:v>
                </c:pt>
                <c:pt idx="3">
                  <c:v>0.38480982067899983</c:v>
                </c:pt>
                <c:pt idx="4">
                  <c:v>0.42626782892441156</c:v>
                </c:pt>
                <c:pt idx="5">
                  <c:v>0.47100082305941465</c:v>
                </c:pt>
                <c:pt idx="6">
                  <c:v>0.51795924623160416</c:v>
                </c:pt>
                <c:pt idx="7">
                  <c:v>0.56579124552141591</c:v>
                </c:pt>
                <c:pt idx="8">
                  <c:v>0.61299877141550196</c:v>
                </c:pt>
                <c:pt idx="9">
                  <c:v>0.65813990886276708</c:v>
                </c:pt>
                <c:pt idx="10">
                  <c:v>0.70001992152741976</c:v>
                </c:pt>
                <c:pt idx="11">
                  <c:v>0.73781739117897938</c:v>
                </c:pt>
                <c:pt idx="12">
                  <c:v>0.77112049598255139</c:v>
                </c:pt>
                <c:pt idx="13">
                  <c:v>0.79988346175755431</c:v>
                </c:pt>
                <c:pt idx="14">
                  <c:v>0.82433544339814091</c:v>
                </c:pt>
                <c:pt idx="15">
                  <c:v>0.84487708057305144</c:v>
                </c:pt>
                <c:pt idx="16">
                  <c:v>0.86198972123994289</c:v>
                </c:pt>
                <c:pt idx="17">
                  <c:v>0.87616863419726032</c:v>
                </c:pt>
                <c:pt idx="18">
                  <c:v>0.8878810300194323</c:v>
                </c:pt>
                <c:pt idx="19">
                  <c:v>0.89754422989113569</c:v>
                </c:pt>
                <c:pt idx="20">
                  <c:v>0.90551781885820604</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0.25713633784186818</c:v>
                </c:pt>
                <c:pt idx="1">
                  <c:v>0.28165741122861998</c:v>
                </c:pt>
                <c:pt idx="2">
                  <c:v>0.31015710878015001</c:v>
                </c:pt>
                <c:pt idx="3">
                  <c:v>0.34288084804374841</c:v>
                </c:pt>
                <c:pt idx="4">
                  <c:v>0.379867142050129</c:v>
                </c:pt>
                <c:pt idx="5">
                  <c:v>0.4208578257849232</c:v>
                </c:pt>
                <c:pt idx="6">
                  <c:v>0.46522932810269696</c:v>
                </c:pt>
                <c:pt idx="7">
                  <c:v>0.51197723344444557</c:v>
                </c:pt>
                <c:pt idx="8">
                  <c:v>0.55978058621228177</c:v>
                </c:pt>
                <c:pt idx="9">
                  <c:v>0.60714904461944308</c:v>
                </c:pt>
                <c:pt idx="10">
                  <c:v>0.65262230963522605</c:v>
                </c:pt>
                <c:pt idx="11">
                  <c:v>0.69496590524066992</c:v>
                </c:pt>
                <c:pt idx="12">
                  <c:v>0.73330759555216662</c:v>
                </c:pt>
                <c:pt idx="13">
                  <c:v>0.76718506786391916</c:v>
                </c:pt>
                <c:pt idx="14">
                  <c:v>0.79651091597013335</c:v>
                </c:pt>
                <c:pt idx="15">
                  <c:v>0.82148545835312947</c:v>
                </c:pt>
                <c:pt idx="16">
                  <c:v>0.84249318767729475</c:v>
                </c:pt>
                <c:pt idx="17">
                  <c:v>0.86000951114252111</c:v>
                </c:pt>
                <c:pt idx="18">
                  <c:v>0.87453073418687943</c:v>
                </c:pt>
                <c:pt idx="19">
                  <c:v>0.88652915120325204</c:v>
                </c:pt>
                <c:pt idx="20">
                  <c:v>0.89642901718928603</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0.23383337245889979</c:v>
                </c:pt>
                <c:pt idx="1">
                  <c:v>0.25431737185561853</c:v>
                </c:pt>
                <c:pt idx="2">
                  <c:v>0.27836250133283097</c:v>
                </c:pt>
                <c:pt idx="3">
                  <c:v>0.30634521961377414</c:v>
                </c:pt>
                <c:pt idx="4">
                  <c:v>0.3385306094507074</c:v>
                </c:pt>
                <c:pt idx="5">
                  <c:v>0.37498824475540932</c:v>
                </c:pt>
                <c:pt idx="6">
                  <c:v>0.41550177216842349</c:v>
                </c:pt>
                <c:pt idx="7">
                  <c:v>0.45949582316817067</c:v>
                </c:pt>
                <c:pt idx="8">
                  <c:v>0.506012133759007</c:v>
                </c:pt>
                <c:pt idx="9">
                  <c:v>0.55376301285025531</c:v>
                </c:pt>
                <c:pt idx="10">
                  <c:v>0.60126905625198068</c:v>
                </c:pt>
                <c:pt idx="11">
                  <c:v>0.64705475301492488</c:v>
                </c:pt>
                <c:pt idx="12">
                  <c:v>0.68984808352477756</c:v>
                </c:pt>
                <c:pt idx="13">
                  <c:v>0.72872673787488706</c:v>
                </c:pt>
                <c:pt idx="14">
                  <c:v>0.76317731565494074</c:v>
                </c:pt>
                <c:pt idx="15">
                  <c:v>0.79306935151688529</c:v>
                </c:pt>
                <c:pt idx="16">
                  <c:v>0.81857265544217406</c:v>
                </c:pt>
                <c:pt idx="17">
                  <c:v>0.84005408272491999</c:v>
                </c:pt>
                <c:pt idx="18">
                  <c:v>0.85798199157723498</c:v>
                </c:pt>
                <c:pt idx="19">
                  <c:v>0.87285302040599133</c:v>
                </c:pt>
                <c:pt idx="20">
                  <c:v>0.88514417594732253</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0.21450863829629835</c:v>
                </c:pt>
                <c:pt idx="1">
                  <c:v>0.23148898521258662</c:v>
                </c:pt>
                <c:pt idx="2">
                  <c:v>0.25155475268487898</c:v>
                </c:pt>
                <c:pt idx="3">
                  <c:v>0.27512997479084911</c:v>
                </c:pt>
                <c:pt idx="4">
                  <c:v>0.30260001506754863</c:v>
                </c:pt>
                <c:pt idx="5">
                  <c:v>0.33424827661243522</c:v>
                </c:pt>
                <c:pt idx="6">
                  <c:v>0.37017393385453051</c:v>
                </c:pt>
                <c:pt idx="7">
                  <c:v>0.41020124631337829</c:v>
                </c:pt>
                <c:pt idx="8">
                  <c:v>0.4538026307732177</c:v>
                </c:pt>
                <c:pt idx="9">
                  <c:v>0.5000668085627763</c:v>
                </c:pt>
                <c:pt idx="10">
                  <c:v>0.54774156507005689</c:v>
                </c:pt>
                <c:pt idx="11">
                  <c:v>0.59536160021919926</c:v>
                </c:pt>
                <c:pt idx="12">
                  <c:v>0.641439425917952</c:v>
                </c:pt>
                <c:pt idx="13">
                  <c:v>0.68466783604829939</c:v>
                </c:pt>
                <c:pt idx="14">
                  <c:v>0.72407537818383516</c:v>
                </c:pt>
                <c:pt idx="15">
                  <c:v>0.75909711297591975</c:v>
                </c:pt>
                <c:pt idx="16">
                  <c:v>0.78955815965944809</c:v>
                </c:pt>
                <c:pt idx="17">
                  <c:v>0.81559615039457278</c:v>
                </c:pt>
                <c:pt idx="18">
                  <c:v>0.83755877437164639</c:v>
                </c:pt>
                <c:pt idx="19">
                  <c:v>0.85590618043556321</c:v>
                </c:pt>
                <c:pt idx="20">
                  <c:v>0.87113458821879719</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0.19856244325473107</c:v>
                </c:pt>
                <c:pt idx="1">
                  <c:v>0.21257078846281682</c:v>
                </c:pt>
                <c:pt idx="2">
                  <c:v>0.22919336172347513</c:v>
                </c:pt>
                <c:pt idx="3">
                  <c:v>0.2488476547134045</c:v>
                </c:pt>
                <c:pt idx="4">
                  <c:v>0.27195914319598374</c:v>
                </c:pt>
                <c:pt idx="5">
                  <c:v>0.29892109366373543</c:v>
                </c:pt>
                <c:pt idx="6">
                  <c:v>0.33003391602490978</c:v>
                </c:pt>
                <c:pt idx="7">
                  <c:v>0.36542492266703247</c:v>
                </c:pt>
                <c:pt idx="8">
                  <c:v>0.40495772745670805</c:v>
                </c:pt>
                <c:pt idx="9">
                  <c:v>0.44815198740516177</c:v>
                </c:pt>
                <c:pt idx="10">
                  <c:v>0.49414406874159661</c:v>
                </c:pt>
                <c:pt idx="11">
                  <c:v>0.54171928328556784</c:v>
                </c:pt>
                <c:pt idx="12">
                  <c:v>0.58942952365507562</c:v>
                </c:pt>
                <c:pt idx="13">
                  <c:v>0.63577860649330575</c:v>
                </c:pt>
                <c:pt idx="14">
                  <c:v>0.67942664834825084</c:v>
                </c:pt>
                <c:pt idx="15">
                  <c:v>0.71935417456943973</c:v>
                </c:pt>
                <c:pt idx="16">
                  <c:v>0.75494440924840256</c:v>
                </c:pt>
                <c:pt idx="17">
                  <c:v>0.78597678047187813</c:v>
                </c:pt>
                <c:pt idx="18">
                  <c:v>0.81255508330093351</c:v>
                </c:pt>
                <c:pt idx="19">
                  <c:v>0.83500627725566334</c:v>
                </c:pt>
                <c:pt idx="20">
                  <c:v>0.8537810898049456</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0.18544081192269121</c:v>
                </c:pt>
                <c:pt idx="1">
                  <c:v>0.19696641196210424</c:v>
                </c:pt>
                <c:pt idx="2">
                  <c:v>0.21067421980458204</c:v>
                </c:pt>
                <c:pt idx="3">
                  <c:v>0.22694564801433009</c:v>
                </c:pt>
                <c:pt idx="4">
                  <c:v>0.24619524354182126</c:v>
                </c:pt>
                <c:pt idx="5">
                  <c:v>0.26884929350715375</c:v>
                </c:pt>
                <c:pt idx="6">
                  <c:v>0.2953080083263121</c:v>
                </c:pt>
                <c:pt idx="7">
                  <c:v>0.32588752500530616</c:v>
                </c:pt>
                <c:pt idx="8">
                  <c:v>0.36074183474888794</c:v>
                </c:pt>
                <c:pt idx="9">
                  <c:v>0.39977259576426988</c:v>
                </c:pt>
                <c:pt idx="10">
                  <c:v>0.44254604061815817</c:v>
                </c:pt>
                <c:pt idx="11">
                  <c:v>0.48824666911346831</c:v>
                </c:pt>
                <c:pt idx="12">
                  <c:v>0.53569920183235076</c:v>
                </c:pt>
                <c:pt idx="13">
                  <c:v>0.58347572083718291</c:v>
                </c:pt>
                <c:pt idx="14">
                  <c:v>0.63007466054004402</c:v>
                </c:pt>
                <c:pt idx="15">
                  <c:v>0.67412611133199107</c:v>
                </c:pt>
                <c:pt idx="16">
                  <c:v>0.71456388515582714</c:v>
                </c:pt>
                <c:pt idx="17">
                  <c:v>0.75071923294129295</c:v>
                </c:pt>
                <c:pt idx="18">
                  <c:v>0.78232470620839101</c:v>
                </c:pt>
                <c:pt idx="19">
                  <c:v>0.80944862139198936</c:v>
                </c:pt>
                <c:pt idx="20">
                  <c:v>0.83239561393527806</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0.17465684214162477</c:v>
                </c:pt>
                <c:pt idx="1">
                  <c:v>0.18412869006224863</c:v>
                </c:pt>
                <c:pt idx="2">
                  <c:v>0.19540481852158242</c:v>
                </c:pt>
                <c:pt idx="3">
                  <c:v>0.20881812992883139</c:v>
                </c:pt>
                <c:pt idx="4">
                  <c:v>0.22474499280645555</c:v>
                </c:pt>
                <c:pt idx="5">
                  <c:v>0.24359667759004058</c:v>
                </c:pt>
                <c:pt idx="6">
                  <c:v>0.26579969034476325</c:v>
                </c:pt>
                <c:pt idx="7">
                  <c:v>0.29176026924002624</c:v>
                </c:pt>
                <c:pt idx="8">
                  <c:v>0.32180903463938454</c:v>
                </c:pt>
                <c:pt idx="9">
                  <c:v>0.35612520604707121</c:v>
                </c:pt>
                <c:pt idx="10">
                  <c:v>0.39464713257513784</c:v>
                </c:pt>
                <c:pt idx="11">
                  <c:v>0.43698684650173308</c:v>
                </c:pt>
                <c:pt idx="12">
                  <c:v>0.4823773031449225</c:v>
                </c:pt>
                <c:pt idx="13">
                  <c:v>0.52968434216429172</c:v>
                </c:pt>
                <c:pt idx="14">
                  <c:v>0.57750312689295558</c:v>
                </c:pt>
                <c:pt idx="15">
                  <c:v>0.62433003755033889</c:v>
                </c:pt>
                <c:pt idx="16">
                  <c:v>0.66876792040410937</c:v>
                </c:pt>
                <c:pt idx="17">
                  <c:v>0.70970536983058075</c:v>
                </c:pt>
                <c:pt idx="18">
                  <c:v>0.74642169472723185</c:v>
                </c:pt>
                <c:pt idx="19">
                  <c:v>0.77860148470519674</c:v>
                </c:pt>
                <c:pt idx="20">
                  <c:v>0.80627596191364093</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0.16579577181184399</c:v>
                </c:pt>
                <c:pt idx="1">
                  <c:v>0.17357874305516274</c:v>
                </c:pt>
                <c:pt idx="2">
                  <c:v>0.18284502983913203</c:v>
                </c:pt>
                <c:pt idx="3">
                  <c:v>0.19387695049432499</c:v>
                </c:pt>
                <c:pt idx="4">
                  <c:v>0.20700172519575505</c:v>
                </c:pt>
                <c:pt idx="5">
                  <c:v>0.22259054843283183</c:v>
                </c:pt>
                <c:pt idx="6">
                  <c:v>0.24105110961496812</c:v>
                </c:pt>
                <c:pt idx="7">
                  <c:v>0.26280957820094902</c:v>
                </c:pt>
                <c:pt idx="8">
                  <c:v>0.28827734665643212</c:v>
                </c:pt>
                <c:pt idx="9">
                  <c:v>0.31779831275820664</c:v>
                </c:pt>
                <c:pt idx="10">
                  <c:v>0.35157548721378995</c:v>
                </c:pt>
                <c:pt idx="11">
                  <c:v>0.38958252094508478</c:v>
                </c:pt>
                <c:pt idx="12">
                  <c:v>0.43147636752084556</c:v>
                </c:pt>
                <c:pt idx="13">
                  <c:v>0.47653859797001297</c:v>
                </c:pt>
                <c:pt idx="14">
                  <c:v>0.52367770613787767</c:v>
                </c:pt>
                <c:pt idx="15">
                  <c:v>0.57151471132666376</c:v>
                </c:pt>
                <c:pt idx="16">
                  <c:v>0.61854726639041469</c:v>
                </c:pt>
                <c:pt idx="17">
                  <c:v>0.66335387420990766</c:v>
                </c:pt>
                <c:pt idx="18">
                  <c:v>0.70477959170472548</c:v>
                </c:pt>
                <c:pt idx="19">
                  <c:v>0.74205199053002824</c:v>
                </c:pt>
                <c:pt idx="20">
                  <c:v>0.77480672280418206</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0.15851121249147679</c:v>
                </c:pt>
                <c:pt idx="1">
                  <c:v>0.16490973866132325</c:v>
                </c:pt>
                <c:pt idx="2">
                  <c:v>0.17252403610306796</c:v>
                </c:pt>
                <c:pt idx="3">
                  <c:v>0.18158922058148935</c:v>
                </c:pt>
                <c:pt idx="4">
                  <c:v>0.19238210658089902</c:v>
                </c:pt>
                <c:pt idx="5">
                  <c:v>0.20522422113577724</c:v>
                </c:pt>
                <c:pt idx="6">
                  <c:v>0.22048147168573959</c:v>
                </c:pt>
                <c:pt idx="7">
                  <c:v>0.23855768814505668</c:v>
                </c:pt>
                <c:pt idx="8">
                  <c:v>0.2598781835628734</c:v>
                </c:pt>
                <c:pt idx="9">
                  <c:v>0.28485867364032025</c:v>
                </c:pt>
                <c:pt idx="10">
                  <c:v>0.31385516693085891</c:v>
                </c:pt>
                <c:pt idx="11">
                  <c:v>0.3470930460622586</c:v>
                </c:pt>
                <c:pt idx="12">
                  <c:v>0.38457984647360893</c:v>
                </c:pt>
                <c:pt idx="13">
                  <c:v>0.42601647072500892</c:v>
                </c:pt>
                <c:pt idx="14">
                  <c:v>0.47073310972950005</c:v>
                </c:pt>
                <c:pt idx="15">
                  <c:v>0.51768226941674833</c:v>
                </c:pt>
                <c:pt idx="16">
                  <c:v>0.56551347139865926</c:v>
                </c:pt>
                <c:pt idx="17">
                  <c:v>0.61272895063406407</c:v>
                </c:pt>
                <c:pt idx="18">
                  <c:v>0.65788587298929546</c:v>
                </c:pt>
                <c:pt idx="19">
                  <c:v>0.69978761828409508</c:v>
                </c:pt>
                <c:pt idx="20">
                  <c:v>0.73761040444338111</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0.15251739441768369</c:v>
                </c:pt>
                <c:pt idx="1">
                  <c:v>0.15778248323506947</c:v>
                </c:pt>
                <c:pt idx="2">
                  <c:v>0.16404287525095046</c:v>
                </c:pt>
                <c:pt idx="3">
                  <c:v>0.17149220934959925</c:v>
                </c:pt>
                <c:pt idx="4">
                  <c:v>0.18036066297895517</c:v>
                </c:pt>
                <c:pt idx="5">
                  <c:v>0.19091959673005829</c:v>
                </c:pt>
                <c:pt idx="6">
                  <c:v>0.20348484282378998</c:v>
                </c:pt>
                <c:pt idx="7">
                  <c:v>0.21841692460142506</c:v>
                </c:pt>
                <c:pt idx="8">
                  <c:v>0.23611555883345958</c:v>
                </c:pt>
                <c:pt idx="9">
                  <c:v>0.25700471694822402</c:v>
                </c:pt>
                <c:pt idx="10">
                  <c:v>0.2815036487507333</c:v>
                </c:pt>
                <c:pt idx="11">
                  <c:v>0.3099793474607051</c:v>
                </c:pt>
                <c:pt idx="12">
                  <c:v>0.34267817014621038</c:v>
                </c:pt>
                <c:pt idx="13">
                  <c:v>0.37964009839797064</c:v>
                </c:pt>
                <c:pt idx="14">
                  <c:v>0.42060892632180386</c:v>
                </c:pt>
                <c:pt idx="15">
                  <c:v>0.464963319245283</c:v>
                </c:pt>
                <c:pt idx="16">
                  <c:v>0.51170097502799461</c:v>
                </c:pt>
                <c:pt idx="17">
                  <c:v>0.55950242538960493</c:v>
                </c:pt>
                <c:pt idx="18">
                  <c:v>0.6068777635660717</c:v>
                </c:pt>
                <c:pt idx="19">
                  <c:v>0.65236591653726383</c:v>
                </c:pt>
                <c:pt idx="20">
                  <c:v>0.69473062233414862</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0.14758023921765029</c:v>
                </c:pt>
                <c:pt idx="1">
                  <c:v>0.15191742656371165</c:v>
                </c:pt>
                <c:pt idx="2">
                  <c:v>0.15706944609643239</c:v>
                </c:pt>
                <c:pt idx="3">
                  <c:v>0.16319475830318722</c:v>
                </c:pt>
                <c:pt idx="4">
                  <c:v>0.17048276133570434</c:v>
                </c:pt>
                <c:pt idx="5">
                  <c:v>0.17915876902357949</c:v>
                </c:pt>
                <c:pt idx="6">
                  <c:v>0.1894887422227676</c:v>
                </c:pt>
                <c:pt idx="7">
                  <c:v>0.20178282521265473</c:v>
                </c:pt>
                <c:pt idx="8">
                  <c:v>0.21639607518437759</c:v>
                </c:pt>
                <c:pt idx="9">
                  <c:v>0.23372386573172563</c:v>
                </c:pt>
                <c:pt idx="10">
                  <c:v>0.25418837485253631</c:v>
                </c:pt>
                <c:pt idx="11">
                  <c:v>0.27821163865151577</c:v>
                </c:pt>
                <c:pt idx="12">
                  <c:v>0.30617055037353935</c:v>
                </c:pt>
                <c:pt idx="13">
                  <c:v>0.33833106944577412</c:v>
                </c:pt>
                <c:pt idx="14">
                  <c:v>0.37476417093700176</c:v>
                </c:pt>
                <c:pt idx="15">
                  <c:v>0.41525540660804483</c:v>
                </c:pt>
                <c:pt idx="16">
                  <c:v>0.45923162804254047</c:v>
                </c:pt>
                <c:pt idx="17">
                  <c:v>0.50573672710027251</c:v>
                </c:pt>
                <c:pt idx="18">
                  <c:v>0.55348460578327219</c:v>
                </c:pt>
                <c:pt idx="19">
                  <c:v>0.60099644287543752</c:v>
                </c:pt>
                <c:pt idx="20">
                  <c:v>0.64679610176960933</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0.14350872417438329</c:v>
                </c:pt>
                <c:pt idx="1">
                  <c:v>0.14708571349885927</c:v>
                </c:pt>
                <c:pt idx="2">
                  <c:v>0.15133030504474149</c:v>
                </c:pt>
                <c:pt idx="3">
                  <c:v>0.15637175395982861</c:v>
                </c:pt>
                <c:pt idx="4">
                  <c:v>0.16236497368091149</c:v>
                </c:pt>
                <c:pt idx="5">
                  <c:v>0.16949520094337073</c:v>
                </c:pt>
                <c:pt idx="6">
                  <c:v>0.17798296193849472</c:v>
                </c:pt>
                <c:pt idx="7">
                  <c:v>0.18808887573314834</c:v>
                </c:pt>
                <c:pt idx="8">
                  <c:v>0.20011741342822315</c:v>
                </c:pt>
                <c:pt idx="9">
                  <c:v>0.21441809807378948</c:v>
                </c:pt>
                <c:pt idx="10">
                  <c:v>0.23138175248612533</c:v>
                </c:pt>
                <c:pt idx="11">
                  <c:v>0.25142834160836419</c:v>
                </c:pt>
                <c:pt idx="12">
                  <c:v>0.27498198064705537</c:v>
                </c:pt>
                <c:pt idx="13">
                  <c:v>0.30242842038687912</c:v>
                </c:pt>
                <c:pt idx="14">
                  <c:v>0.33405187914284873</c:v>
                </c:pt>
                <c:pt idx="15">
                  <c:v>0.36995286486691792</c:v>
                </c:pt>
                <c:pt idx="16">
                  <c:v>0.40995748524993619</c:v>
                </c:pt>
                <c:pt idx="17">
                  <c:v>0.4535403547294331</c:v>
                </c:pt>
                <c:pt idx="18">
                  <c:v>0.4997923848121415</c:v>
                </c:pt>
                <c:pt idx="19">
                  <c:v>0.54746305240206394</c:v>
                </c:pt>
                <c:pt idx="20">
                  <c:v>0.59508778506070126</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0.14014718805057758</c:v>
                </c:pt>
                <c:pt idx="1">
                  <c:v>0.14310063195921763</c:v>
                </c:pt>
                <c:pt idx="2">
                  <c:v>0.14660171294438715</c:v>
                </c:pt>
                <c:pt idx="3">
                  <c:v>0.15075574645860942</c:v>
                </c:pt>
                <c:pt idx="4">
                  <c:v>0.15568906742734623</c:v>
                </c:pt>
                <c:pt idx="5">
                  <c:v>0.16155311622823557</c:v>
                </c:pt>
                <c:pt idx="6">
                  <c:v>0.16852904725529008</c:v>
                </c:pt>
                <c:pt idx="7">
                  <c:v>0.17683267609538553</c:v>
                </c:pt>
                <c:pt idx="8">
                  <c:v>0.18671934136795346</c:v>
                </c:pt>
                <c:pt idx="9">
                  <c:v>0.1984878630280684</c:v>
                </c:pt>
                <c:pt idx="10">
                  <c:v>0.21248217515476137</c:v>
                </c:pt>
                <c:pt idx="11">
                  <c:v>0.22908836345883696</c:v>
                </c:pt>
                <c:pt idx="12">
                  <c:v>0.24872379115670612</c:v>
                </c:pt>
                <c:pt idx="13">
                  <c:v>0.27181398513957078</c:v>
                </c:pt>
                <c:pt idx="14">
                  <c:v>0.29875255385050109</c:v>
                </c:pt>
                <c:pt idx="15">
                  <c:v>0.32984066246972366</c:v>
                </c:pt>
                <c:pt idx="16">
                  <c:v>0.36520688931100548</c:v>
                </c:pt>
                <c:pt idx="17">
                  <c:v>0.40471663690180509</c:v>
                </c:pt>
                <c:pt idx="18">
                  <c:v>0.44789173174163444</c:v>
                </c:pt>
                <c:pt idx="19">
                  <c:v>0.49387075657718255</c:v>
                </c:pt>
                <c:pt idx="20">
                  <c:v>0.54144080552970697</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0.13736877950306786</c:v>
                </c:pt>
                <c:pt idx="1">
                  <c:v>0.1398100420429883</c:v>
                </c:pt>
                <c:pt idx="2">
                  <c:v>0.14270117377041999</c:v>
                </c:pt>
                <c:pt idx="3">
                  <c:v>0.14612800660870592</c:v>
                </c:pt>
                <c:pt idx="4">
                  <c:v>0.15019347379250594</c:v>
                </c:pt>
                <c:pt idx="5">
                  <c:v>0.15502105466381008</c:v>
                </c:pt>
                <c:pt idx="6">
                  <c:v>0.16075878961076676</c:v>
                </c:pt>
                <c:pt idx="7">
                  <c:v>0.16758382941044001</c:v>
                </c:pt>
                <c:pt idx="8">
                  <c:v>0.17570735692176456</c:v>
                </c:pt>
                <c:pt idx="9">
                  <c:v>0.18537949468610085</c:v>
                </c:pt>
                <c:pt idx="10">
                  <c:v>0.19689344022604069</c:v>
                </c:pt>
                <c:pt idx="11">
                  <c:v>0.21058749611679242</c:v>
                </c:pt>
                <c:pt idx="12">
                  <c:v>0.22684284477631639</c:v>
                </c:pt>
                <c:pt idx="13">
                  <c:v>0.24607388873142497</c:v>
                </c:pt>
                <c:pt idx="14">
                  <c:v>0.26870693800492906</c:v>
                </c:pt>
                <c:pt idx="15">
                  <c:v>0.29514250164918393</c:v>
                </c:pt>
                <c:pt idx="16">
                  <c:v>0.32569741361534327</c:v>
                </c:pt>
                <c:pt idx="17">
                  <c:v>0.3605268637248405</c:v>
                </c:pt>
                <c:pt idx="18">
                  <c:v>0.3995342371513998</c:v>
                </c:pt>
                <c:pt idx="19">
                  <c:v>0.44228790245637373</c:v>
                </c:pt>
                <c:pt idx="20">
                  <c:v>0.4879745944903916</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0.13507002408660329</c:v>
                </c:pt>
                <c:pt idx="1">
                  <c:v>0.13708995318720299</c:v>
                </c:pt>
                <c:pt idx="2">
                  <c:v>0.13947998889737837</c:v>
                </c:pt>
                <c:pt idx="3">
                  <c:v>0.14231016145403574</c:v>
                </c:pt>
                <c:pt idx="4">
                  <c:v>0.14566436877454694</c:v>
                </c:pt>
                <c:pt idx="5">
                  <c:v>0.14964321628434221</c:v>
                </c:pt>
                <c:pt idx="6">
                  <c:v>0.15436739124312029</c:v>
                </c:pt>
                <c:pt idx="7">
                  <c:v>0.15998160615561843</c:v>
                </c:pt>
                <c:pt idx="8">
                  <c:v>0.16665908645614774</c:v>
                </c:pt>
                <c:pt idx="9">
                  <c:v>0.17460646079900161</c:v>
                </c:pt>
                <c:pt idx="10">
                  <c:v>0.18406870269972736</c:v>
                </c:pt>
                <c:pt idx="11">
                  <c:v>0.19533342208469776</c:v>
                </c:pt>
                <c:pt idx="12">
                  <c:v>0.20873325896206502</c:v>
                </c:pt>
                <c:pt idx="13">
                  <c:v>0.22464434530726957</c:v>
                </c:pt>
                <c:pt idx="14">
                  <c:v>0.24347779245771417</c:v>
                </c:pt>
                <c:pt idx="15">
                  <c:v>0.26566010288459846</c:v>
                </c:pt>
                <c:pt idx="16">
                  <c:v>0.29159777205946757</c:v>
                </c:pt>
                <c:pt idx="17">
                  <c:v>0.32162206067435878</c:v>
                </c:pt>
                <c:pt idx="18">
                  <c:v>0.35591332005864423</c:v>
                </c:pt>
                <c:pt idx="19">
                  <c:v>0.39441156277833722</c:v>
                </c:pt>
                <c:pt idx="20">
                  <c:v>0.43673091867818015</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0.1331663882886043</c:v>
                </c:pt>
                <c:pt idx="1">
                  <c:v>0.13483920952921288</c:v>
                </c:pt>
                <c:pt idx="2">
                  <c:v>0.13681696238899033</c:v>
                </c:pt>
                <c:pt idx="3">
                  <c:v>0.13915687519827749</c:v>
                </c:pt>
                <c:pt idx="4">
                  <c:v>0.14192741110683776</c:v>
                </c:pt>
                <c:pt idx="5">
                  <c:v>0.14521057883466598</c:v>
                </c:pt>
                <c:pt idx="6">
                  <c:v>0.14910470928630504</c:v>
                </c:pt>
                <c:pt idx="7">
                  <c:v>0.15372775999615124</c:v>
                </c:pt>
                <c:pt idx="8">
                  <c:v>0.15922118669145519</c:v>
                </c:pt>
                <c:pt idx="9">
                  <c:v>0.16575436719716344</c:v>
                </c:pt>
                <c:pt idx="10">
                  <c:v>0.17352945495199529</c:v>
                </c:pt>
                <c:pt idx="11">
                  <c:v>0.18278634385815057</c:v>
                </c:pt>
                <c:pt idx="12">
                  <c:v>0.19380709667758136</c:v>
                </c:pt>
                <c:pt idx="13">
                  <c:v>0.2069186704659951</c:v>
                </c:pt>
                <c:pt idx="14">
                  <c:v>0.22249201757270284</c:v>
                </c:pt>
                <c:pt idx="15">
                  <c:v>0.240934654865925</c:v>
                </c:pt>
                <c:pt idx="16">
                  <c:v>0.26267272339190029</c:v>
                </c:pt>
                <c:pt idx="17">
                  <c:v>0.28811783355307313</c:v>
                </c:pt>
                <c:pt idx="18">
                  <c:v>0.31761446862487042</c:v>
                </c:pt>
                <c:pt idx="19">
                  <c:v>0.35136670507845758</c:v>
                </c:pt>
                <c:pt idx="20">
                  <c:v>0.38934979231105171</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0.13158868905876925</c:v>
                </c:pt>
                <c:pt idx="1">
                  <c:v>0.13297515602870308</c:v>
                </c:pt>
                <c:pt idx="2">
                  <c:v>0.13461320306662883</c:v>
                </c:pt>
                <c:pt idx="3">
                  <c:v>0.13654968183876004</c:v>
                </c:pt>
                <c:pt idx="4">
                  <c:v>0.13884055097583631</c:v>
                </c:pt>
                <c:pt idx="5">
                  <c:v>0.14155274297820702</c:v>
                </c:pt>
                <c:pt idx="6">
                  <c:v>0.14476642117591842</c:v>
                </c:pt>
                <c:pt idx="7">
                  <c:v>0.14857769413063771</c:v>
                </c:pt>
                <c:pt idx="8">
                  <c:v>0.1531018508603284</c:v>
                </c:pt>
                <c:pt idx="9">
                  <c:v>0.15847716038883039</c:v>
                </c:pt>
                <c:pt idx="10">
                  <c:v>0.16486923004222998</c:v>
                </c:pt>
                <c:pt idx="11">
                  <c:v>0.17247581733132653</c:v>
                </c:pt>
                <c:pt idx="12">
                  <c:v>0.18153180801605889</c:v>
                </c:pt>
                <c:pt idx="13">
                  <c:v>0.19231376322324231</c:v>
                </c:pt>
                <c:pt idx="14">
                  <c:v>0.20514294659247087</c:v>
                </c:pt>
                <c:pt idx="15">
                  <c:v>0.22038501859057982</c:v>
                </c:pt>
                <c:pt idx="16">
                  <c:v>0.23844362432231508</c:v>
                </c:pt>
                <c:pt idx="17">
                  <c:v>0.25974402523125623</c:v>
                </c:pt>
                <c:pt idx="18">
                  <c:v>0.28470211754042868</c:v>
                </c:pt>
                <c:pt idx="19">
                  <c:v>0.31367444232158342</c:v>
                </c:pt>
                <c:pt idx="20">
                  <c:v>0.34688738282802856</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chart" Target="../charts/chart3.xml"/><Relationship Id="rId18" Type="http://schemas.openxmlformats.org/officeDocument/2006/relationships/chart" Target="../charts/chart8.xml"/><Relationship Id="rId26" Type="http://schemas.openxmlformats.org/officeDocument/2006/relationships/image" Target="../media/image18.png"/><Relationship Id="rId3" Type="http://schemas.openxmlformats.org/officeDocument/2006/relationships/chart" Target="../charts/chart2.xml"/><Relationship Id="rId21" Type="http://schemas.openxmlformats.org/officeDocument/2006/relationships/image" Target="../media/image13.png"/><Relationship Id="rId7" Type="http://schemas.openxmlformats.org/officeDocument/2006/relationships/image" Target="../media/image5.png"/><Relationship Id="rId12" Type="http://schemas.openxmlformats.org/officeDocument/2006/relationships/image" Target="../media/image10.png"/><Relationship Id="rId17" Type="http://schemas.openxmlformats.org/officeDocument/2006/relationships/chart" Target="../charts/chart7.xml"/><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1.xml"/><Relationship Id="rId16" Type="http://schemas.openxmlformats.org/officeDocument/2006/relationships/chart" Target="../charts/chart6.xml"/><Relationship Id="rId20" Type="http://schemas.openxmlformats.org/officeDocument/2006/relationships/image" Target="../media/image12.pn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24" Type="http://schemas.openxmlformats.org/officeDocument/2006/relationships/image" Target="../media/image16.png"/><Relationship Id="rId32" Type="http://schemas.openxmlformats.org/officeDocument/2006/relationships/image" Target="../media/image24.png"/><Relationship Id="rId5" Type="http://schemas.openxmlformats.org/officeDocument/2006/relationships/image" Target="../media/image3.png"/><Relationship Id="rId15" Type="http://schemas.openxmlformats.org/officeDocument/2006/relationships/chart" Target="../charts/chart5.xml"/><Relationship Id="rId23" Type="http://schemas.openxmlformats.org/officeDocument/2006/relationships/image" Target="../media/image15.png"/><Relationship Id="rId28" Type="http://schemas.openxmlformats.org/officeDocument/2006/relationships/image" Target="../media/image20.png"/><Relationship Id="rId10" Type="http://schemas.openxmlformats.org/officeDocument/2006/relationships/image" Target="../media/image8.png"/><Relationship Id="rId19" Type="http://schemas.openxmlformats.org/officeDocument/2006/relationships/image" Target="../media/image11.png"/><Relationship Id="rId31" Type="http://schemas.openxmlformats.org/officeDocument/2006/relationships/image" Target="../media/image23.png"/><Relationship Id="rId4" Type="http://schemas.openxmlformats.org/officeDocument/2006/relationships/image" Target="../media/image2.png"/><Relationship Id="rId9" Type="http://schemas.openxmlformats.org/officeDocument/2006/relationships/image" Target="../media/image7.png"/><Relationship Id="rId14" Type="http://schemas.openxmlformats.org/officeDocument/2006/relationships/chart" Target="../charts/chart4.xml"/><Relationship Id="rId22" Type="http://schemas.openxmlformats.org/officeDocument/2006/relationships/image" Target="../media/image14.png"/><Relationship Id="rId27" Type="http://schemas.openxmlformats.org/officeDocument/2006/relationships/image" Target="../media/image19.png"/><Relationship Id="rId30" Type="http://schemas.openxmlformats.org/officeDocument/2006/relationships/image" Target="../media/image22.png"/><Relationship Id="rId8"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0</xdr:col>
      <xdr:colOff>517072</xdr:colOff>
      <xdr:row>15</xdr:row>
      <xdr:rowOff>63501</xdr:rowOff>
    </xdr:from>
    <xdr:to>
      <xdr:col>11</xdr:col>
      <xdr:colOff>517072</xdr:colOff>
      <xdr:row>32</xdr:row>
      <xdr:rowOff>63496</xdr:rowOff>
    </xdr:to>
    <xdr:grpSp>
      <xdr:nvGrpSpPr>
        <xdr:cNvPr id="1024" name="Group 1023">
          <a:extLst>
            <a:ext uri="{FF2B5EF4-FFF2-40B4-BE49-F238E27FC236}">
              <a16:creationId xmlns:a16="http://schemas.microsoft.com/office/drawing/2014/main" id="{27D033FE-00C6-49F5-B561-93B918645FCB}"/>
            </a:ext>
          </a:extLst>
        </xdr:cNvPr>
        <xdr:cNvGrpSpPr/>
      </xdr:nvGrpSpPr>
      <xdr:grpSpPr>
        <a:xfrm>
          <a:off x="517072" y="2836334"/>
          <a:ext cx="6974417" cy="3058579"/>
          <a:chOff x="399143" y="2857501"/>
          <a:chExt cx="6912429" cy="3084280"/>
        </a:xfrm>
      </xdr:grpSpPr>
      <xdr:sp macro="" textlink="">
        <xdr:nvSpPr>
          <xdr:cNvPr id="15" name="Rectangle 14">
            <a:extLst>
              <a:ext uri="{FF2B5EF4-FFF2-40B4-BE49-F238E27FC236}">
                <a16:creationId xmlns:a16="http://schemas.microsoft.com/office/drawing/2014/main" id="{AEAE373E-0AC0-4556-B086-A444FE68A3E6}"/>
              </a:ext>
            </a:extLst>
          </xdr:cNvPr>
          <xdr:cNvSpPr/>
        </xdr:nvSpPr>
        <xdr:spPr>
          <a:xfrm>
            <a:off x="399143" y="2857501"/>
            <a:ext cx="6912429" cy="286657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7F405107-FA38-413C-957C-5A15C7C49BFF}"/>
              </a:ext>
            </a:extLst>
          </xdr:cNvPr>
          <xdr:cNvGrpSpPr/>
        </xdr:nvGrpSpPr>
        <xdr:grpSpPr>
          <a:xfrm>
            <a:off x="469898" y="2930068"/>
            <a:ext cx="6633028" cy="3011713"/>
            <a:chOff x="469898" y="2930068"/>
            <a:chExt cx="6633028" cy="3011713"/>
          </a:xfrm>
        </xdr:grpSpPr>
        <xdr:sp macro="" textlink="">
          <xdr:nvSpPr>
            <xdr:cNvPr id="154" name="Rectangle 153">
              <a:extLst>
                <a:ext uri="{FF2B5EF4-FFF2-40B4-BE49-F238E27FC236}">
                  <a16:creationId xmlns:a16="http://schemas.microsoft.com/office/drawing/2014/main" id="{B81A9FCB-ADDB-419F-A9F6-EE762ADA61CB}"/>
                </a:ext>
              </a:extLst>
            </xdr:cNvPr>
            <xdr:cNvSpPr/>
          </xdr:nvSpPr>
          <xdr:spPr>
            <a:xfrm>
              <a:off x="480784" y="2930068"/>
              <a:ext cx="6622142"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with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2E907A65-DDF2-4EB5-8C07-D2174E998158}"/>
                </a:ext>
              </a:extLst>
            </xdr:cNvPr>
            <xdr:cNvSpPr/>
          </xdr:nvSpPr>
          <xdr:spPr>
            <a:xfrm>
              <a:off x="469898" y="3790041"/>
              <a:ext cx="2070100" cy="19249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batch or stochastic gradient descent at this point. With this updated cost we can then recalculate the gradient of each weight and bias ready for the next iteration. We can view how our weights and biases are changing with each iteration with the handy x-plots shown below. </a:t>
              </a:r>
            </a:p>
          </xdr:txBody>
        </xdr:sp>
      </xdr:grpSp>
    </xdr:grpSp>
    <xdr:clientData/>
  </xdr:twoCellAnchor>
  <xdr:twoCellAnchor editAs="oneCell">
    <xdr:from>
      <xdr:col>22</xdr:col>
      <xdr:colOff>678391</xdr:colOff>
      <xdr:row>24</xdr:row>
      <xdr:rowOff>78318</xdr:rowOff>
    </xdr:from>
    <xdr:to>
      <xdr:col>24</xdr:col>
      <xdr:colOff>566230</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257173</xdr:colOff>
      <xdr:row>46</xdr:row>
      <xdr:rowOff>28575</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0820590" y="349250"/>
          <a:ext cx="10583" cy="795549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362123</xdr:colOff>
      <xdr:row>20</xdr:row>
      <xdr:rowOff>170138</xdr:rowOff>
    </xdr:from>
    <xdr:to>
      <xdr:col>11</xdr:col>
      <xdr:colOff>156882</xdr:colOff>
      <xdr:row>29</xdr:row>
      <xdr:rowOff>133283</xdr:rowOff>
    </xdr:to>
    <xdr:grpSp>
      <xdr:nvGrpSpPr>
        <xdr:cNvPr id="118" name="Group 117">
          <a:extLst>
            <a:ext uri="{FF2B5EF4-FFF2-40B4-BE49-F238E27FC236}">
              <a16:creationId xmlns:a16="http://schemas.microsoft.com/office/drawing/2014/main" id="{DFE4E6A4-AC7E-4EBD-909E-3CD862DF219E}"/>
            </a:ext>
          </a:extLst>
        </xdr:cNvPr>
        <xdr:cNvGrpSpPr/>
      </xdr:nvGrpSpPr>
      <xdr:grpSpPr>
        <a:xfrm>
          <a:off x="2817456" y="3842555"/>
          <a:ext cx="4313843" cy="1582395"/>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 b1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 b2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 b3</a:t>
            </a:r>
          </a:p>
        </xdr:txBody>
      </xdr:sp>
      <xdr:sp macro="" textlink="">
        <xdr:nvSpPr>
          <xdr:cNvPr id="71" name="Rectangle 70">
            <a:extLst>
              <a:ext uri="{FF2B5EF4-FFF2-40B4-BE49-F238E27FC236}">
                <a16:creationId xmlns:a16="http://schemas.microsoft.com/office/drawing/2014/main" id="{2F32B42D-DBD1-482E-B05E-0B6E877E6719}"/>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35A6C178-D9F9-4061-92F8-1926101F20A9}"/>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9053C797-D5C6-4529-9B2B-79FBEDC1364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twoCellAnchor>
    <xdr:from>
      <xdr:col>11</xdr:col>
      <xdr:colOff>803233</xdr:colOff>
      <xdr:row>15</xdr:row>
      <xdr:rowOff>56605</xdr:rowOff>
    </xdr:from>
    <xdr:to>
      <xdr:col>21</xdr:col>
      <xdr:colOff>530794</xdr:colOff>
      <xdr:row>45</xdr:row>
      <xdr:rowOff>171720</xdr:rowOff>
    </xdr:to>
    <xdr:grpSp>
      <xdr:nvGrpSpPr>
        <xdr:cNvPr id="77" name="Group 76">
          <a:extLst>
            <a:ext uri="{FF2B5EF4-FFF2-40B4-BE49-F238E27FC236}">
              <a16:creationId xmlns:a16="http://schemas.microsoft.com/office/drawing/2014/main" id="{716E81E9-E137-498B-B370-52ECFAD8FF7C}"/>
            </a:ext>
          </a:extLst>
        </xdr:cNvPr>
        <xdr:cNvGrpSpPr/>
      </xdr:nvGrpSpPr>
      <xdr:grpSpPr>
        <a:xfrm>
          <a:off x="7777650" y="2829438"/>
          <a:ext cx="6268061" cy="5512615"/>
          <a:chOff x="6932900" y="2956985"/>
          <a:chExt cx="5907789" cy="5839187"/>
        </a:xfrm>
      </xdr:grpSpPr>
      <xdr:grpSp>
        <xdr:nvGrpSpPr>
          <xdr:cNvPr id="63" name="Group 62">
            <a:extLst>
              <a:ext uri="{FF2B5EF4-FFF2-40B4-BE49-F238E27FC236}">
                <a16:creationId xmlns:a16="http://schemas.microsoft.com/office/drawing/2014/main" id="{D1432EFB-B5E9-4F82-AFEA-7FE9D83A5B79}"/>
              </a:ext>
            </a:extLst>
          </xdr:cNvPr>
          <xdr:cNvGrpSpPr/>
        </xdr:nvGrpSpPr>
        <xdr:grpSpPr>
          <a:xfrm>
            <a:off x="6932900" y="2956985"/>
            <a:ext cx="5907789" cy="5839187"/>
            <a:chOff x="6841735" y="4110567"/>
            <a:chExt cx="5931219"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41735"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1811B3E4-DEA6-4BB5-818E-E576C58D5B8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0</xdr:col>
      <xdr:colOff>533888</xdr:colOff>
      <xdr:row>70</xdr:row>
      <xdr:rowOff>46162</xdr:rowOff>
    </xdr:from>
    <xdr:to>
      <xdr:col>10</xdr:col>
      <xdr:colOff>177800</xdr:colOff>
      <xdr:row>105</xdr:row>
      <xdr:rowOff>12701</xdr:rowOff>
    </xdr:to>
    <xdr:grpSp>
      <xdr:nvGrpSpPr>
        <xdr:cNvPr id="116" name="Group 115">
          <a:extLst>
            <a:ext uri="{FF2B5EF4-FFF2-40B4-BE49-F238E27FC236}">
              <a16:creationId xmlns:a16="http://schemas.microsoft.com/office/drawing/2014/main" id="{7F3CD6CF-8A87-4DEE-B1F7-2D7D59719798}"/>
            </a:ext>
          </a:extLst>
        </xdr:cNvPr>
        <xdr:cNvGrpSpPr/>
      </xdr:nvGrpSpPr>
      <xdr:grpSpPr>
        <a:xfrm>
          <a:off x="533888" y="12714412"/>
          <a:ext cx="5782245" cy="6284789"/>
          <a:chOff x="330200" y="8216656"/>
          <a:chExt cx="5749005" cy="6381288"/>
        </a:xfrm>
      </xdr:grpSpPr>
      <xdr:grpSp>
        <xdr:nvGrpSpPr>
          <xdr:cNvPr id="105" name="Group 104">
            <a:extLst>
              <a:ext uri="{FF2B5EF4-FFF2-40B4-BE49-F238E27FC236}">
                <a16:creationId xmlns:a16="http://schemas.microsoft.com/office/drawing/2014/main" id="{C3D66E88-9906-4C19-9929-342B6FF5EA67}"/>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98822E7E-DD00-42E2-99F2-76B24A4D4913}"/>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1409701" y="11168147"/>
              <a:ext cx="2844799" cy="458169"/>
            </a:xfrm>
            <a:prstGeom prst="rect">
              <a:avLst/>
            </a:prstGeom>
          </xdr:spPr>
        </xdr:pic>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stretch>
              <a:fillRect/>
            </a:stretch>
          </xdr:blipFill>
          <xdr:spPr>
            <a:xfrm>
              <a:off x="977900" y="11882523"/>
              <a:ext cx="1587500" cy="499142"/>
            </a:xfrm>
            <a:prstGeom prst="rect">
              <a:avLst/>
            </a:prstGeom>
          </xdr:spPr>
        </xdr:pic>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46100" y="13476231"/>
              <a:ext cx="5123391" cy="587295"/>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8"/>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9"/>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0"/>
            <a:stretch>
              <a:fillRect/>
            </a:stretch>
          </xdr:blipFill>
          <xdr:spPr>
            <a:xfrm>
              <a:off x="2851149" y="14185314"/>
              <a:ext cx="2364144" cy="786341"/>
            </a:xfrm>
            <a:prstGeom prst="rect">
              <a:avLst/>
            </a:prstGeom>
          </xdr:spPr>
        </xdr:pic>
        <xdr:pic>
          <xdr:nvPicPr>
            <xdr:cNvPr id="79" name="Picture 78">
              <a:extLst>
                <a:ext uri="{FF2B5EF4-FFF2-40B4-BE49-F238E27FC236}">
                  <a16:creationId xmlns:a16="http://schemas.microsoft.com/office/drawing/2014/main" id="{2EFCC2EC-FBEC-4237-8C49-3E3DA60AD918}"/>
                </a:ext>
              </a:extLst>
            </xdr:cNvPr>
            <xdr:cNvPicPr>
              <a:picLocks noChangeAspect="1"/>
            </xdr:cNvPicPr>
          </xdr:nvPicPr>
          <xdr:blipFill>
            <a:blip xmlns:r="http://schemas.openxmlformats.org/officeDocument/2006/relationships" r:embed="rId11"/>
            <a:stretch>
              <a:fillRect/>
            </a:stretch>
          </xdr:blipFill>
          <xdr:spPr>
            <a:xfrm>
              <a:off x="927100" y="9385072"/>
              <a:ext cx="1951021" cy="457200"/>
            </a:xfrm>
            <a:prstGeom prst="rect">
              <a:avLst/>
            </a:prstGeom>
          </xdr:spPr>
        </xdr:pic>
        <xdr:pic>
          <xdr:nvPicPr>
            <xdr:cNvPr id="104" name="Picture 103">
              <a:extLst>
                <a:ext uri="{FF2B5EF4-FFF2-40B4-BE49-F238E27FC236}">
                  <a16:creationId xmlns:a16="http://schemas.microsoft.com/office/drawing/2014/main" id="{ACD8325C-1D02-46DE-852C-651B6E1271DD}"/>
                </a:ext>
              </a:extLst>
            </xdr:cNvPr>
            <xdr:cNvPicPr>
              <a:picLocks noChangeAspect="1"/>
            </xdr:cNvPicPr>
          </xdr:nvPicPr>
          <xdr:blipFill>
            <a:blip xmlns:r="http://schemas.openxmlformats.org/officeDocument/2006/relationships" r:embed="rId12"/>
            <a:stretch>
              <a:fillRect/>
            </a:stretch>
          </xdr:blipFill>
          <xdr:spPr>
            <a:xfrm>
              <a:off x="3314700" y="9156472"/>
              <a:ext cx="1829196" cy="977899"/>
            </a:xfrm>
            <a:prstGeom prst="rect">
              <a:avLst/>
            </a:prstGeom>
          </xdr:spPr>
        </xdr:pic>
        <xdr:sp macro="" textlink="">
          <xdr:nvSpPr>
            <xdr:cNvPr id="119" name="Rectangle 118">
              <a:extLst>
                <a:ext uri="{FF2B5EF4-FFF2-40B4-BE49-F238E27FC236}">
                  <a16:creationId xmlns:a16="http://schemas.microsoft.com/office/drawing/2014/main" id="{6B4F2432-3D05-466B-8251-4814608094D9}"/>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499032C5-1640-4414-809B-6B3FFFE915AC}"/>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BAC878EF-50AE-445F-BB02-7059D097299B}"/>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F6005AA-7682-422B-AF28-08FB831388ED}"/>
            </a:ext>
          </a:extLst>
        </xdr:cNvPr>
        <xdr:cNvGrpSpPr/>
      </xdr:nvGrpSpPr>
      <xdr:grpSpPr>
        <a:xfrm>
          <a:off x="2699868" y="5970748"/>
          <a:ext cx="4837289" cy="2131320"/>
          <a:chOff x="762977" y="2965722"/>
          <a:chExt cx="4811238" cy="2176502"/>
        </a:xfrm>
      </xdr:grpSpPr>
      <xdr:sp macro="" textlink="">
        <xdr:nvSpPr>
          <xdr:cNvPr id="126" name="Rectangle 125">
            <a:extLst>
              <a:ext uri="{FF2B5EF4-FFF2-40B4-BE49-F238E27FC236}">
                <a16:creationId xmlns:a16="http://schemas.microsoft.com/office/drawing/2014/main" id="{098D1AF6-05DD-400B-98A5-F10EDE73E058}"/>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DF3D390C-664A-4FC1-8475-675FFD31095F}"/>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546100</xdr:colOff>
      <xdr:row>47</xdr:row>
      <xdr:rowOff>63500</xdr:rowOff>
    </xdr:from>
    <xdr:to>
      <xdr:col>32</xdr:col>
      <xdr:colOff>317500</xdr:colOff>
      <xdr:row>68</xdr:row>
      <xdr:rowOff>177800</xdr:rowOff>
    </xdr:to>
    <xdr:grpSp>
      <xdr:nvGrpSpPr>
        <xdr:cNvPr id="117" name="Group 116">
          <a:extLst>
            <a:ext uri="{FF2B5EF4-FFF2-40B4-BE49-F238E27FC236}">
              <a16:creationId xmlns:a16="http://schemas.microsoft.com/office/drawing/2014/main" id="{5FDA3467-098E-48F6-A29D-6EA5BC71BDDA}"/>
            </a:ext>
          </a:extLst>
        </xdr:cNvPr>
        <xdr:cNvGrpSpPr/>
      </xdr:nvGrpSpPr>
      <xdr:grpSpPr>
        <a:xfrm>
          <a:off x="546100" y="8593667"/>
          <a:ext cx="20154900" cy="3892550"/>
          <a:chOff x="6350000" y="9118600"/>
          <a:chExt cx="20053300" cy="4114800"/>
        </a:xfrm>
      </xdr:grpSpPr>
      <xdr:sp macro="" textlink="">
        <xdr:nvSpPr>
          <xdr:cNvPr id="130" name="Rectangle 129">
            <a:extLst>
              <a:ext uri="{FF2B5EF4-FFF2-40B4-BE49-F238E27FC236}">
                <a16:creationId xmlns:a16="http://schemas.microsoft.com/office/drawing/2014/main" id="{AC49D948-2B64-4EB6-B80B-266782E152B7}"/>
              </a:ext>
            </a:extLst>
          </xdr:cNvPr>
          <xdr:cNvSpPr/>
        </xdr:nvSpPr>
        <xdr:spPr>
          <a:xfrm>
            <a:off x="6350000" y="9118600"/>
            <a:ext cx="20053300"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69" name="Chart 68">
            <a:extLst>
              <a:ext uri="{FF2B5EF4-FFF2-40B4-BE49-F238E27FC236}">
                <a16:creationId xmlns:a16="http://schemas.microsoft.com/office/drawing/2014/main" id="{00000000-0008-0000-0000-000045000000}"/>
              </a:ext>
            </a:extLst>
          </xdr:cNvPr>
          <xdr:cNvGraphicFramePr>
            <a:graphicFrameLocks/>
          </xdr:cNvGraphicFramePr>
        </xdr:nvGraphicFramePr>
        <xdr:xfrm>
          <a:off x="23178872" y="10499810"/>
          <a:ext cx="2887111" cy="2377813"/>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131" name="Rectangle 130">
            <a:extLst>
              <a:ext uri="{FF2B5EF4-FFF2-40B4-BE49-F238E27FC236}">
                <a16:creationId xmlns:a16="http://schemas.microsoft.com/office/drawing/2014/main" id="{E0565D68-29E1-43BB-908E-95BC4178099D}"/>
              </a:ext>
            </a:extLst>
          </xdr:cNvPr>
          <xdr:cNvSpPr/>
        </xdr:nvSpPr>
        <xdr:spPr>
          <a:xfrm>
            <a:off x="13640288" y="9228260"/>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718BDFA0-4508-4CA7-BEAB-8C05E1FA289B}"/>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32AE1CCB-59C3-42A6-AFC5-8635759A73CF}"/>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a:t>
            </a:r>
            <a:r>
              <a:rPr lang="en-GB" sz="1800" b="1" u="sng" baseline="0">
                <a:solidFill>
                  <a:schemeClr val="tx1">
                    <a:lumMod val="85000"/>
                    <a:lumOff val="15000"/>
                  </a:schemeClr>
                </a:solidFill>
              </a:rPr>
              <a:t>3</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2B95EA62-9E56-4CE5-91EB-2C8A11FAD794}"/>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4356EC05-23DD-47E1-94FD-5218BF4CDBAB}"/>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6" name="Rectangle 135">
            <a:extLst>
              <a:ext uri="{FF2B5EF4-FFF2-40B4-BE49-F238E27FC236}">
                <a16:creationId xmlns:a16="http://schemas.microsoft.com/office/drawing/2014/main" id="{AC9961EE-2167-42E5-BE07-96A877C9C231}"/>
              </a:ext>
            </a:extLst>
          </xdr:cNvPr>
          <xdr:cNvSpPr/>
        </xdr:nvSpPr>
        <xdr:spPr>
          <a:xfrm>
            <a:off x="23889188" y="99902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CCE8460D-72EC-494D-89B6-E1CA06DFC3B6}"/>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22</xdr:col>
      <xdr:colOff>349250</xdr:colOff>
      <xdr:row>15</xdr:row>
      <xdr:rowOff>119063</xdr:rowOff>
    </xdr:from>
    <xdr:to>
      <xdr:col>33</xdr:col>
      <xdr:colOff>0</xdr:colOff>
      <xdr:row>44</xdr:row>
      <xdr:rowOff>39687</xdr:rowOff>
    </xdr:to>
    <xdr:grpSp>
      <xdr:nvGrpSpPr>
        <xdr:cNvPr id="1030" name="Group 1029">
          <a:extLst>
            <a:ext uri="{FF2B5EF4-FFF2-40B4-BE49-F238E27FC236}">
              <a16:creationId xmlns:a16="http://schemas.microsoft.com/office/drawing/2014/main" id="{1B254C61-AD7F-4324-A641-467B4DFF90C3}"/>
            </a:ext>
          </a:extLst>
        </xdr:cNvPr>
        <xdr:cNvGrpSpPr/>
      </xdr:nvGrpSpPr>
      <xdr:grpSpPr>
        <a:xfrm>
          <a:off x="14478000" y="2891896"/>
          <a:ext cx="6519333" cy="5138208"/>
          <a:chOff x="14478000" y="2891896"/>
          <a:chExt cx="6519333" cy="5138208"/>
        </a:xfrm>
      </xdr:grpSpPr>
      <xdr:sp macro="" textlink="">
        <xdr:nvSpPr>
          <xdr:cNvPr id="160" name="Rectangle 159">
            <a:extLst>
              <a:ext uri="{FF2B5EF4-FFF2-40B4-BE49-F238E27FC236}">
                <a16:creationId xmlns:a16="http://schemas.microsoft.com/office/drawing/2014/main" id="{80326DF7-DB67-4C71-8B7D-92BE15BBC2B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9"/>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0"/>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9"/>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20"/>
          <a:stretch>
            <a:fillRect/>
          </a:stretch>
        </xdr:blipFill>
        <xdr:spPr>
          <a:xfrm>
            <a:off x="17951451" y="6947424"/>
            <a:ext cx="2056342" cy="736082"/>
          </a:xfrm>
          <a:prstGeom prst="rect">
            <a:avLst/>
          </a:prstGeom>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1"/>
          <a:stretch>
            <a:fillRect/>
          </a:stretch>
        </xdr:blipFill>
        <xdr:spPr>
          <a:xfrm>
            <a:off x="17905412" y="4303138"/>
            <a:ext cx="2517246" cy="706379"/>
          </a:xfrm>
          <a:prstGeom prst="rect">
            <a:avLst/>
          </a:prstGeom>
        </xdr:spPr>
      </xdr:pic>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22"/>
          <a:stretch>
            <a:fillRect/>
          </a:stretch>
        </xdr:blipFill>
        <xdr:spPr>
          <a:xfrm>
            <a:off x="17920229" y="5208580"/>
            <a:ext cx="1117520" cy="722844"/>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3A51C719-F216-441D-B295-4182AFB1638C}"/>
              </a:ext>
            </a:extLst>
          </xdr:cNvPr>
          <xdr:cNvSpPr/>
        </xdr:nvSpPr>
        <xdr:spPr>
          <a:xfrm>
            <a:off x="14716125" y="2947458"/>
            <a:ext cx="599464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Differents of Cost</a:t>
            </a:r>
          </a:p>
          <a:p>
            <a:pPr algn="ctr"/>
            <a:r>
              <a:rPr lang="en-GB" sz="1400" b="0" i="1" u="none" baseline="0">
                <a:solidFill>
                  <a:schemeClr val="tx1">
                    <a:lumMod val="85000"/>
                    <a:lumOff val="15000"/>
                  </a:schemeClr>
                </a:solidFill>
              </a:rPr>
              <a:t>Note the red box denotes the differentials that are the same between w3 and b3</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DFC35484-ED8F-4A9F-ACB6-950FE0D6E12F}"/>
              </a:ext>
            </a:extLst>
          </xdr:cNvPr>
          <xdr:cNvPicPr>
            <a:picLocks noChangeAspect="1"/>
          </xdr:cNvPicPr>
        </xdr:nvPicPr>
        <xdr:blipFill>
          <a:blip xmlns:r="http://schemas.openxmlformats.org/officeDocument/2006/relationships" r:embed="rId23"/>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C211EE3-E541-46DC-A663-D3E02FDC7134}"/>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4A9C0095-05F4-47C3-95BA-DC495F7C5845}"/>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1B273162-3A4F-4824-BBFB-61FE903B077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3</a:t>
            </a:r>
            <a:endParaRPr lang="en-GB" sz="1100" b="0" i="1" u="none">
              <a:solidFill>
                <a:schemeClr val="tx1">
                  <a:lumMod val="85000"/>
                  <a:lumOff val="15000"/>
                </a:schemeClr>
              </a:solidFill>
            </a:endParaRPr>
          </a:p>
        </xdr:txBody>
      </xdr:sp>
    </xdr:grpSp>
    <xdr:clientData/>
  </xdr:twoCellAnchor>
  <xdr:twoCellAnchor>
    <xdr:from>
      <xdr:col>33</xdr:col>
      <xdr:colOff>588963</xdr:colOff>
      <xdr:row>15</xdr:row>
      <xdr:rowOff>104775</xdr:rowOff>
    </xdr:from>
    <xdr:to>
      <xdr:col>61</xdr:col>
      <xdr:colOff>436563</xdr:colOff>
      <xdr:row>54</xdr:row>
      <xdr:rowOff>137584</xdr:rowOff>
    </xdr:to>
    <xdr:grpSp>
      <xdr:nvGrpSpPr>
        <xdr:cNvPr id="1031" name="Group 1030">
          <a:extLst>
            <a:ext uri="{FF2B5EF4-FFF2-40B4-BE49-F238E27FC236}">
              <a16:creationId xmlns:a16="http://schemas.microsoft.com/office/drawing/2014/main" id="{AB655F93-8F25-47E9-8A47-DE1FA73A088C}"/>
            </a:ext>
          </a:extLst>
        </xdr:cNvPr>
        <xdr:cNvGrpSpPr/>
      </xdr:nvGrpSpPr>
      <xdr:grpSpPr>
        <a:xfrm>
          <a:off x="21586296" y="2877608"/>
          <a:ext cx="17034934" cy="7049559"/>
          <a:chOff x="21586296" y="2877608"/>
          <a:chExt cx="17034934" cy="7049559"/>
        </a:xfrm>
      </xdr:grpSpPr>
      <xdr:sp macro="" textlink="">
        <xdr:nvSpPr>
          <xdr:cNvPr id="166" name="Rectangle 165">
            <a:extLst>
              <a:ext uri="{FF2B5EF4-FFF2-40B4-BE49-F238E27FC236}">
                <a16:creationId xmlns:a16="http://schemas.microsoft.com/office/drawing/2014/main" id="{8E1E3BF3-F104-4CBA-96FE-2074C0EB9B2C}"/>
              </a:ext>
            </a:extLst>
          </xdr:cNvPr>
          <xdr:cNvSpPr/>
        </xdr:nvSpPr>
        <xdr:spPr>
          <a:xfrm>
            <a:off x="21586296" y="2877608"/>
            <a:ext cx="17034934"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4"/>
          <a:stretch>
            <a:fillRect/>
          </a:stretch>
        </xdr:blipFill>
        <xdr:spPr>
          <a:xfrm>
            <a:off x="21664083" y="4192058"/>
            <a:ext cx="3766609" cy="757790"/>
          </a:xfrm>
          <a:prstGeom prst="rect">
            <a:avLst/>
          </a:prstGeom>
        </xdr:spPr>
      </xdr:pic>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25"/>
          <a:stretch>
            <a:fillRect/>
          </a:stretch>
        </xdr:blipFill>
        <xdr:spPr>
          <a:xfrm>
            <a:off x="25918584" y="4187824"/>
            <a:ext cx="3778249" cy="741026"/>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6"/>
          <a:stretch>
            <a:fillRect/>
          </a:stretch>
        </xdr:blipFill>
        <xdr:spPr>
          <a:xfrm>
            <a:off x="30201658" y="4197679"/>
            <a:ext cx="3792009" cy="731695"/>
          </a:xfrm>
          <a:prstGeom prst="rect">
            <a:avLst/>
          </a:prstGeom>
        </xdr:spPr>
      </xdr:pic>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27"/>
          <a:stretch>
            <a:fillRect/>
          </a:stretch>
        </xdr:blipFill>
        <xdr:spPr>
          <a:xfrm>
            <a:off x="34467271" y="4233333"/>
            <a:ext cx="3661833" cy="603516"/>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0"/>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9"/>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8"/>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9"/>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0"/>
          <a:stretch>
            <a:fillRect/>
          </a:stretch>
        </xdr:blipFill>
        <xdr:spPr>
          <a:xfrm>
            <a:off x="26241375" y="8675158"/>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9"/>
          <a:stretch>
            <a:fillRect/>
          </a:stretch>
        </xdr:blipFill>
        <xdr:spPr>
          <a:xfrm>
            <a:off x="26246666" y="7853893"/>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8"/>
          <a:stretch>
            <a:fillRect/>
          </a:stretch>
        </xdr:blipFill>
        <xdr:spPr>
          <a:xfrm>
            <a:off x="26219151" y="6952192"/>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9"/>
          <a:stretch>
            <a:fillRect/>
          </a:stretch>
        </xdr:blipFill>
        <xdr:spPr>
          <a:xfrm>
            <a:off x="26172584" y="5997576"/>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0"/>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9"/>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8"/>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9"/>
          <a:stretch>
            <a:fillRect/>
          </a:stretch>
        </xdr:blipFill>
        <xdr:spPr>
          <a:xfrm>
            <a:off x="30303258" y="6008159"/>
            <a:ext cx="3058584" cy="736238"/>
          </a:xfrm>
          <a:prstGeom prst="rect">
            <a:avLst/>
          </a:prstGeom>
        </xdr:spPr>
      </xdr:pic>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34676292" y="8688916"/>
            <a:ext cx="2075392" cy="739258"/>
          </a:xfrm>
          <a:prstGeom prst="rect">
            <a:avLst/>
          </a:prstGeom>
        </xdr:spPr>
      </xdr:pic>
      <xdr:pic>
        <xdr:nvPicPr>
          <xdr:cNvPr id="49" name="Pictur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19"/>
          <a:stretch>
            <a:fillRect/>
          </a:stretch>
        </xdr:blipFill>
        <xdr:spPr>
          <a:xfrm>
            <a:off x="34687933" y="7870826"/>
            <a:ext cx="2776006" cy="672511"/>
          </a:xfrm>
          <a:prstGeom prst="rect">
            <a:avLst/>
          </a:prstGeom>
        </xdr:spPr>
      </xdr:pic>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8"/>
          <a:stretch>
            <a:fillRect/>
          </a:stretch>
        </xdr:blipFill>
        <xdr:spPr>
          <a:xfrm>
            <a:off x="34663593" y="6965950"/>
            <a:ext cx="1372657" cy="764214"/>
          </a:xfrm>
          <a:prstGeom prst="rect">
            <a:avLst/>
          </a:prstGeom>
        </xdr:spPr>
      </xdr:pic>
      <xdr:pic>
        <xdr:nvPicPr>
          <xdr:cNvPr id="51" name="Pictur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9"/>
          <a:stretch>
            <a:fillRect/>
          </a:stretch>
        </xdr:blipFill>
        <xdr:spPr>
          <a:xfrm>
            <a:off x="34607501" y="6004984"/>
            <a:ext cx="3061758" cy="74258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0"/>
          <a:stretch>
            <a:fillRect/>
          </a:stretch>
        </xdr:blipFill>
        <xdr:spPr>
          <a:xfrm>
            <a:off x="21960418" y="5228168"/>
            <a:ext cx="1308982" cy="674158"/>
          </a:xfrm>
          <a:prstGeom prst="rect">
            <a:avLst/>
          </a:prstGeom>
        </xdr:spPr>
      </xdr:pic>
      <xdr:pic>
        <xdr:nvPicPr>
          <xdr:cNvPr id="53" name="Picture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31"/>
          <a:stretch>
            <a:fillRect/>
          </a:stretch>
        </xdr:blipFill>
        <xdr:spPr>
          <a:xfrm>
            <a:off x="26176817" y="5140326"/>
            <a:ext cx="1170518" cy="763643"/>
          </a:xfrm>
          <a:prstGeom prst="rect">
            <a:avLst/>
          </a:prstGeom>
        </xdr:spPr>
      </xdr:pic>
      <xdr:pic>
        <xdr:nvPicPr>
          <xdr:cNvPr id="54" name="Picture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32"/>
          <a:stretch>
            <a:fillRect/>
          </a:stretch>
        </xdr:blipFill>
        <xdr:spPr>
          <a:xfrm>
            <a:off x="34808584" y="5217585"/>
            <a:ext cx="966258" cy="589715"/>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33"/>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6594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34F3F2FA-C716-49DA-82D1-13A53697D54C}"/>
              </a:ext>
            </a:extLst>
          </xdr:cNvPr>
          <xdr:cNvSpPr/>
        </xdr:nvSpPr>
        <xdr:spPr>
          <a:xfrm>
            <a:off x="21949833" y="2947459"/>
            <a:ext cx="16425333"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Differents of Cost</a:t>
            </a:r>
          </a:p>
          <a:p>
            <a:pPr algn="ctr"/>
            <a:r>
              <a:rPr lang="en-GB" sz="1400" b="0" i="1" u="none" baseline="0">
                <a:solidFill>
                  <a:schemeClr val="tx1">
                    <a:lumMod val="85000"/>
                    <a:lumOff val="15000"/>
                  </a:schemeClr>
                </a:solidFill>
              </a:rPr>
              <a:t>Note the red box denotes the differentials that are the same between w1, w2, b1 and b2. Also note,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3FE7EAF8-15D6-468C-9D86-E622938D432C}"/>
              </a:ext>
            </a:extLst>
          </xdr:cNvPr>
          <xdr:cNvSpPr/>
        </xdr:nvSpPr>
        <xdr:spPr>
          <a:xfrm>
            <a:off x="22962131" y="3507318"/>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D3682713-35EF-491A-871E-4ECEF0DDD6BD}"/>
              </a:ext>
            </a:extLst>
          </xdr:cNvPr>
          <xdr:cNvSpPr/>
        </xdr:nvSpPr>
        <xdr:spPr>
          <a:xfrm>
            <a:off x="27218219" y="3535364"/>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2707E8E0-6829-4381-9A44-79BF6D2C9A87}"/>
              </a:ext>
            </a:extLst>
          </xdr:cNvPr>
          <xdr:cNvSpPr/>
        </xdr:nvSpPr>
        <xdr:spPr>
          <a:xfrm>
            <a:off x="31369531" y="3532718"/>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sp macro="" textlink="">
        <xdr:nvSpPr>
          <xdr:cNvPr id="174" name="Rectangle 173">
            <a:extLst>
              <a:ext uri="{FF2B5EF4-FFF2-40B4-BE49-F238E27FC236}">
                <a16:creationId xmlns:a16="http://schemas.microsoft.com/office/drawing/2014/main" id="{39D3543D-7E49-41EB-97DD-0790372B284F}"/>
              </a:ext>
            </a:extLst>
          </xdr:cNvPr>
          <xdr:cNvSpPr/>
        </xdr:nvSpPr>
        <xdr:spPr>
          <a:xfrm>
            <a:off x="35816119" y="3560764"/>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1</a:t>
            </a:r>
            <a:endParaRPr lang="en-GB" sz="11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3FA94576-95A4-470A-ABF2-A29637E49637}"/>
            </a:ext>
          </a:extLst>
        </xdr:cNvPr>
        <xdr:cNvGrpSpPr/>
      </xdr:nvGrpSpPr>
      <xdr:grpSpPr>
        <a:xfrm>
          <a:off x="530286" y="5926668"/>
          <a:ext cx="1967381" cy="2169583"/>
          <a:chOff x="3557119" y="7175500"/>
          <a:chExt cx="1967381" cy="2169583"/>
        </a:xfrm>
      </xdr:grpSpPr>
      <xdr:sp macro="" textlink="">
        <xdr:nvSpPr>
          <xdr:cNvPr id="193" name="Rectangle 192">
            <a:extLst>
              <a:ext uri="{FF2B5EF4-FFF2-40B4-BE49-F238E27FC236}">
                <a16:creationId xmlns:a16="http://schemas.microsoft.com/office/drawing/2014/main" id="{7BF01AC5-C3C9-4EE2-AAB1-B13721874E1A}"/>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4322B216-872C-4A95-A23F-3883CD5D8C4B}"/>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0774038910</a:t>
            </a:r>
          </a:p>
          <a:p>
            <a:pPr algn="l"/>
            <a:r>
              <a:rPr lang="en-GB" sz="1100" b="0" baseline="0">
                <a:solidFill>
                  <a:schemeClr val="tx1">
                    <a:lumMod val="85000"/>
                    <a:lumOff val="15000"/>
                  </a:schemeClr>
                </a:solidFill>
              </a:rPr>
              <a:t>m.haythornthwaite@yahoo.co.uk</a:t>
            </a:r>
            <a:endParaRPr lang="en-GB" sz="1100" b="0">
              <a:solidFill>
                <a:schemeClr val="tx1">
                  <a:lumMod val="85000"/>
                  <a:lumOff val="15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84191B16-0C4C-44FD-984B-261BEB2550F6}"/>
            </a:ext>
          </a:extLst>
        </xdr:cNvPr>
        <xdr:cNvGrpSpPr/>
      </xdr:nvGrpSpPr>
      <xdr:grpSpPr>
        <a:xfrm>
          <a:off x="611038" y="3594340"/>
          <a:ext cx="1045162" cy="2012868"/>
          <a:chOff x="6356048" y="9042208"/>
          <a:chExt cx="1047430" cy="1971291"/>
        </a:xfrm>
      </xdr:grpSpPr>
      <xdr:sp macro="" textlink="">
        <xdr:nvSpPr>
          <xdr:cNvPr id="9" name="Rectangle 8">
            <a:extLst>
              <a:ext uri="{FF2B5EF4-FFF2-40B4-BE49-F238E27FC236}">
                <a16:creationId xmlns:a16="http://schemas.microsoft.com/office/drawing/2014/main" id="{03FBCC59-CED8-444E-ACA7-CD9D088DD8BB}"/>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903FC514-CE64-4BD1-B647-8730E5A65EFF}"/>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215E0804-7752-476E-A840-1DD2C7339BC3}"/>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966E179-C3C0-41CE-8A72-3CE5F93A6AF2}"/>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B9C999CB-8BC4-4E09-8CC4-FE9D32E3E8F5}"/>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992E0CF0-2D3B-4EF5-B39A-B3E57508DF4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DF20DBCB-473E-4381-86CC-8C0EBC0A2379}"/>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72D95C42-C553-4612-8C46-F6258180B22E}"/>
            </a:ext>
          </a:extLst>
        </xdr:cNvPr>
        <xdr:cNvGrpSpPr/>
      </xdr:nvGrpSpPr>
      <xdr:grpSpPr>
        <a:xfrm>
          <a:off x="311509" y="6218208"/>
          <a:ext cx="4776210" cy="2120427"/>
          <a:chOff x="966610" y="2674056"/>
          <a:chExt cx="4783667" cy="2159000"/>
        </a:xfrm>
      </xdr:grpSpPr>
      <xdr:sp macro="" textlink="">
        <xdr:nvSpPr>
          <xdr:cNvPr id="17" name="Rectangle 16">
            <a:extLst>
              <a:ext uri="{FF2B5EF4-FFF2-40B4-BE49-F238E27FC236}">
                <a16:creationId xmlns:a16="http://schemas.microsoft.com/office/drawing/2014/main" id="{F0A2E542-29FE-4DBD-B147-224CC715C115}"/>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34FE8C47-DA0D-4CA5-9A5E-3015D3EF21EC}"/>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57803AA-EEA0-420E-9D63-B824C39DCD51}"/>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F5B48958-4175-4E52-A4FE-9905740F8672}"/>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A6EC5E49-AEBE-457F-8CA3-7D5DA2F10342}"/>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F9D85B12-6BD2-4A46-B423-1B43AFB04B3E}"/>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5A5CC039-C1C4-4009-9042-DFBC0F080CB6}"/>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2F26233B-9185-4359-9A3F-33449F61A5EC}"/>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CEF9DFD4-F453-4911-87C9-902FFA5830EB}"/>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95D0C240-8290-439D-A906-AB15474EFFC3}"/>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D65ACD9-2724-4C4C-8AE7-AD2208F389E5}"/>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3C463D31-B458-47E1-938E-15C20F1D4F47}"/>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BE9C5131-0060-4301-BDC4-20AAD538EE94}"/>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11B4D54B-20F3-417C-BB83-1870BD67C5F2}"/>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I209"/>
  <sheetViews>
    <sheetView tabSelected="1" zoomScale="60" zoomScaleNormal="60" workbookViewId="0"/>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1" ht="15" thickBot="1" x14ac:dyDescent="0.4"/>
    <row r="3" spans="3:61" x14ac:dyDescent="0.35">
      <c r="C3" s="63" t="s">
        <v>76</v>
      </c>
      <c r="D3" s="64"/>
      <c r="E3" s="64"/>
      <c r="F3" s="73"/>
      <c r="G3" s="64" t="s">
        <v>3</v>
      </c>
      <c r="H3" s="64"/>
      <c r="I3" s="65"/>
      <c r="K3" s="63" t="s">
        <v>77</v>
      </c>
      <c r="L3" s="64"/>
      <c r="M3" s="65"/>
      <c r="R3" s="63" t="s">
        <v>78</v>
      </c>
      <c r="S3" s="64"/>
      <c r="T3" s="64"/>
      <c r="U3" s="65"/>
      <c r="X3" s="66" t="s">
        <v>6</v>
      </c>
      <c r="Y3" s="67"/>
      <c r="Z3" s="67"/>
      <c r="AA3" s="68"/>
      <c r="AC3" s="66" t="s">
        <v>9</v>
      </c>
      <c r="AD3" s="67"/>
      <c r="AE3" s="67"/>
      <c r="AF3" s="68"/>
      <c r="AG3" s="1"/>
      <c r="AI3" s="66" t="s">
        <v>5</v>
      </c>
      <c r="AJ3" s="67"/>
      <c r="AK3" s="67"/>
      <c r="AL3" s="67"/>
      <c r="AM3" s="67"/>
      <c r="AN3" s="68"/>
      <c r="AP3" s="66" t="s">
        <v>8</v>
      </c>
      <c r="AQ3" s="67"/>
      <c r="AR3" s="67"/>
      <c r="AS3" s="67"/>
      <c r="AT3" s="67"/>
      <c r="AU3" s="68"/>
      <c r="AW3" s="66" t="s">
        <v>4</v>
      </c>
      <c r="AX3" s="69"/>
      <c r="AY3" s="69"/>
      <c r="AZ3" s="69"/>
      <c r="BA3" s="69"/>
      <c r="BB3" s="70"/>
      <c r="BD3" s="66" t="s">
        <v>7</v>
      </c>
      <c r="BE3" s="69"/>
      <c r="BF3" s="69"/>
      <c r="BG3" s="69"/>
      <c r="BH3" s="69"/>
      <c r="BI3" s="70"/>
    </row>
    <row r="4" spans="3:61" ht="15" thickBot="1" x14ac:dyDescent="0.4">
      <c r="C4" s="74" t="s">
        <v>0</v>
      </c>
      <c r="D4" s="72" t="s">
        <v>2</v>
      </c>
      <c r="E4" s="72" t="s">
        <v>1</v>
      </c>
      <c r="F4" s="6"/>
      <c r="G4" s="72" t="s">
        <v>0</v>
      </c>
      <c r="H4" s="72" t="s">
        <v>2</v>
      </c>
      <c r="I4" s="75" t="s">
        <v>1</v>
      </c>
      <c r="K4" s="74" t="s">
        <v>14</v>
      </c>
      <c r="L4" s="6"/>
      <c r="M4" s="75" t="s">
        <v>81</v>
      </c>
      <c r="R4" s="46" t="s">
        <v>11</v>
      </c>
      <c r="S4" s="86" t="s">
        <v>12</v>
      </c>
      <c r="T4" s="86" t="s">
        <v>10</v>
      </c>
      <c r="U4" s="87" t="s">
        <v>13</v>
      </c>
      <c r="X4" s="5" t="s">
        <v>15</v>
      </c>
      <c r="Y4" s="6" t="s">
        <v>27</v>
      </c>
      <c r="Z4" s="6" t="s">
        <v>16</v>
      </c>
      <c r="AA4" s="7" t="s">
        <v>49</v>
      </c>
      <c r="AC4" s="5" t="s">
        <v>18</v>
      </c>
      <c r="AD4" s="6" t="s">
        <v>19</v>
      </c>
      <c r="AE4" s="6" t="s">
        <v>16</v>
      </c>
      <c r="AF4" s="7" t="s">
        <v>49</v>
      </c>
      <c r="AI4" s="5" t="s">
        <v>48</v>
      </c>
      <c r="AJ4" s="6" t="s">
        <v>47</v>
      </c>
      <c r="AK4" s="6" t="s">
        <v>46</v>
      </c>
      <c r="AL4" s="6" t="s">
        <v>45</v>
      </c>
      <c r="AM4" s="6" t="s">
        <v>16</v>
      </c>
      <c r="AN4" s="7" t="s">
        <v>49</v>
      </c>
      <c r="AP4" s="5" t="s">
        <v>51</v>
      </c>
      <c r="AQ4" s="6" t="s">
        <v>50</v>
      </c>
      <c r="AR4" s="6" t="s">
        <v>46</v>
      </c>
      <c r="AS4" s="6" t="s">
        <v>45</v>
      </c>
      <c r="AT4" s="6" t="s">
        <v>16</v>
      </c>
      <c r="AU4" s="7" t="s">
        <v>49</v>
      </c>
      <c r="AW4" s="5" t="s">
        <v>53</v>
      </c>
      <c r="AX4" s="6" t="s">
        <v>52</v>
      </c>
      <c r="AY4" s="6" t="s">
        <v>46</v>
      </c>
      <c r="AZ4" s="6" t="s">
        <v>45</v>
      </c>
      <c r="BA4" s="6" t="s">
        <v>16</v>
      </c>
      <c r="BB4" s="7" t="s">
        <v>49</v>
      </c>
      <c r="BD4" s="5" t="s">
        <v>55</v>
      </c>
      <c r="BE4" s="6" t="s">
        <v>54</v>
      </c>
      <c r="BF4" s="6" t="s">
        <v>46</v>
      </c>
      <c r="BG4" s="6" t="s">
        <v>45</v>
      </c>
      <c r="BH4" s="6" t="s">
        <v>16</v>
      </c>
      <c r="BI4" s="7" t="s">
        <v>49</v>
      </c>
    </row>
    <row r="5" spans="3:61" x14ac:dyDescent="0.35">
      <c r="C5" s="76">
        <v>22</v>
      </c>
      <c r="D5" s="77">
        <v>55</v>
      </c>
      <c r="E5" s="77">
        <v>0</v>
      </c>
      <c r="F5" s="77"/>
      <c r="G5" s="82">
        <f>C5/MAX($C$5:$C$12)</f>
        <v>0.33333333333333331</v>
      </c>
      <c r="H5" s="82">
        <f>D5/MAX($D$5:$D$12)</f>
        <v>1</v>
      </c>
      <c r="I5" s="80">
        <f>E5</f>
        <v>0</v>
      </c>
      <c r="K5" s="8">
        <f>T5</f>
        <v>0.14723418768403784</v>
      </c>
      <c r="L5" s="6"/>
      <c r="M5" s="10">
        <f>(K5-I5)^2</f>
        <v>2.167790602297848E-2</v>
      </c>
      <c r="O5" s="16" t="s">
        <v>4</v>
      </c>
      <c r="P5" s="42">
        <v>3.2534311551051474</v>
      </c>
      <c r="R5" s="8">
        <f>(U5*$P$7) + $P$10</f>
        <v>-1.7564605312438488</v>
      </c>
      <c r="S5" s="9">
        <f>(G5 * $P$5) + $P$8 + (H5 * $P$6) + $P$9</f>
        <v>-3.1371273187180333</v>
      </c>
      <c r="T5" s="9">
        <f>1/(1+ EXP(-R5))</f>
        <v>0.14723418768403784</v>
      </c>
      <c r="U5" s="10">
        <f>1/(1+ EXP(-S5))</f>
        <v>4.1601504753556354E-2</v>
      </c>
      <c r="W5" s="3"/>
      <c r="X5" s="8">
        <f>Y5*Z5*AA5</f>
        <v>1.538105572245915E-3</v>
      </c>
      <c r="Y5" s="9">
        <f>U5</f>
        <v>4.1601504753556354E-2</v>
      </c>
      <c r="Z5" s="9">
        <f>$T5 * (1 - $T5)</f>
        <v>0.12555628166105937</v>
      </c>
      <c r="AA5" s="10">
        <f>2 * ($T5 - $I5)</f>
        <v>0.29446837536807569</v>
      </c>
      <c r="AC5" s="8">
        <f>AD5*AE5*AF5</f>
        <v>3.6972354277988666E-2</v>
      </c>
      <c r="AD5" s="9">
        <v>1</v>
      </c>
      <c r="AE5" s="9">
        <f>$T5 * (1 - $T5)</f>
        <v>0.12555628166105937</v>
      </c>
      <c r="AF5" s="10">
        <f>2 * ($T5 - $I5)</f>
        <v>0.29446837536807569</v>
      </c>
      <c r="AG5" s="3"/>
      <c r="AI5" s="8">
        <f>AJ5*AK5*AL5*AM5*AN5</f>
        <v>7.0897951861644661E-3</v>
      </c>
      <c r="AJ5" s="9">
        <f>H5</f>
        <v>1</v>
      </c>
      <c r="AK5" s="9">
        <f>$U5 * (1 - $U5)</f>
        <v>3.9870819555796182E-2</v>
      </c>
      <c r="AL5" s="9">
        <f>$P$7</f>
        <v>4.8095165169121534</v>
      </c>
      <c r="AM5" s="9">
        <f>$T5 * (1 - $T5)</f>
        <v>0.12555628166105937</v>
      </c>
      <c r="AN5" s="10">
        <f>2 * ($T5 - $I5)</f>
        <v>0.29446837536807569</v>
      </c>
      <c r="AP5" s="8">
        <f>AQ5*AR5*AS5*AT5*AU5</f>
        <v>7.0897951861644661E-3</v>
      </c>
      <c r="AQ5" s="9">
        <v>1</v>
      </c>
      <c r="AR5" s="9">
        <f>$U5 * (1 - $U5)</f>
        <v>3.9870819555796182E-2</v>
      </c>
      <c r="AS5" s="9">
        <f>$P$7</f>
        <v>4.8095165169121534</v>
      </c>
      <c r="AT5" s="9">
        <f>$T5 * (1 - $T5)</f>
        <v>0.12555628166105937</v>
      </c>
      <c r="AU5" s="10">
        <f>2 * ($T5 - $I5)</f>
        <v>0.29446837536807569</v>
      </c>
      <c r="AW5" s="8">
        <f>AX5*AY5*AZ5*BA5*BB5</f>
        <v>2.3632650620548212E-3</v>
      </c>
      <c r="AX5" s="9">
        <f>G5</f>
        <v>0.33333333333333331</v>
      </c>
      <c r="AY5" s="9">
        <f>$U5 * (1 - $U5)</f>
        <v>3.9870819555796182E-2</v>
      </c>
      <c r="AZ5" s="9">
        <f>$P$7</f>
        <v>4.8095165169121534</v>
      </c>
      <c r="BA5" s="9">
        <f>$T5 * (1 - $T5)</f>
        <v>0.12555628166105937</v>
      </c>
      <c r="BB5" s="10">
        <f>2 * ($T5 - $I5)</f>
        <v>0.29446837536807569</v>
      </c>
      <c r="BD5" s="8">
        <f>BE5*BF5*BG5*BH5*BI5</f>
        <v>7.0897951861644661E-3</v>
      </c>
      <c r="BE5" s="9">
        <f>1</f>
        <v>1</v>
      </c>
      <c r="BF5" s="9">
        <f>$U5 * (1 - $U5)</f>
        <v>3.9870819555796182E-2</v>
      </c>
      <c r="BG5" s="9">
        <f>$P$7</f>
        <v>4.8095165169121534</v>
      </c>
      <c r="BH5" s="9">
        <f>$T5 * (1 - $T5)</f>
        <v>0.12555628166105937</v>
      </c>
      <c r="BI5" s="10">
        <f>2 * ($T5 - $I5)</f>
        <v>0.29446837536807569</v>
      </c>
    </row>
    <row r="6" spans="3:61" x14ac:dyDescent="0.35">
      <c r="C6" s="76">
        <v>34</v>
      </c>
      <c r="D6" s="77">
        <v>34</v>
      </c>
      <c r="E6" s="77">
        <v>0</v>
      </c>
      <c r="F6" s="77"/>
      <c r="G6" s="82">
        <f t="shared" ref="G6:G12" si="0">C6/MAX($C$5:$C$12)</f>
        <v>0.51515151515151514</v>
      </c>
      <c r="H6" s="82">
        <f t="shared" ref="H6:H12" si="1">D6/MAX($D$5:$D$12)</f>
        <v>0.61818181818181817</v>
      </c>
      <c r="I6" s="80">
        <f t="shared" ref="I6:I12" si="2">E6</f>
        <v>0</v>
      </c>
      <c r="K6" s="8">
        <f>T6</f>
        <v>0.31057307440040999</v>
      </c>
      <c r="L6" s="6"/>
      <c r="M6" s="10">
        <f t="shared" ref="M6:M12" si="3">(K6-I6)^2</f>
        <v>9.6455634542522595E-2</v>
      </c>
      <c r="O6" s="17" t="s">
        <v>5</v>
      </c>
      <c r="P6" s="44">
        <v>-3.6624746381905831</v>
      </c>
      <c r="R6" s="8">
        <f>(U6*$P$7) + $P$10</f>
        <v>-0.79744149192126779</v>
      </c>
      <c r="S6" s="9">
        <f t="shared" ref="S6:S12" si="4">(G6 * $P$5) + $P$8 + (H6 * $P$6) + $P$9</f>
        <v>-1.1471949741170566</v>
      </c>
      <c r="T6" s="9">
        <f>1/(1+ EXP(-R6))</f>
        <v>0.31057307440040999</v>
      </c>
      <c r="U6" s="10">
        <f>1/(1+ EXP(-S6))</f>
        <v>0.24100180537635127</v>
      </c>
      <c r="W6" s="3"/>
      <c r="X6" s="8">
        <f t="shared" ref="X6:X12" si="5">Y6*Z6*AA6</f>
        <v>3.2052811893121973E-2</v>
      </c>
      <c r="Y6" s="9">
        <f t="shared" ref="Y6:Y12" si="6">U6</f>
        <v>0.24100180537635127</v>
      </c>
      <c r="Z6" s="9">
        <f t="shared" ref="Z6:Z12" si="7">$T6 * (1 - $T6)</f>
        <v>0.21411743985788736</v>
      </c>
      <c r="AA6" s="10">
        <f t="shared" ref="AA6:AA12" si="8">2 * ($T6 - $I6)</f>
        <v>0.62114614880081997</v>
      </c>
      <c r="AC6" s="8">
        <f t="shared" ref="AC6:AC12" si="9">AD6*AE6*AF6</f>
        <v>0.13299822315881793</v>
      </c>
      <c r="AD6" s="9">
        <v>1</v>
      </c>
      <c r="AE6" s="9">
        <f t="shared" ref="AE6:AE12" si="10">$T6 * (1 - $T6)</f>
        <v>0.21411743985788736</v>
      </c>
      <c r="AF6" s="10">
        <f t="shared" ref="AF6:AF12" si="11">2 * ($T6 - $I6)</f>
        <v>0.62114614880081997</v>
      </c>
      <c r="AG6" s="3"/>
      <c r="AI6" s="8">
        <f t="shared" ref="AI6:AI12" si="12">AJ6*AK6*AL6*AM6*AN6</f>
        <v>7.2331009388995809E-2</v>
      </c>
      <c r="AJ6" s="9">
        <f t="shared" ref="AJ6:AJ12" si="13">H6</f>
        <v>0.61818181818181817</v>
      </c>
      <c r="AK6" s="9">
        <f>$U6 * (1 - $U6)</f>
        <v>0.18291993518169056</v>
      </c>
      <c r="AL6" s="9">
        <f t="shared" ref="AL6:AL12" si="14">$P$7</f>
        <v>4.8095165169121534</v>
      </c>
      <c r="AM6" s="9">
        <f t="shared" ref="AM6:AM12" si="15">$T6 * (1 - $T6)</f>
        <v>0.21411743985788736</v>
      </c>
      <c r="AN6" s="10">
        <f t="shared" ref="AN6:AN12" si="16">2 * ($T6 - $I6)</f>
        <v>0.62114614880081997</v>
      </c>
      <c r="AP6" s="8">
        <f t="shared" ref="AP6:AP12" si="17">AQ6*AR6*AS6*AT6*AU6</f>
        <v>0.11700604459984618</v>
      </c>
      <c r="AQ6" s="9">
        <v>1</v>
      </c>
      <c r="AR6" s="9">
        <f>$U6 * (1 - $U6)</f>
        <v>0.18291993518169056</v>
      </c>
      <c r="AS6" s="9">
        <f t="shared" ref="AS6:AS12" si="18">$P$7</f>
        <v>4.8095165169121534</v>
      </c>
      <c r="AT6" s="9">
        <f t="shared" ref="AT6:AT12" si="19">$T6 * (1 - $T6)</f>
        <v>0.21411743985788736</v>
      </c>
      <c r="AU6" s="10">
        <f t="shared" ref="AU6:AU12" si="20">2 * ($T6 - $I6)</f>
        <v>0.62114614880081997</v>
      </c>
      <c r="AW6" s="8">
        <f t="shared" ref="AW6:AW12" si="21">AX6*AY6*AZ6*BA6*BB6</f>
        <v>6.0275841157496506E-2</v>
      </c>
      <c r="AX6" s="9">
        <f t="shared" ref="AX6:AX12" si="22">G6</f>
        <v>0.51515151515151514</v>
      </c>
      <c r="AY6" s="9">
        <f>$U6 * (1 - $U6)</f>
        <v>0.18291993518169056</v>
      </c>
      <c r="AZ6" s="9">
        <f t="shared" ref="AZ6:AZ12" si="23">$P$7</f>
        <v>4.8095165169121534</v>
      </c>
      <c r="BA6" s="9">
        <f t="shared" ref="BA6:BA12" si="24">$T6 * (1 - $T6)</f>
        <v>0.21411743985788736</v>
      </c>
      <c r="BB6" s="10">
        <f t="shared" ref="BB6:BB12" si="25">2 * ($T6 - $I6)</f>
        <v>0.62114614880081997</v>
      </c>
      <c r="BD6" s="8">
        <f t="shared" ref="BD6:BD12" si="26">BE6*BF6*BG6*BH6*BI6</f>
        <v>0.11700604459984618</v>
      </c>
      <c r="BE6" s="9">
        <f>1</f>
        <v>1</v>
      </c>
      <c r="BF6" s="9">
        <f>$U6 * (1 - $U6)</f>
        <v>0.18291993518169056</v>
      </c>
      <c r="BG6" s="9">
        <f t="shared" ref="BG6:BG12" si="27">$P$7</f>
        <v>4.8095165169121534</v>
      </c>
      <c r="BH6" s="9">
        <f t="shared" ref="BH6:BH12" si="28">$T6 * (1 - $T6)</f>
        <v>0.21411743985788736</v>
      </c>
      <c r="BI6" s="10">
        <f t="shared" ref="BI6:BI12" si="29">2 * ($T6 - $I6)</f>
        <v>0.62114614880081997</v>
      </c>
    </row>
    <row r="7" spans="3:61" x14ac:dyDescent="0.35">
      <c r="C7" s="76">
        <v>21</v>
      </c>
      <c r="D7" s="77">
        <v>24</v>
      </c>
      <c r="E7" s="77">
        <v>0</v>
      </c>
      <c r="F7" s="77"/>
      <c r="G7" s="82">
        <f t="shared" si="0"/>
        <v>0.31818181818181818</v>
      </c>
      <c r="H7" s="82">
        <f t="shared" si="1"/>
        <v>0.43636363636363634</v>
      </c>
      <c r="I7" s="80">
        <f t="shared" si="2"/>
        <v>0</v>
      </c>
      <c r="K7" s="8">
        <f>T7</f>
        <v>0.31534739978217396</v>
      </c>
      <c r="L7" s="6"/>
      <c r="M7" s="10">
        <f t="shared" si="3"/>
        <v>9.9443982549378251E-2</v>
      </c>
      <c r="O7" s="17" t="s">
        <v>6</v>
      </c>
      <c r="P7" s="44">
        <v>4.8095165169121534</v>
      </c>
      <c r="R7" s="8">
        <f t="shared" ref="R7:R12" si="30">(U7*$P$7) + $P$10</f>
        <v>-0.77523666907241973</v>
      </c>
      <c r="S7" s="9">
        <f t="shared" si="4"/>
        <v>-1.1221178431788736</v>
      </c>
      <c r="T7" s="9">
        <f t="shared" ref="T7:T11" si="31">1/(1+ EXP(-R7))</f>
        <v>0.31534739978217396</v>
      </c>
      <c r="U7" s="10">
        <f t="shared" ref="U7:U11" si="32">1/(1+ EXP(-S7))</f>
        <v>0.24561865673152747</v>
      </c>
      <c r="W7" s="3"/>
      <c r="X7" s="8">
        <f>Y7*Z7*AA7</f>
        <v>3.3445686770919907E-2</v>
      </c>
      <c r="Y7" s="9">
        <f t="shared" si="6"/>
        <v>0.24561865673152747</v>
      </c>
      <c r="Z7" s="9">
        <f t="shared" si="7"/>
        <v>0.21590341723279571</v>
      </c>
      <c r="AA7" s="10">
        <f t="shared" si="8"/>
        <v>0.63069479956434793</v>
      </c>
      <c r="AC7" s="8">
        <f t="shared" si="9"/>
        <v>0.13616916245689586</v>
      </c>
      <c r="AD7" s="9">
        <v>1</v>
      </c>
      <c r="AE7" s="9">
        <f t="shared" si="10"/>
        <v>0.21590341723279571</v>
      </c>
      <c r="AF7" s="10">
        <f t="shared" si="11"/>
        <v>0.63069479956434793</v>
      </c>
      <c r="AG7" s="3"/>
      <c r="AI7" s="8">
        <f t="shared" si="12"/>
        <v>5.2951836871144381E-2</v>
      </c>
      <c r="AJ7" s="9">
        <f t="shared" si="13"/>
        <v>0.43636363636363634</v>
      </c>
      <c r="AK7" s="9">
        <f t="shared" ref="AK7:AK12" si="33">$U7 * (1 - $U7)</f>
        <v>0.18529013219692753</v>
      </c>
      <c r="AL7" s="9">
        <f t="shared" si="14"/>
        <v>4.8095165169121534</v>
      </c>
      <c r="AM7" s="9">
        <f t="shared" si="15"/>
        <v>0.21590341723279571</v>
      </c>
      <c r="AN7" s="10">
        <f t="shared" si="16"/>
        <v>0.63069479956434793</v>
      </c>
      <c r="AP7" s="8">
        <f t="shared" si="17"/>
        <v>0.12134795949637256</v>
      </c>
      <c r="AQ7" s="9">
        <v>1</v>
      </c>
      <c r="AR7" s="9">
        <f t="shared" ref="AR7:AR12" si="34">$U7 * (1 - $U7)</f>
        <v>0.18529013219692753</v>
      </c>
      <c r="AS7" s="9">
        <f t="shared" si="18"/>
        <v>4.8095165169121534</v>
      </c>
      <c r="AT7" s="9">
        <f t="shared" si="19"/>
        <v>0.21590341723279571</v>
      </c>
      <c r="AU7" s="10">
        <f t="shared" si="20"/>
        <v>0.63069479956434793</v>
      </c>
      <c r="AW7" s="8">
        <f t="shared" si="21"/>
        <v>3.8610714385209445E-2</v>
      </c>
      <c r="AX7" s="9">
        <f t="shared" si="22"/>
        <v>0.31818181818181818</v>
      </c>
      <c r="AY7" s="9">
        <f t="shared" ref="AY7:AY12" si="35">$U7 * (1 - $U7)</f>
        <v>0.18529013219692753</v>
      </c>
      <c r="AZ7" s="9">
        <f t="shared" si="23"/>
        <v>4.8095165169121534</v>
      </c>
      <c r="BA7" s="9">
        <f t="shared" si="24"/>
        <v>0.21590341723279571</v>
      </c>
      <c r="BB7" s="10">
        <f t="shared" si="25"/>
        <v>0.63069479956434793</v>
      </c>
      <c r="BD7" s="8">
        <f t="shared" si="26"/>
        <v>0.12134795949637256</v>
      </c>
      <c r="BE7" s="9">
        <f>1</f>
        <v>1</v>
      </c>
      <c r="BF7" s="9">
        <f t="shared" ref="BF7:BF12" si="36">$U7 * (1 - $U7)</f>
        <v>0.18529013219692753</v>
      </c>
      <c r="BG7" s="9">
        <f t="shared" si="27"/>
        <v>4.8095165169121534</v>
      </c>
      <c r="BH7" s="9">
        <f t="shared" si="28"/>
        <v>0.21590341723279571</v>
      </c>
      <c r="BI7" s="10">
        <f t="shared" si="29"/>
        <v>0.63069479956434793</v>
      </c>
    </row>
    <row r="8" spans="3:61" x14ac:dyDescent="0.35">
      <c r="C8" s="76">
        <v>23</v>
      </c>
      <c r="D8" s="77">
        <v>45</v>
      </c>
      <c r="E8" s="77">
        <v>0</v>
      </c>
      <c r="F8" s="77"/>
      <c r="G8" s="82">
        <f t="shared" si="0"/>
        <v>0.34848484848484851</v>
      </c>
      <c r="H8" s="82">
        <f t="shared" si="1"/>
        <v>0.81818181818181823</v>
      </c>
      <c r="I8" s="80">
        <f t="shared" si="2"/>
        <v>0</v>
      </c>
      <c r="K8" s="8">
        <f t="shared" ref="K8:K12" si="37">T8</f>
        <v>0.17300297854659258</v>
      </c>
      <c r="L8" s="6"/>
      <c r="M8" s="10">
        <f t="shared" si="3"/>
        <v>2.9930030585992771E-2</v>
      </c>
      <c r="O8" s="17" t="s">
        <v>7</v>
      </c>
      <c r="P8" s="44">
        <v>1.532187106408633</v>
      </c>
      <c r="R8" s="8">
        <f t="shared" si="30"/>
        <v>-1.5644922820070248</v>
      </c>
      <c r="S8" s="9">
        <f t="shared" si="4"/>
        <v>-2.4219284276060318</v>
      </c>
      <c r="T8" s="9">
        <f>1/(1+ EXP(-R8))</f>
        <v>0.17300297854659258</v>
      </c>
      <c r="U8" s="10">
        <f t="shared" si="32"/>
        <v>8.1515755710339227E-2</v>
      </c>
      <c r="W8" s="3"/>
      <c r="X8" s="8">
        <f t="shared" si="5"/>
        <v>4.0353634940387207E-3</v>
      </c>
      <c r="Y8" s="9">
        <f t="shared" si="6"/>
        <v>8.1515755710339227E-2</v>
      </c>
      <c r="Z8" s="9">
        <f t="shared" si="7"/>
        <v>0.14307294796059983</v>
      </c>
      <c r="AA8" s="10">
        <f t="shared" si="8"/>
        <v>0.34600595709318516</v>
      </c>
      <c r="AC8" s="8">
        <f t="shared" si="9"/>
        <v>4.9504092293250819E-2</v>
      </c>
      <c r="AD8" s="9">
        <v>1</v>
      </c>
      <c r="AE8" s="9">
        <f t="shared" si="10"/>
        <v>0.14307294796059983</v>
      </c>
      <c r="AF8" s="10">
        <f t="shared" si="11"/>
        <v>0.34600595709318516</v>
      </c>
      <c r="AG8" s="3"/>
      <c r="AI8" s="8">
        <f t="shared" si="12"/>
        <v>1.4584972562185838E-2</v>
      </c>
      <c r="AJ8" s="9">
        <f t="shared" si="13"/>
        <v>0.81818181818181823</v>
      </c>
      <c r="AK8" s="9">
        <f t="shared" si="33"/>
        <v>7.4870937281311528E-2</v>
      </c>
      <c r="AL8" s="9">
        <f t="shared" si="14"/>
        <v>4.8095165169121534</v>
      </c>
      <c r="AM8" s="9">
        <f t="shared" si="15"/>
        <v>0.14307294796059983</v>
      </c>
      <c r="AN8" s="10">
        <f t="shared" si="16"/>
        <v>0.34600595709318516</v>
      </c>
      <c r="AP8" s="8">
        <f t="shared" si="17"/>
        <v>1.7826077576004913E-2</v>
      </c>
      <c r="AQ8" s="9">
        <v>1</v>
      </c>
      <c r="AR8" s="9">
        <f t="shared" si="34"/>
        <v>7.4870937281311528E-2</v>
      </c>
      <c r="AS8" s="9">
        <f t="shared" si="18"/>
        <v>4.8095165169121534</v>
      </c>
      <c r="AT8" s="9">
        <f t="shared" si="19"/>
        <v>0.14307294796059983</v>
      </c>
      <c r="AU8" s="10">
        <f t="shared" si="20"/>
        <v>0.34600595709318516</v>
      </c>
      <c r="AW8" s="8">
        <f t="shared" si="21"/>
        <v>6.2121179431532279E-3</v>
      </c>
      <c r="AX8" s="9">
        <f t="shared" si="22"/>
        <v>0.34848484848484851</v>
      </c>
      <c r="AY8" s="9">
        <f t="shared" si="35"/>
        <v>7.4870937281311528E-2</v>
      </c>
      <c r="AZ8" s="9">
        <f t="shared" si="23"/>
        <v>4.8095165169121534</v>
      </c>
      <c r="BA8" s="9">
        <f t="shared" si="24"/>
        <v>0.14307294796059983</v>
      </c>
      <c r="BB8" s="10">
        <f t="shared" si="25"/>
        <v>0.34600595709318516</v>
      </c>
      <c r="BD8" s="8">
        <f t="shared" si="26"/>
        <v>1.7826077576004913E-2</v>
      </c>
      <c r="BE8" s="9">
        <f>1</f>
        <v>1</v>
      </c>
      <c r="BF8" s="9">
        <f t="shared" si="36"/>
        <v>7.4870937281311528E-2</v>
      </c>
      <c r="BG8" s="9">
        <f t="shared" si="27"/>
        <v>4.8095165169121534</v>
      </c>
      <c r="BH8" s="9">
        <f t="shared" si="28"/>
        <v>0.14307294796059983</v>
      </c>
      <c r="BI8" s="10">
        <f t="shared" si="29"/>
        <v>0.34600595709318516</v>
      </c>
    </row>
    <row r="9" spans="3:61" x14ac:dyDescent="0.35">
      <c r="C9" s="76">
        <v>44</v>
      </c>
      <c r="D9" s="77">
        <v>11</v>
      </c>
      <c r="E9" s="77">
        <v>1</v>
      </c>
      <c r="F9" s="77"/>
      <c r="G9" s="82">
        <f t="shared" si="0"/>
        <v>0.66666666666666663</v>
      </c>
      <c r="H9" s="82">
        <f t="shared" si="1"/>
        <v>0.2</v>
      </c>
      <c r="I9" s="80">
        <f t="shared" si="2"/>
        <v>1</v>
      </c>
      <c r="K9" s="8">
        <f t="shared" si="37"/>
        <v>0.80849590347326628</v>
      </c>
      <c r="L9" s="6"/>
      <c r="M9" s="10">
        <f t="shared" si="3"/>
        <v>3.667381898652055E-2</v>
      </c>
      <c r="O9" s="17" t="s">
        <v>8</v>
      </c>
      <c r="P9" s="44">
        <v>-2.0913168386377992</v>
      </c>
      <c r="R9" s="8">
        <f t="shared" si="30"/>
        <v>1.4402664120044972</v>
      </c>
      <c r="S9" s="9">
        <f t="shared" si="4"/>
        <v>0.87732944353614872</v>
      </c>
      <c r="T9" s="9">
        <f t="shared" si="31"/>
        <v>0.80849590347326628</v>
      </c>
      <c r="U9" s="10">
        <f t="shared" si="32"/>
        <v>0.70626851067970209</v>
      </c>
      <c r="W9" s="3"/>
      <c r="X9" s="8">
        <f t="shared" si="5"/>
        <v>-4.1882615993361468E-2</v>
      </c>
      <c r="Y9" s="9">
        <f t="shared" si="6"/>
        <v>0.70626851067970209</v>
      </c>
      <c r="Z9" s="9">
        <f t="shared" si="7"/>
        <v>0.15483027754021317</v>
      </c>
      <c r="AA9" s="10">
        <f t="shared" si="8"/>
        <v>-0.38300819305346745</v>
      </c>
      <c r="AC9" s="8">
        <f t="shared" si="9"/>
        <v>-5.9301264830643907E-2</v>
      </c>
      <c r="AD9" s="9">
        <v>1</v>
      </c>
      <c r="AE9" s="9">
        <f t="shared" si="10"/>
        <v>0.15483027754021317</v>
      </c>
      <c r="AF9" s="10">
        <f t="shared" si="11"/>
        <v>-0.38300819305346745</v>
      </c>
      <c r="AG9" s="3"/>
      <c r="AI9" s="8">
        <f t="shared" si="12"/>
        <v>-1.1833568346507223E-2</v>
      </c>
      <c r="AJ9" s="9">
        <f t="shared" si="13"/>
        <v>0.2</v>
      </c>
      <c r="AK9" s="9">
        <f t="shared" si="33"/>
        <v>0.20745330150197763</v>
      </c>
      <c r="AL9" s="9">
        <f t="shared" si="14"/>
        <v>4.8095165169121534</v>
      </c>
      <c r="AM9" s="9">
        <f t="shared" si="15"/>
        <v>0.15483027754021317</v>
      </c>
      <c r="AN9" s="10">
        <f t="shared" si="16"/>
        <v>-0.38300819305346745</v>
      </c>
      <c r="AP9" s="8">
        <f t="shared" si="17"/>
        <v>-5.9167841732536114E-2</v>
      </c>
      <c r="AQ9" s="9">
        <v>1</v>
      </c>
      <c r="AR9" s="9">
        <f t="shared" si="34"/>
        <v>0.20745330150197763</v>
      </c>
      <c r="AS9" s="9">
        <f t="shared" si="18"/>
        <v>4.8095165169121534</v>
      </c>
      <c r="AT9" s="9">
        <f t="shared" si="19"/>
        <v>0.15483027754021317</v>
      </c>
      <c r="AU9" s="10">
        <f t="shared" si="20"/>
        <v>-0.38300819305346745</v>
      </c>
      <c r="AW9" s="8">
        <f t="shared" si="21"/>
        <v>-3.9445227821690743E-2</v>
      </c>
      <c r="AX9" s="9">
        <f t="shared" si="22"/>
        <v>0.66666666666666663</v>
      </c>
      <c r="AY9" s="9">
        <f t="shared" si="35"/>
        <v>0.20745330150197763</v>
      </c>
      <c r="AZ9" s="9">
        <f t="shared" si="23"/>
        <v>4.8095165169121534</v>
      </c>
      <c r="BA9" s="9">
        <f t="shared" si="24"/>
        <v>0.15483027754021317</v>
      </c>
      <c r="BB9" s="10">
        <f t="shared" si="25"/>
        <v>-0.38300819305346745</v>
      </c>
      <c r="BD9" s="8">
        <f t="shared" si="26"/>
        <v>-5.9167841732536114E-2</v>
      </c>
      <c r="BE9" s="9">
        <f>1</f>
        <v>1</v>
      </c>
      <c r="BF9" s="9">
        <f t="shared" si="36"/>
        <v>0.20745330150197763</v>
      </c>
      <c r="BG9" s="9">
        <f t="shared" si="27"/>
        <v>4.8095165169121534</v>
      </c>
      <c r="BH9" s="9">
        <f t="shared" si="28"/>
        <v>0.15483027754021317</v>
      </c>
      <c r="BI9" s="10">
        <f t="shared" si="29"/>
        <v>-0.38300819305346745</v>
      </c>
    </row>
    <row r="10" spans="3:61" ht="15" thickBot="1" x14ac:dyDescent="0.4">
      <c r="C10" s="76">
        <v>66</v>
      </c>
      <c r="D10" s="77">
        <v>21</v>
      </c>
      <c r="E10" s="77">
        <v>1</v>
      </c>
      <c r="F10" s="77"/>
      <c r="G10" s="82">
        <f t="shared" si="0"/>
        <v>1</v>
      </c>
      <c r="H10" s="82">
        <f t="shared" si="1"/>
        <v>0.38181818181818183</v>
      </c>
      <c r="I10" s="80">
        <f t="shared" si="2"/>
        <v>1</v>
      </c>
      <c r="K10" s="8">
        <f t="shared" si="37"/>
        <v>0.86052073298223375</v>
      </c>
      <c r="L10" s="6"/>
      <c r="M10" s="10">
        <f t="shared" si="3"/>
        <v>1.9454465927813337E-2</v>
      </c>
      <c r="O10" s="18" t="s">
        <v>9</v>
      </c>
      <c r="P10" s="43">
        <v>-1.9565436554844775</v>
      </c>
      <c r="R10" s="8">
        <f t="shared" si="30"/>
        <v>1.8196217427847163</v>
      </c>
      <c r="S10" s="9">
        <f t="shared" si="4"/>
        <v>1.2959020155668499</v>
      </c>
      <c r="T10" s="9">
        <f t="shared" si="31"/>
        <v>0.86052073298223375</v>
      </c>
      <c r="U10" s="10">
        <f t="shared" si="32"/>
        <v>0.78514449113350782</v>
      </c>
      <c r="W10" s="3"/>
      <c r="X10" s="8">
        <f t="shared" si="5"/>
        <v>-2.6288162753400856E-2</v>
      </c>
      <c r="Y10" s="9">
        <f t="shared" si="6"/>
        <v>0.78514449113350782</v>
      </c>
      <c r="Z10" s="9">
        <f t="shared" si="7"/>
        <v>0.12002480108995292</v>
      </c>
      <c r="AA10" s="10">
        <f t="shared" si="8"/>
        <v>-0.2789585340355325</v>
      </c>
      <c r="AC10" s="8">
        <f t="shared" si="9"/>
        <v>-3.3481942559959649E-2</v>
      </c>
      <c r="AD10" s="9">
        <v>1</v>
      </c>
      <c r="AE10" s="9">
        <f t="shared" si="10"/>
        <v>0.12002480108995292</v>
      </c>
      <c r="AF10" s="10">
        <f t="shared" si="11"/>
        <v>-0.2789585340355325</v>
      </c>
      <c r="AG10" s="3"/>
      <c r="AI10" s="8">
        <f t="shared" si="12"/>
        <v>-1.037205363916717E-2</v>
      </c>
      <c r="AJ10" s="9">
        <f t="shared" si="13"/>
        <v>0.38181818181818183</v>
      </c>
      <c r="AK10" s="9">
        <f t="shared" si="33"/>
        <v>0.16869261917621289</v>
      </c>
      <c r="AL10" s="9">
        <f t="shared" si="14"/>
        <v>4.8095165169121534</v>
      </c>
      <c r="AM10" s="9">
        <f t="shared" si="15"/>
        <v>0.12002480108995292</v>
      </c>
      <c r="AN10" s="10">
        <f t="shared" si="16"/>
        <v>-0.2789585340355325</v>
      </c>
      <c r="AP10" s="8">
        <f t="shared" si="17"/>
        <v>-2.7164902388294967E-2</v>
      </c>
      <c r="AQ10" s="9">
        <v>1</v>
      </c>
      <c r="AR10" s="9">
        <f t="shared" si="34"/>
        <v>0.16869261917621289</v>
      </c>
      <c r="AS10" s="9">
        <f t="shared" si="18"/>
        <v>4.8095165169121534</v>
      </c>
      <c r="AT10" s="9">
        <f t="shared" si="19"/>
        <v>0.12002480108995292</v>
      </c>
      <c r="AU10" s="10">
        <f t="shared" si="20"/>
        <v>-0.2789585340355325</v>
      </c>
      <c r="AW10" s="8">
        <f t="shared" si="21"/>
        <v>-2.7164902388294967E-2</v>
      </c>
      <c r="AX10" s="9">
        <f t="shared" si="22"/>
        <v>1</v>
      </c>
      <c r="AY10" s="9">
        <f t="shared" si="35"/>
        <v>0.16869261917621289</v>
      </c>
      <c r="AZ10" s="9">
        <f t="shared" si="23"/>
        <v>4.8095165169121534</v>
      </c>
      <c r="BA10" s="9">
        <f t="shared" si="24"/>
        <v>0.12002480108995292</v>
      </c>
      <c r="BB10" s="10">
        <f t="shared" si="25"/>
        <v>-0.2789585340355325</v>
      </c>
      <c r="BD10" s="8">
        <f t="shared" si="26"/>
        <v>-2.7164902388294967E-2</v>
      </c>
      <c r="BE10" s="9">
        <f>1</f>
        <v>1</v>
      </c>
      <c r="BF10" s="9">
        <f t="shared" si="36"/>
        <v>0.16869261917621289</v>
      </c>
      <c r="BG10" s="9">
        <f t="shared" si="27"/>
        <v>4.8095165169121534</v>
      </c>
      <c r="BH10" s="9">
        <f t="shared" si="28"/>
        <v>0.12002480108995292</v>
      </c>
      <c r="BI10" s="10">
        <f t="shared" si="29"/>
        <v>-0.2789585340355325</v>
      </c>
    </row>
    <row r="11" spans="3:61" ht="15" thickBot="1" x14ac:dyDescent="0.4">
      <c r="C11" s="76">
        <v>45</v>
      </c>
      <c r="D11" s="77">
        <v>23</v>
      </c>
      <c r="E11" s="77">
        <v>1</v>
      </c>
      <c r="F11" s="77"/>
      <c r="G11" s="82">
        <f t="shared" si="0"/>
        <v>0.68181818181818177</v>
      </c>
      <c r="H11" s="82">
        <f t="shared" si="1"/>
        <v>0.41818181818181815</v>
      </c>
      <c r="I11" s="80">
        <f t="shared" si="2"/>
        <v>1</v>
      </c>
      <c r="K11" s="8">
        <f t="shared" si="37"/>
        <v>0.64596663188077774</v>
      </c>
      <c r="L11" s="6"/>
      <c r="M11" s="10">
        <f t="shared" si="3"/>
        <v>0.12533962574184074</v>
      </c>
      <c r="R11" s="8">
        <f t="shared" si="30"/>
        <v>0.60135668009783827</v>
      </c>
      <c r="S11" s="9">
        <f t="shared" si="4"/>
        <v>0.12753847937191765</v>
      </c>
      <c r="T11" s="9">
        <f t="shared" si="31"/>
        <v>0.64596663188077774</v>
      </c>
      <c r="U11" s="10">
        <f t="shared" si="32"/>
        <v>0.53184147025750539</v>
      </c>
      <c r="W11" s="3"/>
      <c r="X11" s="8">
        <f t="shared" si="5"/>
        <v>-8.6121318908430472E-2</v>
      </c>
      <c r="Y11" s="9">
        <f t="shared" si="6"/>
        <v>0.53184147025750539</v>
      </c>
      <c r="Z11" s="9">
        <f t="shared" si="7"/>
        <v>0.22869374237738152</v>
      </c>
      <c r="AA11" s="10">
        <f t="shared" si="8"/>
        <v>-0.70806673623844452</v>
      </c>
      <c r="AC11" s="8">
        <f t="shared" si="9"/>
        <v>-0.16193043176330818</v>
      </c>
      <c r="AD11" s="9">
        <v>1</v>
      </c>
      <c r="AE11" s="9">
        <f t="shared" si="10"/>
        <v>0.22869374237738152</v>
      </c>
      <c r="AF11" s="10">
        <f t="shared" si="11"/>
        <v>-0.70806673623844452</v>
      </c>
      <c r="AG11" s="3"/>
      <c r="AI11" s="8">
        <f t="shared" si="12"/>
        <v>-8.1090537633979179E-2</v>
      </c>
      <c r="AJ11" s="9">
        <f t="shared" si="13"/>
        <v>0.41818181818181815</v>
      </c>
      <c r="AK11" s="9">
        <f t="shared" si="33"/>
        <v>0.2489861207718404</v>
      </c>
      <c r="AL11" s="9">
        <f t="shared" si="14"/>
        <v>4.8095165169121534</v>
      </c>
      <c r="AM11" s="9">
        <f t="shared" si="15"/>
        <v>0.22869374237738152</v>
      </c>
      <c r="AN11" s="10">
        <f t="shared" si="16"/>
        <v>-0.70806673623844452</v>
      </c>
      <c r="AP11" s="8">
        <f t="shared" si="17"/>
        <v>-0.19391215521168936</v>
      </c>
      <c r="AQ11" s="9">
        <v>1</v>
      </c>
      <c r="AR11" s="9">
        <f t="shared" si="34"/>
        <v>0.2489861207718404</v>
      </c>
      <c r="AS11" s="9">
        <f t="shared" si="18"/>
        <v>4.8095165169121534</v>
      </c>
      <c r="AT11" s="9">
        <f t="shared" si="19"/>
        <v>0.22869374237738152</v>
      </c>
      <c r="AU11" s="10">
        <f t="shared" si="20"/>
        <v>-0.70806673623844452</v>
      </c>
      <c r="AW11" s="8">
        <f t="shared" si="21"/>
        <v>-0.1322128330988791</v>
      </c>
      <c r="AX11" s="9">
        <f t="shared" si="22"/>
        <v>0.68181818181818177</v>
      </c>
      <c r="AY11" s="9">
        <f t="shared" si="35"/>
        <v>0.2489861207718404</v>
      </c>
      <c r="AZ11" s="9">
        <f t="shared" si="23"/>
        <v>4.8095165169121534</v>
      </c>
      <c r="BA11" s="9">
        <f t="shared" si="24"/>
        <v>0.22869374237738152</v>
      </c>
      <c r="BB11" s="10">
        <f t="shared" si="25"/>
        <v>-0.70806673623844452</v>
      </c>
      <c r="BD11" s="8">
        <f t="shared" si="26"/>
        <v>-0.19391215521168936</v>
      </c>
      <c r="BE11" s="9">
        <f>1</f>
        <v>1</v>
      </c>
      <c r="BF11" s="9">
        <f t="shared" si="36"/>
        <v>0.2489861207718404</v>
      </c>
      <c r="BG11" s="9">
        <f t="shared" si="27"/>
        <v>4.8095165169121534</v>
      </c>
      <c r="BH11" s="9">
        <f t="shared" si="28"/>
        <v>0.22869374237738152</v>
      </c>
      <c r="BI11" s="10">
        <f t="shared" si="29"/>
        <v>-0.70806673623844452</v>
      </c>
    </row>
    <row r="12" spans="3:61" ht="15" thickBot="1" x14ac:dyDescent="0.4">
      <c r="C12" s="78">
        <v>34</v>
      </c>
      <c r="D12" s="79">
        <v>8</v>
      </c>
      <c r="E12" s="79">
        <v>1</v>
      </c>
      <c r="F12" s="79"/>
      <c r="G12" s="83">
        <f t="shared" si="0"/>
        <v>0.51515151515151514</v>
      </c>
      <c r="H12" s="83">
        <f t="shared" si="1"/>
        <v>0.14545454545454545</v>
      </c>
      <c r="I12" s="81">
        <f t="shared" si="2"/>
        <v>1</v>
      </c>
      <c r="K12" s="8">
        <f t="shared" si="37"/>
        <v>0.75607466965367043</v>
      </c>
      <c r="L12" s="6"/>
      <c r="M12" s="10">
        <f t="shared" si="3"/>
        <v>5.9499566784566013E-2</v>
      </c>
      <c r="O12" s="88" t="s">
        <v>80</v>
      </c>
      <c r="P12" s="89">
        <v>1</v>
      </c>
      <c r="R12" s="84">
        <f t="shared" si="30"/>
        <v>1.131277985397545</v>
      </c>
      <c r="S12" s="85">
        <f t="shared" si="4"/>
        <v>0.58415667302758267</v>
      </c>
      <c r="T12" s="85">
        <f t="shared" ref="T12" si="38">1/(1+ EXP(-R12))</f>
        <v>0.75607466965367043</v>
      </c>
      <c r="U12" s="48">
        <f t="shared" ref="U12" si="39">1/(1+ EXP(-S12))</f>
        <v>0.64202329486218124</v>
      </c>
      <c r="W12" s="3"/>
      <c r="X12" s="8">
        <f t="shared" si="5"/>
        <v>-5.7764267937423605E-2</v>
      </c>
      <c r="Y12" s="9">
        <f t="shared" si="6"/>
        <v>0.64202329486218124</v>
      </c>
      <c r="Z12" s="9">
        <f t="shared" si="7"/>
        <v>0.18442576356176357</v>
      </c>
      <c r="AA12" s="10">
        <f t="shared" si="8"/>
        <v>-0.48785066069265914</v>
      </c>
      <c r="AC12" s="8">
        <f t="shared" si="9"/>
        <v>-8.99722306023545E-2</v>
      </c>
      <c r="AD12" s="9">
        <v>1</v>
      </c>
      <c r="AE12" s="9">
        <f t="shared" si="10"/>
        <v>0.18442576356176357</v>
      </c>
      <c r="AF12" s="10">
        <f t="shared" si="11"/>
        <v>-0.48785066069265914</v>
      </c>
      <c r="AG12" s="3"/>
      <c r="AI12" s="8">
        <f t="shared" si="12"/>
        <v>-1.4465810054617282E-2</v>
      </c>
      <c r="AJ12" s="9">
        <f t="shared" si="13"/>
        <v>0.14545454545454545</v>
      </c>
      <c r="AK12" s="9">
        <f t="shared" si="33"/>
        <v>0.22982938371648992</v>
      </c>
      <c r="AL12" s="9">
        <f t="shared" si="14"/>
        <v>4.8095165169121534</v>
      </c>
      <c r="AM12" s="9">
        <f t="shared" si="15"/>
        <v>0.18442576356176357</v>
      </c>
      <c r="AN12" s="10">
        <f t="shared" si="16"/>
        <v>-0.48785066069265914</v>
      </c>
      <c r="AP12" s="8">
        <f t="shared" si="17"/>
        <v>-9.9452444125493811E-2</v>
      </c>
      <c r="AQ12" s="9">
        <v>1</v>
      </c>
      <c r="AR12" s="9">
        <f t="shared" si="34"/>
        <v>0.22982938371648992</v>
      </c>
      <c r="AS12" s="9">
        <f t="shared" si="18"/>
        <v>4.8095165169121534</v>
      </c>
      <c r="AT12" s="9">
        <f t="shared" si="19"/>
        <v>0.18442576356176357</v>
      </c>
      <c r="AU12" s="10">
        <f t="shared" si="20"/>
        <v>-0.48785066069265914</v>
      </c>
      <c r="AW12" s="8">
        <f t="shared" si="21"/>
        <v>-5.123307727676954E-2</v>
      </c>
      <c r="AX12" s="9">
        <f t="shared" si="22"/>
        <v>0.51515151515151514</v>
      </c>
      <c r="AY12" s="9">
        <f t="shared" si="35"/>
        <v>0.22982938371648992</v>
      </c>
      <c r="AZ12" s="9">
        <f t="shared" si="23"/>
        <v>4.8095165169121534</v>
      </c>
      <c r="BA12" s="9">
        <f t="shared" si="24"/>
        <v>0.18442576356176357</v>
      </c>
      <c r="BB12" s="10">
        <f t="shared" si="25"/>
        <v>-0.48785066069265914</v>
      </c>
      <c r="BD12" s="8">
        <f t="shared" si="26"/>
        <v>-9.9452444125493811E-2</v>
      </c>
      <c r="BE12" s="9">
        <f>1</f>
        <v>1</v>
      </c>
      <c r="BF12" s="9">
        <f t="shared" si="36"/>
        <v>0.22982938371648992</v>
      </c>
      <c r="BG12" s="9">
        <f t="shared" si="27"/>
        <v>4.8095165169121534</v>
      </c>
      <c r="BH12" s="9">
        <f t="shared" si="28"/>
        <v>0.18442576356176357</v>
      </c>
      <c r="BI12" s="10">
        <f t="shared" si="29"/>
        <v>-0.48785066069265914</v>
      </c>
    </row>
    <row r="13" spans="3:61" ht="15" thickBot="1" x14ac:dyDescent="0.4">
      <c r="K13" s="5"/>
      <c r="L13" s="6"/>
      <c r="M13" s="10"/>
      <c r="O13" s="90" t="s">
        <v>79</v>
      </c>
      <c r="P13" s="91"/>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5"/>
      <c r="BE13" s="6"/>
      <c r="BF13" s="6"/>
      <c r="BG13" s="6"/>
      <c r="BH13" s="6"/>
      <c r="BI13" s="7"/>
    </row>
    <row r="14" spans="3:61" ht="15" thickBot="1" x14ac:dyDescent="0.4">
      <c r="K14" s="47"/>
      <c r="L14" s="14" t="s">
        <v>17</v>
      </c>
      <c r="M14" s="48">
        <f>SUM(M5:M12)</f>
        <v>0.48847503114161273</v>
      </c>
      <c r="W14" s="3" t="s">
        <v>57</v>
      </c>
      <c r="X14" s="11" t="s">
        <v>56</v>
      </c>
      <c r="Y14" s="13">
        <f>SUM(X5:X12)</f>
        <v>-0.14098439786228989</v>
      </c>
      <c r="Z14" s="14"/>
      <c r="AA14" s="43">
        <f>P7-(Y14*P12)</f>
        <v>4.9505009147744437</v>
      </c>
      <c r="AB14" s="4"/>
      <c r="AC14" s="11" t="s">
        <v>56</v>
      </c>
      <c r="AD14" s="15">
        <f>SUM(AC5:AC12)</f>
        <v>1.0957962430687071E-2</v>
      </c>
      <c r="AE14" s="14"/>
      <c r="AF14" s="43">
        <f>P10-(AD14*P12)</f>
        <v>-1.9675016179151645</v>
      </c>
      <c r="AG14" s="4"/>
      <c r="AH14" s="4"/>
      <c r="AI14" s="11" t="s">
        <v>56</v>
      </c>
      <c r="AJ14" s="15">
        <f>SUM(AI5:AI12)</f>
        <v>2.9195644334219641E-2</v>
      </c>
      <c r="AK14" s="14"/>
      <c r="AL14" s="14"/>
      <c r="AM14" s="14"/>
      <c r="AN14" s="43">
        <f>P6-(AJ14*P12)</f>
        <v>-3.6916702825248029</v>
      </c>
      <c r="AO14" s="4"/>
      <c r="AP14" s="11" t="s">
        <v>56</v>
      </c>
      <c r="AQ14" s="15">
        <f>SUM(AP5:AP12)</f>
        <v>-0.11642746659962616</v>
      </c>
      <c r="AR14" s="14"/>
      <c r="AS14" s="14"/>
      <c r="AT14" s="14"/>
      <c r="AU14" s="43">
        <f>P9-(P12*AJ14)</f>
        <v>-2.120512482972019</v>
      </c>
      <c r="AV14" s="4"/>
      <c r="AW14" s="11" t="s">
        <v>56</v>
      </c>
      <c r="AX14" s="15">
        <f>SUM(AW5:AW12)</f>
        <v>-0.14259410203772038</v>
      </c>
      <c r="AY14" s="14"/>
      <c r="AZ14" s="14"/>
      <c r="BA14" s="14"/>
      <c r="BB14" s="43">
        <f>P5-(P12*AX14)</f>
        <v>3.3960252571428677</v>
      </c>
      <c r="BC14" s="4"/>
      <c r="BD14" s="11" t="s">
        <v>56</v>
      </c>
      <c r="BE14" s="15">
        <f>SUM(BD5:BD12)</f>
        <v>-0.11642746659962616</v>
      </c>
      <c r="BF14" s="12"/>
      <c r="BG14" s="12"/>
      <c r="BH14" s="12"/>
      <c r="BI14" s="43">
        <f>P8-(P12*BE14)</f>
        <v>1.6486145730082591</v>
      </c>
    </row>
    <row r="16" spans="3:61" x14ac:dyDescent="0.35">
      <c r="M16" s="2"/>
    </row>
    <row r="17" spans="3:58" x14ac:dyDescent="0.35">
      <c r="M17" s="2"/>
      <c r="X17" t="s">
        <v>28</v>
      </c>
      <c r="Y17" t="s">
        <v>21</v>
      </c>
      <c r="AC17" t="s">
        <v>30</v>
      </c>
      <c r="AD17" t="s">
        <v>21</v>
      </c>
      <c r="AW17" t="s">
        <v>34</v>
      </c>
      <c r="AX17" t="s">
        <v>21</v>
      </c>
    </row>
    <row r="18" spans="3:58" x14ac:dyDescent="0.35">
      <c r="AI18" t="s">
        <v>32</v>
      </c>
      <c r="AJ18" t="s">
        <v>21</v>
      </c>
      <c r="AP18" t="s">
        <v>33</v>
      </c>
      <c r="AQ18" t="s">
        <v>21</v>
      </c>
      <c r="BD18" t="s">
        <v>35</v>
      </c>
      <c r="BE18" t="s">
        <v>21</v>
      </c>
    </row>
    <row r="19" spans="3:58" x14ac:dyDescent="0.35">
      <c r="M19" s="2"/>
    </row>
    <row r="20" spans="3:58" x14ac:dyDescent="0.35">
      <c r="M20" s="2"/>
    </row>
    <row r="21" spans="3:58" x14ac:dyDescent="0.35">
      <c r="M21" s="2"/>
    </row>
    <row r="22" spans="3:58" x14ac:dyDescent="0.35">
      <c r="M22" s="2"/>
      <c r="X22" t="s">
        <v>29</v>
      </c>
      <c r="Y22" t="s">
        <v>21</v>
      </c>
    </row>
    <row r="23" spans="3:58" x14ac:dyDescent="0.35">
      <c r="M23" s="2"/>
      <c r="AC23" t="s">
        <v>31</v>
      </c>
      <c r="AD23" t="s">
        <v>21</v>
      </c>
      <c r="AJ23" t="s">
        <v>41</v>
      </c>
      <c r="AK23" t="s">
        <v>21</v>
      </c>
      <c r="AQ23" t="s">
        <v>42</v>
      </c>
      <c r="AR23" t="s">
        <v>21</v>
      </c>
      <c r="AX23" t="s">
        <v>44</v>
      </c>
      <c r="AY23" t="s">
        <v>21</v>
      </c>
      <c r="BE23" t="s">
        <v>43</v>
      </c>
      <c r="BF23" t="s">
        <v>21</v>
      </c>
    </row>
    <row r="24" spans="3:58" x14ac:dyDescent="0.35">
      <c r="M24" s="2"/>
    </row>
    <row r="26" spans="3:58" x14ac:dyDescent="0.35">
      <c r="M26" s="2"/>
    </row>
    <row r="27" spans="3:58" x14ac:dyDescent="0.35">
      <c r="M27" s="2"/>
      <c r="X27" t="s">
        <v>25</v>
      </c>
      <c r="Y27" t="s">
        <v>21</v>
      </c>
    </row>
    <row r="28" spans="3:58" x14ac:dyDescent="0.35">
      <c r="AJ28" t="s">
        <v>40</v>
      </c>
      <c r="AK28" t="s">
        <v>21</v>
      </c>
    </row>
    <row r="29" spans="3:58" x14ac:dyDescent="0.35">
      <c r="M29" s="2"/>
    </row>
    <row r="30" spans="3:58" x14ac:dyDescent="0.35">
      <c r="M30" s="2"/>
    </row>
    <row r="32" spans="3:58" x14ac:dyDescent="0.35">
      <c r="C32" t="s">
        <v>21</v>
      </c>
      <c r="X32" t="s">
        <v>26</v>
      </c>
      <c r="Y32" t="s">
        <v>21</v>
      </c>
    </row>
    <row r="33" spans="3:37" x14ac:dyDescent="0.35">
      <c r="AJ33" t="s">
        <v>39</v>
      </c>
      <c r="AK33" t="s">
        <v>21</v>
      </c>
    </row>
    <row r="39" spans="3:37" x14ac:dyDescent="0.35">
      <c r="C39" t="s">
        <v>21</v>
      </c>
    </row>
    <row r="44" spans="3:37" x14ac:dyDescent="0.35">
      <c r="C44" t="s">
        <v>21</v>
      </c>
    </row>
    <row r="47" spans="3:37" x14ac:dyDescent="0.35">
      <c r="X47" s="3"/>
    </row>
    <row r="49" spans="3:61" x14ac:dyDescent="0.35">
      <c r="C49" t="s">
        <v>21</v>
      </c>
    </row>
    <row r="50" spans="3:61" x14ac:dyDescent="0.35">
      <c r="X50" s="45"/>
      <c r="Y50" s="45"/>
      <c r="Z50" s="45"/>
      <c r="AA50" s="45"/>
      <c r="AC50" s="45"/>
      <c r="AD50" s="45"/>
      <c r="AE50" s="45"/>
      <c r="AF50" s="45"/>
      <c r="AI50" s="45"/>
      <c r="AJ50" s="45"/>
      <c r="AK50" s="45"/>
      <c r="AL50" s="45"/>
      <c r="AM50" s="45"/>
      <c r="AN50" s="45"/>
      <c r="AP50" s="45"/>
      <c r="AQ50" s="45"/>
      <c r="AR50" s="45"/>
      <c r="AS50" s="45"/>
      <c r="AT50" s="45"/>
      <c r="AU50" s="45"/>
      <c r="AW50" s="45"/>
      <c r="AX50" s="45"/>
      <c r="AY50" s="45"/>
      <c r="AZ50" s="45"/>
      <c r="BA50" s="45"/>
      <c r="BB50" s="45"/>
      <c r="BD50" s="45"/>
      <c r="BE50" s="45"/>
      <c r="BF50" s="45"/>
      <c r="BG50" s="45"/>
      <c r="BH50" s="45"/>
      <c r="BI50" s="45"/>
    </row>
    <row r="54" spans="3:61" x14ac:dyDescent="0.35">
      <c r="C54" t="s">
        <v>21</v>
      </c>
    </row>
    <row r="59" spans="3:61" x14ac:dyDescent="0.35">
      <c r="C59" t="s">
        <v>21</v>
      </c>
    </row>
    <row r="96" ht="15" thickBot="1" x14ac:dyDescent="0.4"/>
    <row r="97" spans="2:24" x14ac:dyDescent="0.35">
      <c r="B97" s="63" t="s">
        <v>70</v>
      </c>
      <c r="C97" s="64"/>
      <c r="D97" s="65"/>
      <c r="F97" s="49" t="s">
        <v>74</v>
      </c>
      <c r="G97" s="50"/>
      <c r="H97" s="51" t="s">
        <v>73</v>
      </c>
      <c r="J97" s="4" t="s">
        <v>75</v>
      </c>
    </row>
    <row r="98" spans="2:24" x14ac:dyDescent="0.35">
      <c r="B98" s="46" t="s">
        <v>71</v>
      </c>
      <c r="C98" s="6"/>
      <c r="D98" s="10">
        <f ca="1">RAND()*($B$102-$B$99)+$B$99</f>
        <v>1.5949250135789281</v>
      </c>
      <c r="F98" s="52">
        <v>1.3962170471593613</v>
      </c>
      <c r="G98" s="6"/>
      <c r="H98" s="10">
        <v>-1.55</v>
      </c>
      <c r="J98">
        <v>4.7474861721640647</v>
      </c>
    </row>
    <row r="99" spans="2:24" x14ac:dyDescent="0.35">
      <c r="B99" s="46">
        <v>-2</v>
      </c>
      <c r="C99" s="6"/>
      <c r="D99" s="10">
        <f ca="1">RAND()*($B$102-$B$99)+$B$99</f>
        <v>1.0278911676232982</v>
      </c>
      <c r="F99" s="52">
        <v>0.82834412705083371</v>
      </c>
      <c r="G99" s="6"/>
      <c r="H99" s="10">
        <v>-1.5</v>
      </c>
      <c r="J99">
        <v>-4.3473182622491784</v>
      </c>
    </row>
    <row r="100" spans="2:24" x14ac:dyDescent="0.35">
      <c r="B100" s="46"/>
      <c r="C100" s="6"/>
      <c r="D100" s="10">
        <f t="shared" ref="D100:D103" ca="1" si="40">RAND()*($B$102-$B$99)+$B$99</f>
        <v>-2.5791273136886339E-2</v>
      </c>
      <c r="F100" s="52">
        <v>-0.32190521449133513</v>
      </c>
      <c r="G100" s="6"/>
      <c r="H100" s="10">
        <v>1</v>
      </c>
      <c r="J100">
        <v>6.1845770085473468</v>
      </c>
    </row>
    <row r="101" spans="2:24" x14ac:dyDescent="0.35">
      <c r="B101" s="46" t="s">
        <v>72</v>
      </c>
      <c r="C101" s="6"/>
      <c r="D101" s="10">
        <f t="shared" ca="1" si="40"/>
        <v>-0.32313070556577994</v>
      </c>
      <c r="F101" s="52">
        <v>-6.718850069702513E-2</v>
      </c>
      <c r="G101" s="6"/>
      <c r="H101" s="10">
        <v>-0.1</v>
      </c>
      <c r="J101">
        <v>1.9268642753118306</v>
      </c>
    </row>
    <row r="102" spans="2:24" x14ac:dyDescent="0.35">
      <c r="B102" s="46">
        <f>2</f>
        <v>2</v>
      </c>
      <c r="C102" s="6"/>
      <c r="D102" s="10">
        <f t="shared" ca="1" si="40"/>
        <v>-1.6511466572356537</v>
      </c>
      <c r="F102" s="52">
        <v>0.56716790388124216</v>
      </c>
      <c r="G102" s="6"/>
      <c r="H102" s="10">
        <v>0.55000000000000004</v>
      </c>
      <c r="J102">
        <v>-2.9103268422333981</v>
      </c>
    </row>
    <row r="103" spans="2:24" ht="15" thickBot="1" x14ac:dyDescent="0.4">
      <c r="B103" s="47"/>
      <c r="C103" s="12"/>
      <c r="D103" s="48">
        <f t="shared" ca="1" si="40"/>
        <v>-0.66875756136940501</v>
      </c>
      <c r="F103" s="53">
        <v>0.24616521202017116</v>
      </c>
      <c r="G103" s="12"/>
      <c r="H103" s="48">
        <v>-0.2</v>
      </c>
      <c r="J103">
        <v>-2.6263064562867067</v>
      </c>
    </row>
    <row r="107" spans="2:24" ht="15" thickBot="1" x14ac:dyDescent="0.4"/>
    <row r="108" spans="2:24" ht="21.5" thickBot="1" x14ac:dyDescent="0.55000000000000004">
      <c r="B108" s="60" t="s">
        <v>58</v>
      </c>
      <c r="C108" s="61"/>
      <c r="D108" s="61"/>
      <c r="E108" s="61"/>
      <c r="F108" s="61"/>
      <c r="G108" s="61"/>
      <c r="H108" s="61"/>
      <c r="I108" s="61"/>
      <c r="J108" s="61"/>
      <c r="K108" s="61"/>
      <c r="L108" s="61"/>
      <c r="M108" s="61"/>
      <c r="N108" s="61"/>
      <c r="O108" s="61"/>
      <c r="P108" s="61"/>
      <c r="Q108" s="61"/>
      <c r="R108" s="61"/>
      <c r="S108" s="61"/>
      <c r="T108" s="61"/>
      <c r="U108" s="61"/>
      <c r="V108" s="61"/>
      <c r="W108" s="61"/>
      <c r="X108" s="62"/>
    </row>
    <row r="109" spans="2:24" x14ac:dyDescent="0.35">
      <c r="B109" s="54" t="s">
        <v>2</v>
      </c>
      <c r="C109" s="22">
        <v>1</v>
      </c>
      <c r="D109" s="35">
        <f>1/(1+EXP(-D135))</f>
        <v>0.13158868905876925</v>
      </c>
      <c r="E109" s="34">
        <f t="shared" ref="E109:W110" si="41">1/(1+EXP(-E135))</f>
        <v>0.13297515602870308</v>
      </c>
      <c r="F109" s="34">
        <f t="shared" si="41"/>
        <v>0.13461320306662883</v>
      </c>
      <c r="G109" s="34">
        <f t="shared" si="41"/>
        <v>0.13654968183876004</v>
      </c>
      <c r="H109" s="34">
        <f t="shared" si="41"/>
        <v>0.13884055097583631</v>
      </c>
      <c r="I109" s="34">
        <f t="shared" si="41"/>
        <v>0.14155274297820702</v>
      </c>
      <c r="J109" s="34">
        <f t="shared" si="41"/>
        <v>0.14476642117591842</v>
      </c>
      <c r="K109" s="34">
        <f t="shared" si="41"/>
        <v>0.14857769413063771</v>
      </c>
      <c r="L109" s="34">
        <f t="shared" si="41"/>
        <v>0.1531018508603284</v>
      </c>
      <c r="M109" s="34">
        <f t="shared" si="41"/>
        <v>0.15847716038883039</v>
      </c>
      <c r="N109" s="34">
        <f t="shared" si="41"/>
        <v>0.16486923004222998</v>
      </c>
      <c r="O109" s="34">
        <f t="shared" si="41"/>
        <v>0.17247581733132653</v>
      </c>
      <c r="P109" s="34">
        <f t="shared" si="41"/>
        <v>0.18153180801605889</v>
      </c>
      <c r="Q109" s="34">
        <f t="shared" si="41"/>
        <v>0.19231376322324231</v>
      </c>
      <c r="R109" s="34">
        <f t="shared" si="41"/>
        <v>0.20514294659247087</v>
      </c>
      <c r="S109" s="34">
        <f t="shared" si="41"/>
        <v>0.22038501859057982</v>
      </c>
      <c r="T109" s="34">
        <f t="shared" si="41"/>
        <v>0.23844362432231508</v>
      </c>
      <c r="U109" s="34">
        <f t="shared" si="41"/>
        <v>0.25974402523125623</v>
      </c>
      <c r="V109" s="34">
        <f t="shared" si="41"/>
        <v>0.28470211754042868</v>
      </c>
      <c r="W109" s="34">
        <f t="shared" si="41"/>
        <v>0.31367444232158342</v>
      </c>
      <c r="X109" s="36">
        <f>1/(1+EXP(-X135))</f>
        <v>0.34688738282802856</v>
      </c>
    </row>
    <row r="110" spans="2:24" x14ac:dyDescent="0.35">
      <c r="B110" s="55"/>
      <c r="C110" s="19">
        <v>0.95</v>
      </c>
      <c r="D110" s="37">
        <f>1/(1+EXP(-D136))</f>
        <v>0.1331663882886043</v>
      </c>
      <c r="E110" s="33">
        <f t="shared" si="41"/>
        <v>0.13483920952921288</v>
      </c>
      <c r="F110" s="33">
        <f t="shared" si="41"/>
        <v>0.13681696238899033</v>
      </c>
      <c r="G110" s="33">
        <f t="shared" si="41"/>
        <v>0.13915687519827749</v>
      </c>
      <c r="H110" s="33">
        <f t="shared" si="41"/>
        <v>0.14192741110683776</v>
      </c>
      <c r="I110" s="33">
        <f t="shared" si="41"/>
        <v>0.14521057883466598</v>
      </c>
      <c r="J110" s="33">
        <f t="shared" si="41"/>
        <v>0.14910470928630504</v>
      </c>
      <c r="K110" s="33">
        <f t="shared" si="41"/>
        <v>0.15372775999615124</v>
      </c>
      <c r="L110" s="33">
        <f t="shared" si="41"/>
        <v>0.15922118669145519</v>
      </c>
      <c r="M110" s="33">
        <f t="shared" si="41"/>
        <v>0.16575436719716344</v>
      </c>
      <c r="N110" s="33">
        <f t="shared" si="41"/>
        <v>0.17352945495199529</v>
      </c>
      <c r="O110" s="33">
        <f t="shared" si="41"/>
        <v>0.18278634385815057</v>
      </c>
      <c r="P110" s="33">
        <f t="shared" si="41"/>
        <v>0.19380709667758136</v>
      </c>
      <c r="Q110" s="33">
        <f t="shared" si="41"/>
        <v>0.2069186704659951</v>
      </c>
      <c r="R110" s="33">
        <f t="shared" si="41"/>
        <v>0.22249201757270284</v>
      </c>
      <c r="S110" s="33">
        <f t="shared" si="41"/>
        <v>0.240934654865925</v>
      </c>
      <c r="T110" s="33">
        <f t="shared" si="41"/>
        <v>0.26267272339190029</v>
      </c>
      <c r="U110" s="33">
        <f t="shared" si="41"/>
        <v>0.28811783355307313</v>
      </c>
      <c r="V110" s="33">
        <f t="shared" si="41"/>
        <v>0.31761446862487042</v>
      </c>
      <c r="W110" s="33">
        <f t="shared" si="41"/>
        <v>0.35136670507845758</v>
      </c>
      <c r="X110" s="38">
        <f>1/(1+EXP(-X136))</f>
        <v>0.38934979231105171</v>
      </c>
    </row>
    <row r="111" spans="2:24" x14ac:dyDescent="0.35">
      <c r="B111" s="55"/>
      <c r="C111" s="19">
        <v>0.9</v>
      </c>
      <c r="D111" s="37">
        <f t="shared" ref="D111:X111" si="42">1/(1+EXP(-D137))</f>
        <v>0.13507002408660329</v>
      </c>
      <c r="E111" s="33">
        <f t="shared" si="42"/>
        <v>0.13708995318720299</v>
      </c>
      <c r="F111" s="33">
        <f t="shared" si="42"/>
        <v>0.13947998889737837</v>
      </c>
      <c r="G111" s="33">
        <f t="shared" si="42"/>
        <v>0.14231016145403574</v>
      </c>
      <c r="H111" s="33">
        <f t="shared" si="42"/>
        <v>0.14566436877454694</v>
      </c>
      <c r="I111" s="33">
        <f t="shared" si="42"/>
        <v>0.14964321628434221</v>
      </c>
      <c r="J111" s="33">
        <f t="shared" si="42"/>
        <v>0.15436739124312029</v>
      </c>
      <c r="K111" s="33">
        <f t="shared" si="42"/>
        <v>0.15998160615561843</v>
      </c>
      <c r="L111" s="33">
        <f t="shared" si="42"/>
        <v>0.16665908645614774</v>
      </c>
      <c r="M111" s="33">
        <f t="shared" si="42"/>
        <v>0.17460646079900161</v>
      </c>
      <c r="N111" s="33">
        <f t="shared" si="42"/>
        <v>0.18406870269972736</v>
      </c>
      <c r="O111" s="33">
        <f t="shared" si="42"/>
        <v>0.19533342208469776</v>
      </c>
      <c r="P111" s="33">
        <f t="shared" si="42"/>
        <v>0.20873325896206502</v>
      </c>
      <c r="Q111" s="33">
        <f t="shared" si="42"/>
        <v>0.22464434530726957</v>
      </c>
      <c r="R111" s="33">
        <f t="shared" si="42"/>
        <v>0.24347779245771417</v>
      </c>
      <c r="S111" s="33">
        <f t="shared" si="42"/>
        <v>0.26566010288459846</v>
      </c>
      <c r="T111" s="33">
        <f t="shared" si="42"/>
        <v>0.29159777205946757</v>
      </c>
      <c r="U111" s="33">
        <f t="shared" si="42"/>
        <v>0.32162206067435878</v>
      </c>
      <c r="V111" s="33">
        <f t="shared" si="42"/>
        <v>0.35591332005864423</v>
      </c>
      <c r="W111" s="33">
        <f t="shared" si="42"/>
        <v>0.39441156277833722</v>
      </c>
      <c r="X111" s="38">
        <f t="shared" si="42"/>
        <v>0.43673091867818015</v>
      </c>
    </row>
    <row r="112" spans="2:24" x14ac:dyDescent="0.35">
      <c r="B112" s="55"/>
      <c r="C112" s="19">
        <v>0.85</v>
      </c>
      <c r="D112" s="37">
        <f t="shared" ref="D112:X112" si="43">1/(1+EXP(-D138))</f>
        <v>0.13736877950306786</v>
      </c>
      <c r="E112" s="33">
        <f t="shared" si="43"/>
        <v>0.1398100420429883</v>
      </c>
      <c r="F112" s="33">
        <f t="shared" si="43"/>
        <v>0.14270117377041999</v>
      </c>
      <c r="G112" s="33">
        <f t="shared" si="43"/>
        <v>0.14612800660870592</v>
      </c>
      <c r="H112" s="33">
        <f t="shared" si="43"/>
        <v>0.15019347379250594</v>
      </c>
      <c r="I112" s="33">
        <f t="shared" si="43"/>
        <v>0.15502105466381008</v>
      </c>
      <c r="J112" s="33">
        <f t="shared" si="43"/>
        <v>0.16075878961076676</v>
      </c>
      <c r="K112" s="33">
        <f t="shared" si="43"/>
        <v>0.16758382941044001</v>
      </c>
      <c r="L112" s="33">
        <f t="shared" si="43"/>
        <v>0.17570735692176456</v>
      </c>
      <c r="M112" s="33">
        <f t="shared" si="43"/>
        <v>0.18537949468610085</v>
      </c>
      <c r="N112" s="33">
        <f t="shared" si="43"/>
        <v>0.19689344022604069</v>
      </c>
      <c r="O112" s="33">
        <f t="shared" si="43"/>
        <v>0.21058749611679242</v>
      </c>
      <c r="P112" s="33">
        <f t="shared" si="43"/>
        <v>0.22684284477631639</v>
      </c>
      <c r="Q112" s="33">
        <f t="shared" si="43"/>
        <v>0.24607388873142497</v>
      </c>
      <c r="R112" s="33">
        <f t="shared" si="43"/>
        <v>0.26870693800492906</v>
      </c>
      <c r="S112" s="33">
        <f t="shared" si="43"/>
        <v>0.29514250164918393</v>
      </c>
      <c r="T112" s="33">
        <f t="shared" si="43"/>
        <v>0.32569741361534327</v>
      </c>
      <c r="U112" s="33">
        <f t="shared" si="43"/>
        <v>0.3605268637248405</v>
      </c>
      <c r="V112" s="33">
        <f t="shared" si="43"/>
        <v>0.3995342371513998</v>
      </c>
      <c r="W112" s="33">
        <f t="shared" si="43"/>
        <v>0.44228790245637373</v>
      </c>
      <c r="X112" s="38">
        <f t="shared" si="43"/>
        <v>0.4879745944903916</v>
      </c>
    </row>
    <row r="113" spans="2:24" x14ac:dyDescent="0.35">
      <c r="B113" s="55"/>
      <c r="C113" s="19">
        <v>0.8</v>
      </c>
      <c r="D113" s="37">
        <f t="shared" ref="D113:X113" si="44">1/(1+EXP(-D139))</f>
        <v>0.14014718805057758</v>
      </c>
      <c r="E113" s="33">
        <f t="shared" si="44"/>
        <v>0.14310063195921763</v>
      </c>
      <c r="F113" s="33">
        <f t="shared" si="44"/>
        <v>0.14660171294438715</v>
      </c>
      <c r="G113" s="33">
        <f t="shared" si="44"/>
        <v>0.15075574645860942</v>
      </c>
      <c r="H113" s="33">
        <f t="shared" si="44"/>
        <v>0.15568906742734623</v>
      </c>
      <c r="I113" s="33">
        <f t="shared" si="44"/>
        <v>0.16155311622823557</v>
      </c>
      <c r="J113" s="33">
        <f t="shared" si="44"/>
        <v>0.16852904725529008</v>
      </c>
      <c r="K113" s="33">
        <f t="shared" si="44"/>
        <v>0.17683267609538553</v>
      </c>
      <c r="L113" s="33">
        <f t="shared" si="44"/>
        <v>0.18671934136795346</v>
      </c>
      <c r="M113" s="33">
        <f t="shared" si="44"/>
        <v>0.1984878630280684</v>
      </c>
      <c r="N113" s="33">
        <f t="shared" si="44"/>
        <v>0.21248217515476137</v>
      </c>
      <c r="O113" s="33">
        <f t="shared" si="44"/>
        <v>0.22908836345883696</v>
      </c>
      <c r="P113" s="33">
        <f t="shared" si="44"/>
        <v>0.24872379115670612</v>
      </c>
      <c r="Q113" s="33">
        <f t="shared" si="44"/>
        <v>0.27181398513957078</v>
      </c>
      <c r="R113" s="33">
        <f t="shared" si="44"/>
        <v>0.29875255385050109</v>
      </c>
      <c r="S113" s="33">
        <f t="shared" si="44"/>
        <v>0.32984066246972366</v>
      </c>
      <c r="T113" s="33">
        <f t="shared" si="44"/>
        <v>0.36520688931100548</v>
      </c>
      <c r="U113" s="33">
        <f t="shared" si="44"/>
        <v>0.40471663690180509</v>
      </c>
      <c r="V113" s="33">
        <f t="shared" si="44"/>
        <v>0.44789173174163444</v>
      </c>
      <c r="W113" s="33">
        <f t="shared" si="44"/>
        <v>0.49387075657718255</v>
      </c>
      <c r="X113" s="38">
        <f t="shared" si="44"/>
        <v>0.54144080552970697</v>
      </c>
    </row>
    <row r="114" spans="2:24" x14ac:dyDescent="0.35">
      <c r="B114" s="55"/>
      <c r="C114" s="19">
        <v>0.75</v>
      </c>
      <c r="D114" s="37">
        <f t="shared" ref="D114:X114" si="45">1/(1+EXP(-D140))</f>
        <v>0.14350872417438329</v>
      </c>
      <c r="E114" s="33">
        <f t="shared" si="45"/>
        <v>0.14708571349885927</v>
      </c>
      <c r="F114" s="33">
        <f t="shared" si="45"/>
        <v>0.15133030504474149</v>
      </c>
      <c r="G114" s="33">
        <f t="shared" si="45"/>
        <v>0.15637175395982861</v>
      </c>
      <c r="H114" s="33">
        <f t="shared" si="45"/>
        <v>0.16236497368091149</v>
      </c>
      <c r="I114" s="33">
        <f t="shared" si="45"/>
        <v>0.16949520094337073</v>
      </c>
      <c r="J114" s="33">
        <f t="shared" si="45"/>
        <v>0.17798296193849472</v>
      </c>
      <c r="K114" s="33">
        <f t="shared" si="45"/>
        <v>0.18808887573314834</v>
      </c>
      <c r="L114" s="33">
        <f t="shared" si="45"/>
        <v>0.20011741342822315</v>
      </c>
      <c r="M114" s="33">
        <f t="shared" si="45"/>
        <v>0.21441809807378948</v>
      </c>
      <c r="N114" s="33">
        <f t="shared" si="45"/>
        <v>0.23138175248612533</v>
      </c>
      <c r="O114" s="33">
        <f t="shared" si="45"/>
        <v>0.25142834160836419</v>
      </c>
      <c r="P114" s="33">
        <f t="shared" si="45"/>
        <v>0.27498198064705537</v>
      </c>
      <c r="Q114" s="33">
        <f t="shared" si="45"/>
        <v>0.30242842038687912</v>
      </c>
      <c r="R114" s="33">
        <f t="shared" si="45"/>
        <v>0.33405187914284873</v>
      </c>
      <c r="S114" s="33">
        <f t="shared" si="45"/>
        <v>0.36995286486691792</v>
      </c>
      <c r="T114" s="33">
        <f t="shared" si="45"/>
        <v>0.40995748524993619</v>
      </c>
      <c r="U114" s="33">
        <f t="shared" si="45"/>
        <v>0.4535403547294331</v>
      </c>
      <c r="V114" s="33">
        <f t="shared" si="45"/>
        <v>0.4997923848121415</v>
      </c>
      <c r="W114" s="33">
        <f t="shared" si="45"/>
        <v>0.54746305240206394</v>
      </c>
      <c r="X114" s="38">
        <f t="shared" si="45"/>
        <v>0.59508778506070126</v>
      </c>
    </row>
    <row r="115" spans="2:24" x14ac:dyDescent="0.35">
      <c r="B115" s="55"/>
      <c r="C115" s="19">
        <v>0.7</v>
      </c>
      <c r="D115" s="37">
        <f t="shared" ref="D115:X115" si="46">1/(1+EXP(-D141))</f>
        <v>0.14758023921765029</v>
      </c>
      <c r="E115" s="33">
        <f t="shared" si="46"/>
        <v>0.15191742656371165</v>
      </c>
      <c r="F115" s="33">
        <f t="shared" si="46"/>
        <v>0.15706944609643239</v>
      </c>
      <c r="G115" s="33">
        <f t="shared" si="46"/>
        <v>0.16319475830318722</v>
      </c>
      <c r="H115" s="33">
        <f t="shared" si="46"/>
        <v>0.17048276133570434</v>
      </c>
      <c r="I115" s="33">
        <f t="shared" si="46"/>
        <v>0.17915876902357949</v>
      </c>
      <c r="J115" s="33">
        <f t="shared" si="46"/>
        <v>0.1894887422227676</v>
      </c>
      <c r="K115" s="33">
        <f t="shared" si="46"/>
        <v>0.20178282521265473</v>
      </c>
      <c r="L115" s="33">
        <f t="shared" si="46"/>
        <v>0.21639607518437759</v>
      </c>
      <c r="M115" s="33">
        <f t="shared" si="46"/>
        <v>0.23372386573172563</v>
      </c>
      <c r="N115" s="33">
        <f t="shared" si="46"/>
        <v>0.25418837485253631</v>
      </c>
      <c r="O115" s="33">
        <f t="shared" si="46"/>
        <v>0.27821163865151577</v>
      </c>
      <c r="P115" s="33">
        <f t="shared" si="46"/>
        <v>0.30617055037353935</v>
      </c>
      <c r="Q115" s="33">
        <f t="shared" si="46"/>
        <v>0.33833106944577412</v>
      </c>
      <c r="R115" s="33">
        <f t="shared" si="46"/>
        <v>0.37476417093700176</v>
      </c>
      <c r="S115" s="33">
        <f t="shared" si="46"/>
        <v>0.41525540660804483</v>
      </c>
      <c r="T115" s="33">
        <f t="shared" si="46"/>
        <v>0.45923162804254047</v>
      </c>
      <c r="U115" s="33">
        <f t="shared" si="46"/>
        <v>0.50573672710027251</v>
      </c>
      <c r="V115" s="33">
        <f t="shared" si="46"/>
        <v>0.55348460578327219</v>
      </c>
      <c r="W115" s="33">
        <f t="shared" si="46"/>
        <v>0.60099644287543752</v>
      </c>
      <c r="X115" s="38">
        <f t="shared" si="46"/>
        <v>0.64679610176960933</v>
      </c>
    </row>
    <row r="116" spans="2:24" x14ac:dyDescent="0.35">
      <c r="B116" s="55"/>
      <c r="C116" s="19">
        <v>0.65</v>
      </c>
      <c r="D116" s="37">
        <f t="shared" ref="D116:X116" si="47">1/(1+EXP(-D142))</f>
        <v>0.15251739441768369</v>
      </c>
      <c r="E116" s="33">
        <f t="shared" si="47"/>
        <v>0.15778248323506947</v>
      </c>
      <c r="F116" s="33">
        <f t="shared" si="47"/>
        <v>0.16404287525095046</v>
      </c>
      <c r="G116" s="33">
        <f t="shared" si="47"/>
        <v>0.17149220934959925</v>
      </c>
      <c r="H116" s="33">
        <f t="shared" si="47"/>
        <v>0.18036066297895517</v>
      </c>
      <c r="I116" s="33">
        <f t="shared" si="47"/>
        <v>0.19091959673005829</v>
      </c>
      <c r="J116" s="33">
        <f t="shared" si="47"/>
        <v>0.20348484282378998</v>
      </c>
      <c r="K116" s="33">
        <f t="shared" si="47"/>
        <v>0.21841692460142506</v>
      </c>
      <c r="L116" s="33">
        <f t="shared" si="47"/>
        <v>0.23611555883345958</v>
      </c>
      <c r="M116" s="33">
        <f t="shared" si="47"/>
        <v>0.25700471694822402</v>
      </c>
      <c r="N116" s="33">
        <f t="shared" si="47"/>
        <v>0.2815036487507333</v>
      </c>
      <c r="O116" s="33">
        <f t="shared" si="47"/>
        <v>0.3099793474607051</v>
      </c>
      <c r="P116" s="33">
        <f t="shared" si="47"/>
        <v>0.34267817014621038</v>
      </c>
      <c r="Q116" s="33">
        <f t="shared" si="47"/>
        <v>0.37964009839797064</v>
      </c>
      <c r="R116" s="33">
        <f t="shared" si="47"/>
        <v>0.42060892632180386</v>
      </c>
      <c r="S116" s="33">
        <f t="shared" si="47"/>
        <v>0.464963319245283</v>
      </c>
      <c r="T116" s="33">
        <f t="shared" si="47"/>
        <v>0.51170097502799461</v>
      </c>
      <c r="U116" s="33">
        <f t="shared" si="47"/>
        <v>0.55950242538960493</v>
      </c>
      <c r="V116" s="33">
        <f t="shared" si="47"/>
        <v>0.6068777635660717</v>
      </c>
      <c r="W116" s="33">
        <f t="shared" si="47"/>
        <v>0.65236591653726383</v>
      </c>
      <c r="X116" s="38">
        <f t="shared" si="47"/>
        <v>0.69473062233414862</v>
      </c>
    </row>
    <row r="117" spans="2:24" x14ac:dyDescent="0.35">
      <c r="B117" s="55"/>
      <c r="C117" s="19">
        <v>0.6</v>
      </c>
      <c r="D117" s="37">
        <f t="shared" ref="D117:X117" si="48">1/(1+EXP(-D143))</f>
        <v>0.15851121249147679</v>
      </c>
      <c r="E117" s="33">
        <f t="shared" si="48"/>
        <v>0.16490973866132325</v>
      </c>
      <c r="F117" s="33">
        <f t="shared" si="48"/>
        <v>0.17252403610306796</v>
      </c>
      <c r="G117" s="33">
        <f t="shared" si="48"/>
        <v>0.18158922058148935</v>
      </c>
      <c r="H117" s="33">
        <f t="shared" si="48"/>
        <v>0.19238210658089902</v>
      </c>
      <c r="I117" s="33">
        <f t="shared" si="48"/>
        <v>0.20522422113577724</v>
      </c>
      <c r="J117" s="33">
        <f t="shared" si="48"/>
        <v>0.22048147168573959</v>
      </c>
      <c r="K117" s="33">
        <f t="shared" si="48"/>
        <v>0.23855768814505668</v>
      </c>
      <c r="L117" s="33">
        <f t="shared" si="48"/>
        <v>0.2598781835628734</v>
      </c>
      <c r="M117" s="33">
        <f t="shared" si="48"/>
        <v>0.28485867364032025</v>
      </c>
      <c r="N117" s="33">
        <f t="shared" si="48"/>
        <v>0.31385516693085891</v>
      </c>
      <c r="O117" s="33">
        <f t="shared" si="48"/>
        <v>0.3470930460622586</v>
      </c>
      <c r="P117" s="33">
        <f t="shared" si="48"/>
        <v>0.38457984647360893</v>
      </c>
      <c r="Q117" s="33">
        <f t="shared" si="48"/>
        <v>0.42601647072500892</v>
      </c>
      <c r="R117" s="33">
        <f t="shared" si="48"/>
        <v>0.47073310972950005</v>
      </c>
      <c r="S117" s="33">
        <f t="shared" si="48"/>
        <v>0.51768226941674833</v>
      </c>
      <c r="T117" s="33">
        <f t="shared" si="48"/>
        <v>0.56551347139865926</v>
      </c>
      <c r="U117" s="33">
        <f t="shared" si="48"/>
        <v>0.61272895063406407</v>
      </c>
      <c r="V117" s="33">
        <f t="shared" si="48"/>
        <v>0.65788587298929546</v>
      </c>
      <c r="W117" s="33">
        <f t="shared" si="48"/>
        <v>0.69978761828409508</v>
      </c>
      <c r="X117" s="38">
        <f t="shared" si="48"/>
        <v>0.73761040444338111</v>
      </c>
    </row>
    <row r="118" spans="2:24" x14ac:dyDescent="0.35">
      <c r="B118" s="55"/>
      <c r="C118" s="19">
        <v>0.55000000000000004</v>
      </c>
      <c r="D118" s="37">
        <f t="shared" ref="D118:X118" si="49">1/(1+EXP(-D144))</f>
        <v>0.16579577181184399</v>
      </c>
      <c r="E118" s="33">
        <f t="shared" si="49"/>
        <v>0.17357874305516274</v>
      </c>
      <c r="F118" s="33">
        <f t="shared" si="49"/>
        <v>0.18284502983913203</v>
      </c>
      <c r="G118" s="33">
        <f t="shared" si="49"/>
        <v>0.19387695049432499</v>
      </c>
      <c r="H118" s="33">
        <f t="shared" si="49"/>
        <v>0.20700172519575505</v>
      </c>
      <c r="I118" s="33">
        <f t="shared" si="49"/>
        <v>0.22259054843283183</v>
      </c>
      <c r="J118" s="33">
        <f t="shared" si="49"/>
        <v>0.24105110961496812</v>
      </c>
      <c r="K118" s="33">
        <f t="shared" si="49"/>
        <v>0.26280957820094902</v>
      </c>
      <c r="L118" s="33">
        <f t="shared" si="49"/>
        <v>0.28827734665643212</v>
      </c>
      <c r="M118" s="33">
        <f t="shared" si="49"/>
        <v>0.31779831275820664</v>
      </c>
      <c r="N118" s="33">
        <f t="shared" si="49"/>
        <v>0.35157548721378995</v>
      </c>
      <c r="O118" s="33">
        <f t="shared" si="49"/>
        <v>0.38958252094508478</v>
      </c>
      <c r="P118" s="33">
        <f t="shared" si="49"/>
        <v>0.43147636752084556</v>
      </c>
      <c r="Q118" s="33">
        <f t="shared" si="49"/>
        <v>0.47653859797001297</v>
      </c>
      <c r="R118" s="33">
        <f t="shared" si="49"/>
        <v>0.52367770613787767</v>
      </c>
      <c r="S118" s="33">
        <f t="shared" si="49"/>
        <v>0.57151471132666376</v>
      </c>
      <c r="T118" s="33">
        <f t="shared" si="49"/>
        <v>0.61854726639041469</v>
      </c>
      <c r="U118" s="33">
        <f t="shared" si="49"/>
        <v>0.66335387420990766</v>
      </c>
      <c r="V118" s="33">
        <f t="shared" si="49"/>
        <v>0.70477959170472548</v>
      </c>
      <c r="W118" s="33">
        <f t="shared" si="49"/>
        <v>0.74205199053002824</v>
      </c>
      <c r="X118" s="38">
        <f t="shared" si="49"/>
        <v>0.77480672280418206</v>
      </c>
    </row>
    <row r="119" spans="2:24" x14ac:dyDescent="0.35">
      <c r="B119" s="55"/>
      <c r="C119" s="19">
        <v>0.5</v>
      </c>
      <c r="D119" s="37">
        <f t="shared" ref="D119:X119" si="50">1/(1+EXP(-D145))</f>
        <v>0.17465684214162477</v>
      </c>
      <c r="E119" s="33">
        <f t="shared" si="50"/>
        <v>0.18412869006224863</v>
      </c>
      <c r="F119" s="33">
        <f t="shared" si="50"/>
        <v>0.19540481852158242</v>
      </c>
      <c r="G119" s="33">
        <f t="shared" si="50"/>
        <v>0.20881812992883139</v>
      </c>
      <c r="H119" s="33">
        <f t="shared" si="50"/>
        <v>0.22474499280645555</v>
      </c>
      <c r="I119" s="33">
        <f t="shared" si="50"/>
        <v>0.24359667759004058</v>
      </c>
      <c r="J119" s="33">
        <f t="shared" si="50"/>
        <v>0.26579969034476325</v>
      </c>
      <c r="K119" s="33">
        <f t="shared" si="50"/>
        <v>0.29176026924002624</v>
      </c>
      <c r="L119" s="33">
        <f t="shared" si="50"/>
        <v>0.32180903463938454</v>
      </c>
      <c r="M119" s="33">
        <f t="shared" si="50"/>
        <v>0.35612520604707121</v>
      </c>
      <c r="N119" s="33">
        <f t="shared" si="50"/>
        <v>0.39464713257513784</v>
      </c>
      <c r="O119" s="33">
        <f t="shared" si="50"/>
        <v>0.43698684650173308</v>
      </c>
      <c r="P119" s="33">
        <f t="shared" si="50"/>
        <v>0.4823773031449225</v>
      </c>
      <c r="Q119" s="33">
        <f t="shared" si="50"/>
        <v>0.52968434216429172</v>
      </c>
      <c r="R119" s="33">
        <f t="shared" si="50"/>
        <v>0.57750312689295558</v>
      </c>
      <c r="S119" s="33">
        <f t="shared" si="50"/>
        <v>0.62433003755033889</v>
      </c>
      <c r="T119" s="33">
        <f t="shared" si="50"/>
        <v>0.66876792040410937</v>
      </c>
      <c r="U119" s="33">
        <f t="shared" si="50"/>
        <v>0.70970536983058075</v>
      </c>
      <c r="V119" s="33">
        <f t="shared" si="50"/>
        <v>0.74642169472723185</v>
      </c>
      <c r="W119" s="33">
        <f t="shared" si="50"/>
        <v>0.77860148470519674</v>
      </c>
      <c r="X119" s="38">
        <f t="shared" si="50"/>
        <v>0.80627596191364093</v>
      </c>
    </row>
    <row r="120" spans="2:24" x14ac:dyDescent="0.35">
      <c r="B120" s="55"/>
      <c r="C120" s="19">
        <v>0.45</v>
      </c>
      <c r="D120" s="37">
        <f t="shared" ref="D120:X120" si="51">1/(1+EXP(-D146))</f>
        <v>0.18544081192269121</v>
      </c>
      <c r="E120" s="33">
        <f t="shared" si="51"/>
        <v>0.19696641196210424</v>
      </c>
      <c r="F120" s="33">
        <f t="shared" si="51"/>
        <v>0.21067421980458204</v>
      </c>
      <c r="G120" s="33">
        <f t="shared" si="51"/>
        <v>0.22694564801433009</v>
      </c>
      <c r="H120" s="33">
        <f t="shared" si="51"/>
        <v>0.24619524354182126</v>
      </c>
      <c r="I120" s="33">
        <f t="shared" si="51"/>
        <v>0.26884929350715375</v>
      </c>
      <c r="J120" s="33">
        <f t="shared" si="51"/>
        <v>0.2953080083263121</v>
      </c>
      <c r="K120" s="33">
        <f t="shared" si="51"/>
        <v>0.32588752500530616</v>
      </c>
      <c r="L120" s="33">
        <f t="shared" si="51"/>
        <v>0.36074183474888794</v>
      </c>
      <c r="M120" s="33">
        <f t="shared" si="51"/>
        <v>0.39977259576426988</v>
      </c>
      <c r="N120" s="33">
        <f t="shared" si="51"/>
        <v>0.44254604061815817</v>
      </c>
      <c r="O120" s="33">
        <f t="shared" si="51"/>
        <v>0.48824666911346831</v>
      </c>
      <c r="P120" s="33">
        <f t="shared" si="51"/>
        <v>0.53569920183235076</v>
      </c>
      <c r="Q120" s="33">
        <f t="shared" si="51"/>
        <v>0.58347572083718291</v>
      </c>
      <c r="R120" s="33">
        <f t="shared" si="51"/>
        <v>0.63007466054004402</v>
      </c>
      <c r="S120" s="33">
        <f t="shared" si="51"/>
        <v>0.67412611133199107</v>
      </c>
      <c r="T120" s="33">
        <f t="shared" si="51"/>
        <v>0.71456388515582714</v>
      </c>
      <c r="U120" s="33">
        <f t="shared" si="51"/>
        <v>0.75071923294129295</v>
      </c>
      <c r="V120" s="33">
        <f t="shared" si="51"/>
        <v>0.78232470620839101</v>
      </c>
      <c r="W120" s="33">
        <f t="shared" si="51"/>
        <v>0.80944862139198936</v>
      </c>
      <c r="X120" s="38">
        <f t="shared" si="51"/>
        <v>0.83239561393527806</v>
      </c>
    </row>
    <row r="121" spans="2:24" x14ac:dyDescent="0.35">
      <c r="B121" s="55"/>
      <c r="C121" s="19">
        <v>0.4</v>
      </c>
      <c r="D121" s="37">
        <f t="shared" ref="D121:X121" si="52">1/(1+EXP(-D147))</f>
        <v>0.19856244325473107</v>
      </c>
      <c r="E121" s="33">
        <f t="shared" si="52"/>
        <v>0.21257078846281682</v>
      </c>
      <c r="F121" s="33">
        <f t="shared" si="52"/>
        <v>0.22919336172347513</v>
      </c>
      <c r="G121" s="33">
        <f t="shared" si="52"/>
        <v>0.2488476547134045</v>
      </c>
      <c r="H121" s="33">
        <f t="shared" si="52"/>
        <v>0.27195914319598374</v>
      </c>
      <c r="I121" s="33">
        <f t="shared" si="52"/>
        <v>0.29892109366373543</v>
      </c>
      <c r="J121" s="33">
        <f t="shared" si="52"/>
        <v>0.33003391602490978</v>
      </c>
      <c r="K121" s="33">
        <f t="shared" si="52"/>
        <v>0.36542492266703247</v>
      </c>
      <c r="L121" s="33">
        <f t="shared" si="52"/>
        <v>0.40495772745670805</v>
      </c>
      <c r="M121" s="33">
        <f t="shared" si="52"/>
        <v>0.44815198740516177</v>
      </c>
      <c r="N121" s="33">
        <f t="shared" si="52"/>
        <v>0.49414406874159661</v>
      </c>
      <c r="O121" s="33">
        <f t="shared" si="52"/>
        <v>0.54171928328556784</v>
      </c>
      <c r="P121" s="33">
        <f t="shared" si="52"/>
        <v>0.58942952365507562</v>
      </c>
      <c r="Q121" s="33">
        <f t="shared" si="52"/>
        <v>0.63577860649330575</v>
      </c>
      <c r="R121" s="33">
        <f t="shared" si="52"/>
        <v>0.67942664834825084</v>
      </c>
      <c r="S121" s="33">
        <f t="shared" si="52"/>
        <v>0.71935417456943973</v>
      </c>
      <c r="T121" s="33">
        <f t="shared" si="52"/>
        <v>0.75494440924840256</v>
      </c>
      <c r="U121" s="33">
        <f t="shared" si="52"/>
        <v>0.78597678047187813</v>
      </c>
      <c r="V121" s="33">
        <f t="shared" si="52"/>
        <v>0.81255508330093351</v>
      </c>
      <c r="W121" s="33">
        <f t="shared" si="52"/>
        <v>0.83500627725566334</v>
      </c>
      <c r="X121" s="38">
        <f t="shared" si="52"/>
        <v>0.8537810898049456</v>
      </c>
    </row>
    <row r="122" spans="2:24" x14ac:dyDescent="0.35">
      <c r="B122" s="55"/>
      <c r="C122" s="19">
        <v>0.35</v>
      </c>
      <c r="D122" s="37">
        <f t="shared" ref="D122:X122" si="53">1/(1+EXP(-D148))</f>
        <v>0.21450863829629835</v>
      </c>
      <c r="E122" s="33">
        <f t="shared" si="53"/>
        <v>0.23148898521258662</v>
      </c>
      <c r="F122" s="33">
        <f t="shared" si="53"/>
        <v>0.25155475268487898</v>
      </c>
      <c r="G122" s="33">
        <f t="shared" si="53"/>
        <v>0.27512997479084911</v>
      </c>
      <c r="H122" s="33">
        <f t="shared" si="53"/>
        <v>0.30260001506754863</v>
      </c>
      <c r="I122" s="33">
        <f t="shared" si="53"/>
        <v>0.33424827661243522</v>
      </c>
      <c r="J122" s="33">
        <f t="shared" si="53"/>
        <v>0.37017393385453051</v>
      </c>
      <c r="K122" s="33">
        <f t="shared" si="53"/>
        <v>0.41020124631337829</v>
      </c>
      <c r="L122" s="33">
        <f t="shared" si="53"/>
        <v>0.4538026307732177</v>
      </c>
      <c r="M122" s="33">
        <f t="shared" si="53"/>
        <v>0.5000668085627763</v>
      </c>
      <c r="N122" s="33">
        <f t="shared" si="53"/>
        <v>0.54774156507005689</v>
      </c>
      <c r="O122" s="33">
        <f t="shared" si="53"/>
        <v>0.59536160021919926</v>
      </c>
      <c r="P122" s="33">
        <f t="shared" si="53"/>
        <v>0.641439425917952</v>
      </c>
      <c r="Q122" s="33">
        <f t="shared" si="53"/>
        <v>0.68466783604829939</v>
      </c>
      <c r="R122" s="33">
        <f t="shared" si="53"/>
        <v>0.72407537818383516</v>
      </c>
      <c r="S122" s="33">
        <f t="shared" si="53"/>
        <v>0.75909711297591975</v>
      </c>
      <c r="T122" s="33">
        <f t="shared" si="53"/>
        <v>0.78955815965944809</v>
      </c>
      <c r="U122" s="33">
        <f t="shared" si="53"/>
        <v>0.81559615039457278</v>
      </c>
      <c r="V122" s="33">
        <f t="shared" si="53"/>
        <v>0.83755877437164639</v>
      </c>
      <c r="W122" s="33">
        <f t="shared" si="53"/>
        <v>0.85590618043556321</v>
      </c>
      <c r="X122" s="38">
        <f t="shared" si="53"/>
        <v>0.87113458821879719</v>
      </c>
    </row>
    <row r="123" spans="2:24" x14ac:dyDescent="0.35">
      <c r="B123" s="55"/>
      <c r="C123" s="19">
        <v>0.3</v>
      </c>
      <c r="D123" s="37">
        <f t="shared" ref="D123:X123" si="54">1/(1+EXP(-D149))</f>
        <v>0.23383337245889979</v>
      </c>
      <c r="E123" s="33">
        <f t="shared" si="54"/>
        <v>0.25431737185561853</v>
      </c>
      <c r="F123" s="33">
        <f t="shared" si="54"/>
        <v>0.27836250133283097</v>
      </c>
      <c r="G123" s="33">
        <f t="shared" si="54"/>
        <v>0.30634521961377414</v>
      </c>
      <c r="H123" s="33">
        <f t="shared" si="54"/>
        <v>0.3385306094507074</v>
      </c>
      <c r="I123" s="33">
        <f t="shared" si="54"/>
        <v>0.37498824475540932</v>
      </c>
      <c r="J123" s="33">
        <f t="shared" si="54"/>
        <v>0.41550177216842349</v>
      </c>
      <c r="K123" s="33">
        <f t="shared" si="54"/>
        <v>0.45949582316817067</v>
      </c>
      <c r="L123" s="33">
        <f t="shared" si="54"/>
        <v>0.506012133759007</v>
      </c>
      <c r="M123" s="33">
        <f t="shared" si="54"/>
        <v>0.55376301285025531</v>
      </c>
      <c r="N123" s="33">
        <f t="shared" si="54"/>
        <v>0.60126905625198068</v>
      </c>
      <c r="O123" s="33">
        <f t="shared" si="54"/>
        <v>0.64705475301492488</v>
      </c>
      <c r="P123" s="33">
        <f t="shared" si="54"/>
        <v>0.68984808352477756</v>
      </c>
      <c r="Q123" s="33">
        <f t="shared" si="54"/>
        <v>0.72872673787488706</v>
      </c>
      <c r="R123" s="33">
        <f t="shared" si="54"/>
        <v>0.76317731565494074</v>
      </c>
      <c r="S123" s="33">
        <f t="shared" si="54"/>
        <v>0.79306935151688529</v>
      </c>
      <c r="T123" s="33">
        <f t="shared" si="54"/>
        <v>0.81857265544217406</v>
      </c>
      <c r="U123" s="33">
        <f t="shared" si="54"/>
        <v>0.84005408272491999</v>
      </c>
      <c r="V123" s="33">
        <f t="shared" si="54"/>
        <v>0.85798199157723498</v>
      </c>
      <c r="W123" s="33">
        <f t="shared" si="54"/>
        <v>0.87285302040599133</v>
      </c>
      <c r="X123" s="38">
        <f t="shared" si="54"/>
        <v>0.88514417594732253</v>
      </c>
    </row>
    <row r="124" spans="2:24" x14ac:dyDescent="0.35">
      <c r="B124" s="55"/>
      <c r="C124" s="19">
        <v>0.25</v>
      </c>
      <c r="D124" s="37">
        <f t="shared" ref="D124:X124" si="55">1/(1+EXP(-D150))</f>
        <v>0.25713633784186818</v>
      </c>
      <c r="E124" s="33">
        <f t="shared" si="55"/>
        <v>0.28165741122861998</v>
      </c>
      <c r="F124" s="33">
        <f t="shared" si="55"/>
        <v>0.31015710878015001</v>
      </c>
      <c r="G124" s="33">
        <f t="shared" si="55"/>
        <v>0.34288084804374841</v>
      </c>
      <c r="H124" s="33">
        <f t="shared" si="55"/>
        <v>0.379867142050129</v>
      </c>
      <c r="I124" s="33">
        <f t="shared" si="55"/>
        <v>0.4208578257849232</v>
      </c>
      <c r="J124" s="33">
        <f t="shared" si="55"/>
        <v>0.46522932810269696</v>
      </c>
      <c r="K124" s="33">
        <f t="shared" si="55"/>
        <v>0.51197723344444557</v>
      </c>
      <c r="L124" s="33">
        <f t="shared" si="55"/>
        <v>0.55978058621228177</v>
      </c>
      <c r="M124" s="33">
        <f t="shared" si="55"/>
        <v>0.60714904461944308</v>
      </c>
      <c r="N124" s="33">
        <f t="shared" si="55"/>
        <v>0.65262230963522605</v>
      </c>
      <c r="O124" s="33">
        <f>1/(1+EXP(-O150))</f>
        <v>0.69496590524066992</v>
      </c>
      <c r="P124" s="33">
        <f t="shared" si="55"/>
        <v>0.73330759555216662</v>
      </c>
      <c r="Q124" s="33">
        <f t="shared" si="55"/>
        <v>0.76718506786391916</v>
      </c>
      <c r="R124" s="33">
        <f t="shared" si="55"/>
        <v>0.79651091597013335</v>
      </c>
      <c r="S124" s="33">
        <f t="shared" si="55"/>
        <v>0.82148545835312947</v>
      </c>
      <c r="T124" s="33">
        <f t="shared" si="55"/>
        <v>0.84249318767729475</v>
      </c>
      <c r="U124" s="33">
        <f t="shared" si="55"/>
        <v>0.86000951114252111</v>
      </c>
      <c r="V124" s="33">
        <f t="shared" si="55"/>
        <v>0.87453073418687943</v>
      </c>
      <c r="W124" s="33">
        <f t="shared" si="55"/>
        <v>0.88652915120325204</v>
      </c>
      <c r="X124" s="38">
        <f t="shared" si="55"/>
        <v>0.89642901718928603</v>
      </c>
    </row>
    <row r="125" spans="2:24" x14ac:dyDescent="0.35">
      <c r="B125" s="55"/>
      <c r="C125" s="19">
        <v>0.2</v>
      </c>
      <c r="D125" s="37">
        <f t="shared" ref="D125:X125" si="56">1/(1+EXP(-D151))</f>
        <v>0.28501536587087239</v>
      </c>
      <c r="E125" s="33">
        <f t="shared" si="56"/>
        <v>0.31403603554145171</v>
      </c>
      <c r="F125" s="33">
        <f t="shared" si="56"/>
        <v>0.34729885381284353</v>
      </c>
      <c r="G125" s="33">
        <f t="shared" si="56"/>
        <v>0.38480982067899983</v>
      </c>
      <c r="H125" s="33">
        <f t="shared" si="56"/>
        <v>0.42626782892441156</v>
      </c>
      <c r="I125" s="33">
        <f t="shared" si="56"/>
        <v>0.47100082305941465</v>
      </c>
      <c r="J125" s="33">
        <f t="shared" si="56"/>
        <v>0.51795924623160416</v>
      </c>
      <c r="K125" s="33">
        <f t="shared" si="56"/>
        <v>0.56579124552141591</v>
      </c>
      <c r="L125" s="33">
        <f t="shared" si="56"/>
        <v>0.61299877141550196</v>
      </c>
      <c r="M125" s="33">
        <f t="shared" si="56"/>
        <v>0.65813990886276708</v>
      </c>
      <c r="N125" s="33">
        <f t="shared" si="56"/>
        <v>0.70001992152741976</v>
      </c>
      <c r="O125" s="33">
        <f t="shared" si="56"/>
        <v>0.73781739117897938</v>
      </c>
      <c r="P125" s="33">
        <f t="shared" si="56"/>
        <v>0.77112049598255139</v>
      </c>
      <c r="Q125" s="33">
        <f t="shared" si="56"/>
        <v>0.79988346175755431</v>
      </c>
      <c r="R125" s="33">
        <f t="shared" si="56"/>
        <v>0.82433544339814091</v>
      </c>
      <c r="S125" s="33">
        <f t="shared" si="56"/>
        <v>0.84487708057305144</v>
      </c>
      <c r="T125" s="33">
        <f t="shared" si="56"/>
        <v>0.86198972123994289</v>
      </c>
      <c r="U125" s="33">
        <f t="shared" si="56"/>
        <v>0.87616863419726032</v>
      </c>
      <c r="V125" s="33">
        <f t="shared" si="56"/>
        <v>0.8878810300194323</v>
      </c>
      <c r="W125" s="33">
        <f t="shared" si="56"/>
        <v>0.89754422989113569</v>
      </c>
      <c r="X125" s="38">
        <f t="shared" si="56"/>
        <v>0.90551781885820604</v>
      </c>
    </row>
    <row r="126" spans="2:24" x14ac:dyDescent="0.35">
      <c r="B126" s="55"/>
      <c r="C126" s="19">
        <v>0.15</v>
      </c>
      <c r="D126" s="37">
        <f t="shared" ref="D126:X126" si="57">1/(1+EXP(-D152))</f>
        <v>0.31798230142742112</v>
      </c>
      <c r="E126" s="33">
        <f t="shared" si="57"/>
        <v>0.35178441325096083</v>
      </c>
      <c r="F126" s="33">
        <f t="shared" si="57"/>
        <v>0.38981538206198452</v>
      </c>
      <c r="G126" s="33">
        <f t="shared" si="57"/>
        <v>0.43173010474354984</v>
      </c>
      <c r="H126" s="33">
        <f t="shared" si="57"/>
        <v>0.47680790276335111</v>
      </c>
      <c r="I126" s="33">
        <f t="shared" si="57"/>
        <v>0.52395526605774079</v>
      </c>
      <c r="J126" s="33">
        <f t="shared" si="57"/>
        <v>0.57179195879957334</v>
      </c>
      <c r="K126" s="33">
        <f t="shared" si="57"/>
        <v>0.61881550180835054</v>
      </c>
      <c r="L126" s="33">
        <f t="shared" si="57"/>
        <v>0.6636054582138734</v>
      </c>
      <c r="M126" s="33">
        <f t="shared" si="57"/>
        <v>0.70500885871850305</v>
      </c>
      <c r="N126" s="33">
        <f t="shared" si="57"/>
        <v>0.74225566056230019</v>
      </c>
      <c r="O126" s="33">
        <f t="shared" si="57"/>
        <v>0.77498379887449098</v>
      </c>
      <c r="P126" s="33">
        <f t="shared" si="57"/>
        <v>0.80318764310751489</v>
      </c>
      <c r="Q126" s="33">
        <f t="shared" si="57"/>
        <v>0.82712351653039262</v>
      </c>
      <c r="R126" s="33">
        <f t="shared" si="57"/>
        <v>0.84720675690756264</v>
      </c>
      <c r="S126" s="33">
        <f t="shared" si="57"/>
        <v>0.86392359711169731</v>
      </c>
      <c r="T126" s="33">
        <f t="shared" si="57"/>
        <v>0.87776761247033763</v>
      </c>
      <c r="U126" s="33">
        <f t="shared" si="57"/>
        <v>0.8892005929994542</v>
      </c>
      <c r="V126" s="33">
        <f t="shared" si="57"/>
        <v>0.89863280926438027</v>
      </c>
      <c r="W126" s="33">
        <f t="shared" si="57"/>
        <v>0.90641650871013812</v>
      </c>
      <c r="X126" s="38">
        <f t="shared" si="57"/>
        <v>0.91284731342451286</v>
      </c>
    </row>
    <row r="127" spans="2:24" x14ac:dyDescent="0.35">
      <c r="B127" s="55"/>
      <c r="C127" s="19">
        <v>0.1</v>
      </c>
      <c r="D127" s="37">
        <f t="shared" ref="D127:X127" si="58">1/(1+EXP(-D153))</f>
        <v>0.35633723515114957</v>
      </c>
      <c r="E127" s="33">
        <f t="shared" si="58"/>
        <v>0.39488283253321566</v>
      </c>
      <c r="F127" s="33">
        <f t="shared" si="58"/>
        <v>0.43724287852989224</v>
      </c>
      <c r="G127" s="33">
        <f t="shared" si="58"/>
        <v>0.48264808281895261</v>
      </c>
      <c r="H127" s="33">
        <f t="shared" si="58"/>
        <v>0.52996234824684185</v>
      </c>
      <c r="I127" s="33">
        <f t="shared" si="58"/>
        <v>0.57777970858835448</v>
      </c>
      <c r="J127" s="33">
        <f t="shared" si="58"/>
        <v>0.62459656562234378</v>
      </c>
      <c r="K127" s="33">
        <f t="shared" si="58"/>
        <v>0.66901696244694875</v>
      </c>
      <c r="L127" s="33">
        <f t="shared" si="58"/>
        <v>0.70993154893080779</v>
      </c>
      <c r="M127" s="33">
        <f t="shared" si="58"/>
        <v>0.7466220329330584</v>
      </c>
      <c r="N127" s="33">
        <f t="shared" si="58"/>
        <v>0.77877524451672597</v>
      </c>
      <c r="O127" s="33">
        <f t="shared" si="58"/>
        <v>0.80642415647150445</v>
      </c>
      <c r="P127" s="33">
        <f t="shared" si="58"/>
        <v>0.82985060280969558</v>
      </c>
      <c r="Q127" s="33">
        <f t="shared" si="58"/>
        <v>0.84948321460071863</v>
      </c>
      <c r="R127" s="33">
        <f t="shared" si="58"/>
        <v>0.86581210615526627</v>
      </c>
      <c r="S127" s="33">
        <f t="shared" si="58"/>
        <v>0.87932854800705995</v>
      </c>
      <c r="T127" s="33">
        <f t="shared" si="58"/>
        <v>0.89048860598350132</v>
      </c>
      <c r="U127" s="33">
        <f t="shared" si="58"/>
        <v>0.89969540422408867</v>
      </c>
      <c r="V127" s="33">
        <f t="shared" si="58"/>
        <v>0.90729387965236885</v>
      </c>
      <c r="W127" s="33">
        <f t="shared" si="58"/>
        <v>0.91357286858566944</v>
      </c>
      <c r="X127" s="38">
        <f t="shared" si="58"/>
        <v>0.91877084806275233</v>
      </c>
    </row>
    <row r="128" spans="2:24" x14ac:dyDescent="0.35">
      <c r="B128" s="55"/>
      <c r="C128" s="19">
        <v>0.05</v>
      </c>
      <c r="D128" s="37">
        <f t="shared" ref="D128:X128" si="59">1/(1+EXP(-D154))</f>
        <v>0.40001108200834956</v>
      </c>
      <c r="E128" s="33">
        <f t="shared" si="59"/>
        <v>0.44280427878708345</v>
      </c>
      <c r="F128" s="33">
        <f t="shared" si="59"/>
        <v>0.48851880370426398</v>
      </c>
      <c r="G128" s="33">
        <f t="shared" si="59"/>
        <v>0.53597751578055775</v>
      </c>
      <c r="H128" s="33">
        <f t="shared" si="59"/>
        <v>0.58375149876323196</v>
      </c>
      <c r="I128" s="33">
        <f t="shared" si="59"/>
        <v>0.63033936263090573</v>
      </c>
      <c r="J128" s="33">
        <f t="shared" si="59"/>
        <v>0.67437252597850528</v>
      </c>
      <c r="K128" s="33">
        <f t="shared" si="59"/>
        <v>0.7147869295078596</v>
      </c>
      <c r="L128" s="33">
        <f t="shared" si="59"/>
        <v>0.75091622833738514</v>
      </c>
      <c r="M128" s="33">
        <f t="shared" si="59"/>
        <v>0.78249516659262097</v>
      </c>
      <c r="N128" s="33">
        <f t="shared" si="59"/>
        <v>0.80959373732198325</v>
      </c>
      <c r="O128" s="33">
        <f t="shared" si="59"/>
        <v>0.8325176439318589</v>
      </c>
      <c r="P128" s="33">
        <f t="shared" si="59"/>
        <v>0.85170745237334089</v>
      </c>
      <c r="Q128" s="33">
        <f t="shared" si="59"/>
        <v>0.86765620702564428</v>
      </c>
      <c r="R128" s="33">
        <f t="shared" si="59"/>
        <v>0.88085230640074064</v>
      </c>
      <c r="S128" s="33">
        <f t="shared" si="59"/>
        <v>0.89174582000106373</v>
      </c>
      <c r="T128" s="33">
        <f t="shared" si="59"/>
        <v>0.90073264938114694</v>
      </c>
      <c r="U128" s="33">
        <f t="shared" si="59"/>
        <v>0.90815045866025945</v>
      </c>
      <c r="V128" s="33">
        <f t="shared" si="59"/>
        <v>0.91428139208928549</v>
      </c>
      <c r="W128" s="33">
        <f t="shared" si="59"/>
        <v>0.91935808595201829</v>
      </c>
      <c r="X128" s="38">
        <f t="shared" si="59"/>
        <v>0.92357079692118926</v>
      </c>
    </row>
    <row r="129" spans="2:24" ht="15" thickBot="1" x14ac:dyDescent="0.4">
      <c r="B129" s="56"/>
      <c r="C129" s="20">
        <v>0</v>
      </c>
      <c r="D129" s="39">
        <f t="shared" ref="D129:X129" si="60">1/(1+EXP(-D155))</f>
        <v>0.44841233867806329</v>
      </c>
      <c r="E129" s="40">
        <f t="shared" si="60"/>
        <v>0.49441743511229508</v>
      </c>
      <c r="F129" s="40">
        <f t="shared" si="60"/>
        <v>0.54199776574959591</v>
      </c>
      <c r="G129" s="40">
        <f t="shared" si="60"/>
        <v>0.5897043612647358</v>
      </c>
      <c r="H129" s="40">
        <f t="shared" si="60"/>
        <v>0.63604136753825835</v>
      </c>
      <c r="I129" s="40">
        <f t="shared" si="60"/>
        <v>0.67967035490444361</v>
      </c>
      <c r="J129" s="40">
        <f t="shared" si="60"/>
        <v>0.71957404214044796</v>
      </c>
      <c r="K129" s="40">
        <f t="shared" si="60"/>
        <v>0.75513805485944852</v>
      </c>
      <c r="L129" s="40">
        <f t="shared" si="60"/>
        <v>0.78614396106475848</v>
      </c>
      <c r="M129" s="40">
        <f t="shared" si="60"/>
        <v>0.81269715702316658</v>
      </c>
      <c r="N129" s="40">
        <f t="shared" si="60"/>
        <v>0.8351255958648669</v>
      </c>
      <c r="O129" s="40">
        <f t="shared" si="60"/>
        <v>0.85388046822446473</v>
      </c>
      <c r="P129" s="40">
        <f t="shared" si="60"/>
        <v>0.86945684881485152</v>
      </c>
      <c r="Q129" s="40">
        <f t="shared" si="60"/>
        <v>0.88233973951284317</v>
      </c>
      <c r="R129" s="40">
        <f t="shared" si="60"/>
        <v>0.89297297125329944</v>
      </c>
      <c r="S129" s="40">
        <f t="shared" si="60"/>
        <v>0.90174516518873626</v>
      </c>
      <c r="T129" s="40">
        <f t="shared" si="60"/>
        <v>0.90898676007862733</v>
      </c>
      <c r="U129" s="40">
        <f t="shared" si="60"/>
        <v>0.91497330589698089</v>
      </c>
      <c r="V129" s="40">
        <f t="shared" si="60"/>
        <v>0.91993171236765758</v>
      </c>
      <c r="W129" s="40">
        <f t="shared" si="60"/>
        <v>0.92404741582654637</v>
      </c>
      <c r="X129" s="41">
        <f t="shared" si="60"/>
        <v>0.92747134567581047</v>
      </c>
    </row>
    <row r="130" spans="2:24" x14ac:dyDescent="0.35">
      <c r="C130" s="6"/>
      <c r="D130" s="23">
        <v>0</v>
      </c>
      <c r="E130" s="21">
        <v>0.05</v>
      </c>
      <c r="F130" s="21">
        <v>0.1</v>
      </c>
      <c r="G130" s="21">
        <v>0.15</v>
      </c>
      <c r="H130" s="21">
        <v>0.2</v>
      </c>
      <c r="I130" s="21">
        <v>0.25</v>
      </c>
      <c r="J130" s="21">
        <v>0.3</v>
      </c>
      <c r="K130" s="21">
        <v>0.35</v>
      </c>
      <c r="L130" s="21">
        <v>0.4</v>
      </c>
      <c r="M130" s="21">
        <v>0.45</v>
      </c>
      <c r="N130" s="21">
        <v>0.5</v>
      </c>
      <c r="O130" s="21">
        <v>0.55000000000000004</v>
      </c>
      <c r="P130" s="21">
        <v>0.6</v>
      </c>
      <c r="Q130" s="21">
        <v>0.65</v>
      </c>
      <c r="R130" s="21">
        <v>0.7</v>
      </c>
      <c r="S130" s="21">
        <v>0.75</v>
      </c>
      <c r="T130" s="21">
        <v>0.8</v>
      </c>
      <c r="U130" s="21">
        <v>0.85</v>
      </c>
      <c r="V130" s="21">
        <v>0.9</v>
      </c>
      <c r="W130" s="21">
        <v>0.95</v>
      </c>
      <c r="X130" s="22">
        <v>1</v>
      </c>
    </row>
    <row r="131" spans="2:24" ht="21.5" thickBot="1" x14ac:dyDescent="0.55000000000000004">
      <c r="C131" s="6"/>
      <c r="D131" s="57" t="s">
        <v>59</v>
      </c>
      <c r="E131" s="58"/>
      <c r="F131" s="58"/>
      <c r="G131" s="58"/>
      <c r="H131" s="58"/>
      <c r="I131" s="58"/>
      <c r="J131" s="58"/>
      <c r="K131" s="58"/>
      <c r="L131" s="58"/>
      <c r="M131" s="58"/>
      <c r="N131" s="58"/>
      <c r="O131" s="58"/>
      <c r="P131" s="58"/>
      <c r="Q131" s="58"/>
      <c r="R131" s="58"/>
      <c r="S131" s="58"/>
      <c r="T131" s="58"/>
      <c r="U131" s="58"/>
      <c r="V131" s="58"/>
      <c r="W131" s="58"/>
      <c r="X131" s="59"/>
    </row>
    <row r="133" spans="2:24" ht="15" thickBot="1" x14ac:dyDescent="0.4"/>
    <row r="134" spans="2:24" ht="21.5" thickBot="1" x14ac:dyDescent="0.55000000000000004">
      <c r="B134" s="60" t="s">
        <v>11</v>
      </c>
      <c r="C134" s="61"/>
      <c r="D134" s="61"/>
      <c r="E134" s="61"/>
      <c r="F134" s="61"/>
      <c r="G134" s="61"/>
      <c r="H134" s="61"/>
      <c r="I134" s="61"/>
      <c r="J134" s="61"/>
      <c r="K134" s="61"/>
      <c r="L134" s="61"/>
      <c r="M134" s="61"/>
      <c r="N134" s="61"/>
      <c r="O134" s="61"/>
      <c r="P134" s="61"/>
      <c r="Q134" s="61"/>
      <c r="R134" s="61"/>
      <c r="S134" s="61"/>
      <c r="T134" s="61"/>
      <c r="U134" s="61"/>
      <c r="V134" s="61"/>
      <c r="W134" s="61"/>
      <c r="X134" s="62"/>
    </row>
    <row r="135" spans="2:24" x14ac:dyDescent="0.35">
      <c r="B135" s="54" t="s">
        <v>2</v>
      </c>
      <c r="C135" s="22">
        <v>1</v>
      </c>
      <c r="D135" s="35">
        <f>(D161*$P$7) + $P$10</f>
        <v>-1.8869843971593694</v>
      </c>
      <c r="E135" s="34">
        <f t="shared" ref="E135:X135" si="61">(E161*$P$7) + $P$10</f>
        <v>-1.8749053174731332</v>
      </c>
      <c r="F135" s="34">
        <f t="shared" si="61"/>
        <v>-1.860771067534686</v>
      </c>
      <c r="G135" s="34">
        <f t="shared" si="61"/>
        <v>-1.8442478425884459</v>
      </c>
      <c r="H135" s="34">
        <f t="shared" si="61"/>
        <v>-1.8249535183777237</v>
      </c>
      <c r="I135" s="34">
        <f t="shared" si="61"/>
        <v>-1.8024528527219132</v>
      </c>
      <c r="J135" s="34">
        <f t="shared" si="61"/>
        <v>-1.7762530681310784</v>
      </c>
      <c r="K135" s="34">
        <f t="shared" si="61"/>
        <v>-1.7458002378747115</v>
      </c>
      <c r="L135" s="34">
        <f t="shared" si="61"/>
        <v>-1.7104770466565102</v>
      </c>
      <c r="M135" s="34">
        <f t="shared" si="61"/>
        <v>-1.6696026703678195</v>
      </c>
      <c r="N135" s="34">
        <f t="shared" si="61"/>
        <v>-1.6224357088445542</v>
      </c>
      <c r="O135" s="34">
        <f t="shared" si="61"/>
        <v>-1.5681812933326515</v>
      </c>
      <c r="P135" s="34">
        <f t="shared" si="61"/>
        <v>-1.5060036455772776</v>
      </c>
      <c r="Q135" s="34">
        <f t="shared" si="61"/>
        <v>-1.435045440626864</v>
      </c>
      <c r="R135" s="34">
        <f t="shared" si="61"/>
        <v>-1.3544552548640718</v>
      </c>
      <c r="S135" s="34">
        <f t="shared" si="61"/>
        <v>-1.2634240829971943</v>
      </c>
      <c r="T135" s="34">
        <f t="shared" si="61"/>
        <v>-1.1612312956215107</v>
      </c>
      <c r="U135" s="34">
        <f t="shared" si="61"/>
        <v>-1.0472994105164601</v>
      </c>
      <c r="V135" s="34">
        <f t="shared" si="61"/>
        <v>-0.92125564270505045</v>
      </c>
      <c r="W135" s="34">
        <f t="shared" si="61"/>
        <v>-0.78299644886845998</v>
      </c>
      <c r="X135" s="36">
        <f t="shared" si="61"/>
        <v>-0.63274939351302861</v>
      </c>
    </row>
    <row r="136" spans="2:24" x14ac:dyDescent="0.35">
      <c r="B136" s="55"/>
      <c r="C136" s="19">
        <v>0.95</v>
      </c>
      <c r="D136" s="37">
        <f>(D162*$P$7) + $P$10</f>
        <v>-1.8732476596011578</v>
      </c>
      <c r="E136" s="33">
        <f t="shared" ref="E136:X136" si="62">(E162*$P$7) + $P$10</f>
        <v>-1.8588323465331242</v>
      </c>
      <c r="F136" s="33">
        <f t="shared" si="62"/>
        <v>-1.841982771587807</v>
      </c>
      <c r="G136" s="33">
        <f t="shared" si="62"/>
        <v>-1.8223103913767618</v>
      </c>
      <c r="H136" s="33">
        <f t="shared" si="62"/>
        <v>-1.7993729608380062</v>
      </c>
      <c r="I136" s="33">
        <f t="shared" si="62"/>
        <v>-1.7726701908426334</v>
      </c>
      <c r="J136" s="33">
        <f t="shared" si="62"/>
        <v>-1.7416402723409594</v>
      </c>
      <c r="K136" s="33">
        <f t="shared" si="62"/>
        <v>-1.7056578587434206</v>
      </c>
      <c r="L136" s="33">
        <f t="shared" si="62"/>
        <v>-1.6640342742034777</v>
      </c>
      <c r="M136" s="33">
        <f t="shared" si="62"/>
        <v>-1.6160209059231674</v>
      </c>
      <c r="N136" s="33">
        <f t="shared" si="62"/>
        <v>-1.5608169242970678</v>
      </c>
      <c r="O136" s="33">
        <f t="shared" si="62"/>
        <v>-1.4975826228386546</v>
      </c>
      <c r="P136" s="33">
        <f t="shared" si="62"/>
        <v>-1.4254597306681078</v>
      </c>
      <c r="Q136" s="33">
        <f t="shared" si="62"/>
        <v>-1.3435999559256284</v>
      </c>
      <c r="R136" s="33">
        <f t="shared" si="62"/>
        <v>-1.2512026859032135</v>
      </c>
      <c r="S136" s="33">
        <f t="shared" si="62"/>
        <v>-1.1475621123206121</v>
      </c>
      <c r="T136" s="33">
        <f t="shared" si="62"/>
        <v>-1.0321230000527033</v>
      </c>
      <c r="U136" s="33">
        <f t="shared" si="62"/>
        <v>-0.90454286041185195</v>
      </c>
      <c r="V136" s="33">
        <f t="shared" si="62"/>
        <v>-0.76475650893675118</v>
      </c>
      <c r="W136" s="33">
        <f t="shared" si="62"/>
        <v>-0.61303710416229373</v>
      </c>
      <c r="X136" s="38">
        <f t="shared" si="62"/>
        <v>-0.45004615513026525</v>
      </c>
    </row>
    <row r="137" spans="2:24" x14ac:dyDescent="0.35">
      <c r="B137" s="55"/>
      <c r="C137" s="19">
        <v>0.9</v>
      </c>
      <c r="D137" s="37">
        <f t="shared" ref="D137:X137" si="63">(D163*$P$7) + $P$10</f>
        <v>-1.8568552100542823</v>
      </c>
      <c r="E137" s="33">
        <f t="shared" si="63"/>
        <v>-1.8396731495525693</v>
      </c>
      <c r="F137" s="33">
        <f t="shared" si="63"/>
        <v>-1.8196157283773582</v>
      </c>
      <c r="G137" s="33">
        <f t="shared" si="63"/>
        <v>-1.796233629378851</v>
      </c>
      <c r="H137" s="33">
        <f t="shared" si="63"/>
        <v>-1.7690189960827476</v>
      </c>
      <c r="I137" s="33">
        <f t="shared" si="63"/>
        <v>-1.7374021042347452</v>
      </c>
      <c r="J137" s="33">
        <f t="shared" si="63"/>
        <v>-1.7007495780017978</v>
      </c>
      <c r="K137" s="33">
        <f t="shared" si="63"/>
        <v>-1.6583649419335422</v>
      </c>
      <c r="L137" s="33">
        <f t="shared" si="63"/>
        <v>-1.6094924909427699</v>
      </c>
      <c r="M137" s="33">
        <f t="shared" si="63"/>
        <v>-1.5533256436598699</v>
      </c>
      <c r="N137" s="33">
        <f t="shared" si="63"/>
        <v>-1.4890210847785055</v>
      </c>
      <c r="O137" s="33">
        <f t="shared" si="63"/>
        <v>-1.4157200474262273</v>
      </c>
      <c r="P137" s="33">
        <f t="shared" si="63"/>
        <v>-1.3325779670182987</v>
      </c>
      <c r="Q137" s="33">
        <f t="shared" si="63"/>
        <v>-1.2388033692910294</v>
      </c>
      <c r="R137" s="33">
        <f t="shared" si="63"/>
        <v>-1.1337061514805176</v>
      </c>
      <c r="S137" s="33">
        <f t="shared" si="63"/>
        <v>-1.0167543135339328</v>
      </c>
      <c r="T137" s="33">
        <f t="shared" si="63"/>
        <v>-0.88763669122985633</v>
      </c>
      <c r="U137" s="33">
        <f t="shared" si="63"/>
        <v>-0.7463274336898067</v>
      </c>
      <c r="V137" s="33">
        <f t="shared" si="63"/>
        <v>-0.59314609500542925</v>
      </c>
      <c r="W137" s="33">
        <f t="shared" si="63"/>
        <v>-0.42880566915792784</v>
      </c>
      <c r="X137" s="38">
        <f t="shared" si="63"/>
        <v>-0.25444019720500011</v>
      </c>
    </row>
    <row r="138" spans="2:24" x14ac:dyDescent="0.35">
      <c r="B138" s="55"/>
      <c r="C138" s="19">
        <v>0.85</v>
      </c>
      <c r="D138" s="37">
        <f t="shared" ref="D138:X138" si="64">(D164*$P$7) + $P$10</f>
        <v>-1.8373181464838308</v>
      </c>
      <c r="E138" s="33">
        <f t="shared" si="64"/>
        <v>-1.8168685874873625</v>
      </c>
      <c r="F138" s="33">
        <f t="shared" si="64"/>
        <v>-1.7930337966460732</v>
      </c>
      <c r="G138" s="33">
        <f t="shared" si="64"/>
        <v>-1.7652982967365505</v>
      </c>
      <c r="H138" s="33">
        <f t="shared" si="64"/>
        <v>-1.7330844190798007</v>
      </c>
      <c r="I138" s="33">
        <f t="shared" si="64"/>
        <v>-1.6957507660498314</v>
      </c>
      <c r="J138" s="33">
        <f t="shared" si="64"/>
        <v>-1.6525931222484096</v>
      </c>
      <c r="K138" s="33">
        <f t="shared" si="64"/>
        <v>-1.6028488206339895</v>
      </c>
      <c r="L138" s="33">
        <f t="shared" si="64"/>
        <v>-1.545705749844531</v>
      </c>
      <c r="M138" s="33">
        <f t="shared" si="64"/>
        <v>-1.4803173205298426</v>
      </c>
      <c r="N138" s="33">
        <f t="shared" si="64"/>
        <v>-1.405824737393405</v>
      </c>
      <c r="O138" s="33">
        <f t="shared" si="64"/>
        <v>-1.3213877775612919</v>
      </c>
      <c r="P138" s="33">
        <f t="shared" si="64"/>
        <v>-1.226224869556177</v>
      </c>
      <c r="Q138" s="33">
        <f t="shared" si="64"/>
        <v>-1.1196625160110787</v>
      </c>
      <c r="R138" s="33">
        <f t="shared" si="64"/>
        <v>-1.00119294908638</v>
      </c>
      <c r="S138" s="33">
        <f t="shared" si="64"/>
        <v>-0.8705373562388754</v>
      </c>
      <c r="T138" s="33">
        <f t="shared" si="64"/>
        <v>-0.72771018014415279</v>
      </c>
      <c r="U138" s="33">
        <f t="shared" si="64"/>
        <v>-0.57307814083882569</v>
      </c>
      <c r="V138" s="33">
        <f t="shared" si="64"/>
        <v>-0.40740616394986362</v>
      </c>
      <c r="W138" s="33">
        <f t="shared" si="64"/>
        <v>-0.23188184195188954</v>
      </c>
      <c r="X138" s="38">
        <f t="shared" si="64"/>
        <v>-4.8110899916978811E-2</v>
      </c>
    </row>
    <row r="139" spans="2:24" x14ac:dyDescent="0.35">
      <c r="B139" s="55"/>
      <c r="C139" s="19">
        <v>0.8</v>
      </c>
      <c r="D139" s="37">
        <f t="shared" ref="D139:X139" si="65">(D165*$P$7) + $P$10</f>
        <v>-1.8140680121504027</v>
      </c>
      <c r="E139" s="33">
        <f t="shared" si="65"/>
        <v>-1.789772385420465</v>
      </c>
      <c r="F139" s="33">
        <f t="shared" si="65"/>
        <v>-1.7615068896903037</v>
      </c>
      <c r="G139" s="33">
        <f t="shared" si="65"/>
        <v>-1.7286858864986099</v>
      </c>
      <c r="H139" s="33">
        <f t="shared" si="65"/>
        <v>-1.6906599695234035</v>
      </c>
      <c r="I139" s="33">
        <f t="shared" si="65"/>
        <v>-1.6467172508892456</v>
      </c>
      <c r="J139" s="33">
        <f t="shared" si="65"/>
        <v>-1.5960882422554215</v>
      </c>
      <c r="K139" s="33">
        <f t="shared" si="65"/>
        <v>-1.5379555370680389</v>
      </c>
      <c r="L139" s="33">
        <f t="shared" si="65"/>
        <v>-1.4714696223909858</v>
      </c>
      <c r="M139" s="33">
        <f t="shared" si="65"/>
        <v>-1.395772159934594</v>
      </c>
      <c r="N139" s="33">
        <f t="shared" si="65"/>
        <v>-1.3100279019461802</v>
      </c>
      <c r="O139" s="33">
        <f t="shared" si="65"/>
        <v>-1.2134659623398691</v>
      </c>
      <c r="P139" s="33">
        <f t="shared" si="65"/>
        <v>-1.1054303639166858</v>
      </c>
      <c r="Q139" s="33">
        <f t="shared" si="65"/>
        <v>-0.98543857629516618</v>
      </c>
      <c r="R139" s="33">
        <f t="shared" si="65"/>
        <v>-0.85324516331298472</v>
      </c>
      <c r="S139" s="33">
        <f t="shared" si="65"/>
        <v>-0.70890580446591311</v>
      </c>
      <c r="T139" s="33">
        <f t="shared" si="65"/>
        <v>-0.55283512283566294</v>
      </c>
      <c r="U139" s="33">
        <f t="shared" si="65"/>
        <v>-0.38585037242225884</v>
      </c>
      <c r="V139" s="33">
        <f t="shared" si="65"/>
        <v>-0.20919263220527018</v>
      </c>
      <c r="W139" s="33">
        <f t="shared" si="65"/>
        <v>-2.451820186130238E-2</v>
      </c>
      <c r="X139" s="38">
        <f t="shared" si="65"/>
        <v>0.1661443567433849</v>
      </c>
    </row>
    <row r="140" spans="2:24" x14ac:dyDescent="0.35">
      <c r="B140" s="55"/>
      <c r="C140" s="19">
        <v>0.75</v>
      </c>
      <c r="D140" s="37">
        <f t="shared" ref="D140:X140" si="66">(D166*$P$7) + $P$10</f>
        <v>-1.7864483028774718</v>
      </c>
      <c r="E140" s="33">
        <f t="shared" si="66"/>
        <v>-1.7576435558074455</v>
      </c>
      <c r="F140" s="33">
        <f t="shared" si="66"/>
        <v>-1.7242051602772002</v>
      </c>
      <c r="G140" s="33">
        <f t="shared" si="66"/>
        <v>-1.6854757202639561</v>
      </c>
      <c r="H140" s="33">
        <f t="shared" si="66"/>
        <v>-1.6407357509987033</v>
      </c>
      <c r="I140" s="33">
        <f t="shared" si="66"/>
        <v>-1.5892090941503378</v>
      </c>
      <c r="J140" s="33">
        <f t="shared" si="66"/>
        <v>-1.5300732961460803</v>
      </c>
      <c r="K140" s="33">
        <f t="shared" si="66"/>
        <v>-1.4624762869144541</v>
      </c>
      <c r="L140" s="33">
        <f t="shared" si="66"/>
        <v>-1.3855606886786973</v>
      </c>
      <c r="M140" s="33">
        <f t="shared" si="66"/>
        <v>-1.2984968812202249</v>
      </c>
      <c r="N140" s="33">
        <f t="shared" si="66"/>
        <v>-1.2005254644521859</v>
      </c>
      <c r="O140" s="33">
        <f t="shared" si="66"/>
        <v>-1.0910089103526306</v>
      </c>
      <c r="P140" s="33">
        <f t="shared" si="66"/>
        <v>-0.96949093822581445</v>
      </c>
      <c r="Q140" s="33">
        <f t="shared" si="66"/>
        <v>-0.83576050888126052</v>
      </c>
      <c r="R140" s="33">
        <f t="shared" si="66"/>
        <v>-0.68991546320566455</v>
      </c>
      <c r="S140" s="33">
        <f t="shared" si="66"/>
        <v>-0.53241902898682003</v>
      </c>
      <c r="T140" s="33">
        <f t="shared" si="66"/>
        <v>-0.3641411333927056</v>
      </c>
      <c r="U140" s="33">
        <f t="shared" si="66"/>
        <v>-0.18637621208359967</v>
      </c>
      <c r="V140" s="33">
        <f t="shared" si="66"/>
        <v>-8.3046079916249127E-4</v>
      </c>
      <c r="W140" s="33">
        <f t="shared" si="66"/>
        <v>0.19042556325959104</v>
      </c>
      <c r="X140" s="38">
        <f t="shared" si="66"/>
        <v>0.38503864220426487</v>
      </c>
    </row>
    <row r="141" spans="2:24" x14ac:dyDescent="0.35">
      <c r="B141" s="55"/>
      <c r="C141" s="19">
        <v>0.7</v>
      </c>
      <c r="D141" s="37">
        <f t="shared" ref="D141:X141" si="67">(D167*$P$7) + $P$10</f>
        <v>-1.7537070599141182</v>
      </c>
      <c r="E141" s="33">
        <f t="shared" si="67"/>
        <v>-1.719640878443399</v>
      </c>
      <c r="F141" s="33">
        <f t="shared" si="67"/>
        <v>-1.6801965355245545</v>
      </c>
      <c r="G141" s="33">
        <f t="shared" si="67"/>
        <v>-1.634647033495136</v>
      </c>
      <c r="H141" s="33">
        <f t="shared" si="67"/>
        <v>-1.5822097063323826</v>
      </c>
      <c r="I141" s="33">
        <f t="shared" si="67"/>
        <v>-1.5220573153321957</v>
      </c>
      <c r="J141" s="33">
        <f t="shared" si="67"/>
        <v>-1.4533356160333084</v>
      </c>
      <c r="K141" s="33">
        <f t="shared" si="67"/>
        <v>-1.3751887129477696</v>
      </c>
      <c r="L141" s="33">
        <f t="shared" si="67"/>
        <v>-1.2867932848037502</v>
      </c>
      <c r="M141" s="33">
        <f t="shared" si="67"/>
        <v>-1.1874022358190979</v>
      </c>
      <c r="N141" s="33">
        <f t="shared" si="67"/>
        <v>-1.0763974296876051</v>
      </c>
      <c r="O141" s="33">
        <f t="shared" si="67"/>
        <v>-0.95334985342644929</v>
      </c>
      <c r="P141" s="33">
        <f t="shared" si="67"/>
        <v>-0.81808387963745788</v>
      </c>
      <c r="Q141" s="33">
        <f t="shared" si="67"/>
        <v>-0.67074041444774801</v>
      </c>
      <c r="R141" s="33">
        <f t="shared" si="67"/>
        <v>-0.51183195442477403</v>
      </c>
      <c r="S141" s="33">
        <f t="shared" si="67"/>
        <v>-0.3422813908688358</v>
      </c>
      <c r="T141" s="33">
        <f t="shared" si="67"/>
        <v>-0.16343632017929033</v>
      </c>
      <c r="U141" s="33">
        <f t="shared" si="67"/>
        <v>2.2947915392125484E-2</v>
      </c>
      <c r="V141" s="33">
        <f t="shared" si="67"/>
        <v>0.21476006201428732</v>
      </c>
      <c r="W141" s="33">
        <f t="shared" si="67"/>
        <v>0.40961868389193712</v>
      </c>
      <c r="X141" s="38">
        <f t="shared" si="67"/>
        <v>0.60498559517484929</v>
      </c>
    </row>
    <row r="142" spans="2:24" x14ac:dyDescent="0.35">
      <c r="B142" s="55"/>
      <c r="C142" s="19">
        <v>0.65</v>
      </c>
      <c r="D142" s="37">
        <f t="shared" ref="D142:X142" si="68">(D168*$P$7) + $P$10</f>
        <v>-1.714991663359108</v>
      </c>
      <c r="E142" s="33">
        <f t="shared" si="68"/>
        <v>-1.6748209181947795</v>
      </c>
      <c r="F142" s="33">
        <f t="shared" si="68"/>
        <v>-1.628449497470992</v>
      </c>
      <c r="G142" s="33">
        <f t="shared" si="68"/>
        <v>-1.5750884011009125</v>
      </c>
      <c r="H142" s="33">
        <f t="shared" si="68"/>
        <v>-1.5139058811914561</v>
      </c>
      <c r="I142" s="33">
        <f t="shared" si="68"/>
        <v>-1.444045918225211</v>
      </c>
      <c r="J142" s="33">
        <f t="shared" si="68"/>
        <v>-1.3646546392240344</v>
      </c>
      <c r="K142" s="33">
        <f t="shared" si="68"/>
        <v>-1.2749157122406547</v>
      </c>
      <c r="L142" s="33">
        <f t="shared" si="68"/>
        <v>-1.1740951814515339</v>
      </c>
      <c r="M142" s="33">
        <f t="shared" si="68"/>
        <v>-1.0615952575695524</v>
      </c>
      <c r="N142" s="33">
        <f t="shared" si="68"/>
        <v>-0.93701521790699482</v>
      </c>
      <c r="O142" s="33">
        <f t="shared" si="68"/>
        <v>-0.80021585419433605</v>
      </c>
      <c r="P142" s="33">
        <f t="shared" si="68"/>
        <v>-0.65138201886979097</v>
      </c>
      <c r="Q142" s="33">
        <f t="shared" si="68"/>
        <v>-0.49107610162710191</v>
      </c>
      <c r="R142" s="33">
        <f t="shared" si="68"/>
        <v>-0.32027419319695016</v>
      </c>
      <c r="S142" s="33">
        <f t="shared" si="68"/>
        <v>-0.14037678757165417</v>
      </c>
      <c r="T142" s="33">
        <f t="shared" si="68"/>
        <v>4.6812446992303469E-2</v>
      </c>
      <c r="U142" s="33">
        <f t="shared" si="68"/>
        <v>0.23914292329713382</v>
      </c>
      <c r="V142" s="33">
        <f t="shared" si="68"/>
        <v>0.43420679510893678</v>
      </c>
      <c r="W142" s="33">
        <f t="shared" si="68"/>
        <v>0.62945518390902877</v>
      </c>
      <c r="X142" s="38">
        <f t="shared" si="68"/>
        <v>0.82232958439432768</v>
      </c>
    </row>
    <row r="143" spans="2:24" x14ac:dyDescent="0.35">
      <c r="B143" s="55"/>
      <c r="C143" s="19">
        <v>0.6</v>
      </c>
      <c r="D143" s="37">
        <f t="shared" ref="D143:X143" si="69">(D169*$P$7) + $P$10</f>
        <v>-1.6693473570451047</v>
      </c>
      <c r="E143" s="33">
        <f t="shared" si="69"/>
        <v>-1.6221415306160865</v>
      </c>
      <c r="F143" s="33">
        <f t="shared" si="69"/>
        <v>-1.5678434936866563</v>
      </c>
      <c r="G143" s="33">
        <f t="shared" si="69"/>
        <v>-1.5056172795091776</v>
      </c>
      <c r="H143" s="33">
        <f t="shared" si="69"/>
        <v>-1.4346055097144115</v>
      </c>
      <c r="I143" s="33">
        <f t="shared" si="69"/>
        <v>-1.3539568926544181</v>
      </c>
      <c r="J143" s="33">
        <f t="shared" si="69"/>
        <v>-1.2628627949810478</v>
      </c>
      <c r="K143" s="33">
        <f t="shared" si="69"/>
        <v>-1.1606032534345672</v>
      </c>
      <c r="L143" s="33">
        <f t="shared" si="69"/>
        <v>-1.0466017929919542</v>
      </c>
      <c r="M143" s="33">
        <f t="shared" si="69"/>
        <v>-0.92048700709156028</v>
      </c>
      <c r="N143" s="33">
        <f t="shared" si="69"/>
        <v>-0.78215710467831667</v>
      </c>
      <c r="O143" s="33">
        <f t="shared" si="69"/>
        <v>-0.63184174070821419</v>
      </c>
      <c r="P143" s="33">
        <f t="shared" si="69"/>
        <v>-0.47015378049636691</v>
      </c>
      <c r="Q143" s="33">
        <f t="shared" si="69"/>
        <v>-0.29812269206931474</v>
      </c>
      <c r="R143" s="33">
        <f t="shared" si="69"/>
        <v>-0.11720153569906078</v>
      </c>
      <c r="S143" s="33">
        <f t="shared" si="69"/>
        <v>7.0758585600599444E-2</v>
      </c>
      <c r="T143" s="33">
        <f t="shared" si="69"/>
        <v>0.26356917751935005</v>
      </c>
      <c r="U143" s="33">
        <f t="shared" si="69"/>
        <v>0.45879783569528976</v>
      </c>
      <c r="V143" s="33">
        <f t="shared" si="69"/>
        <v>0.65388708487168379</v>
      </c>
      <c r="W143" s="33">
        <f t="shared" si="69"/>
        <v>0.84628672331770516</v>
      </c>
      <c r="X143" s="38">
        <f t="shared" si="69"/>
        <v>1.0335853727462345</v>
      </c>
    </row>
    <row r="144" spans="2:24" x14ac:dyDescent="0.35">
      <c r="B144" s="55"/>
      <c r="C144" s="19">
        <v>0.55000000000000004</v>
      </c>
      <c r="D144" s="37">
        <f t="shared" ref="D144:X144" si="70">(D170*$P$7) + $P$10</f>
        <v>-1.6157215096664441</v>
      </c>
      <c r="E144" s="33">
        <f t="shared" si="70"/>
        <v>-1.5604732929283425</v>
      </c>
      <c r="F144" s="33">
        <f t="shared" si="70"/>
        <v>-1.4971897962351672</v>
      </c>
      <c r="G144" s="33">
        <f t="shared" si="70"/>
        <v>-1.4250127157118313</v>
      </c>
      <c r="H144" s="33">
        <f t="shared" si="70"/>
        <v>-1.3430939185922461</v>
      </c>
      <c r="I144" s="33">
        <f t="shared" si="70"/>
        <v>-1.2506331981949002</v>
      </c>
      <c r="J144" s="33">
        <f t="shared" si="70"/>
        <v>-1.1469254529346915</v>
      </c>
      <c r="K144" s="33">
        <f t="shared" si="70"/>
        <v>-1.0314165003575388</v>
      </c>
      <c r="L144" s="33">
        <f t="shared" si="70"/>
        <v>-0.9037652777401517</v>
      </c>
      <c r="M144" s="33">
        <f t="shared" si="70"/>
        <v>-0.76390839826012868</v>
      </c>
      <c r="N144" s="33">
        <f t="shared" si="70"/>
        <v>-0.61212114862563061</v>
      </c>
      <c r="O144" s="33">
        <f t="shared" si="70"/>
        <v>-0.44906740831336456</v>
      </c>
      <c r="P144" s="33">
        <f t="shared" si="70"/>
        <v>-0.27583014138909423</v>
      </c>
      <c r="Q144" s="33">
        <f t="shared" si="70"/>
        <v>-9.3914574091907399E-2</v>
      </c>
      <c r="R144" s="33">
        <f t="shared" si="70"/>
        <v>9.4781717412400601E-2</v>
      </c>
      <c r="S144" s="33">
        <f t="shared" si="70"/>
        <v>0.28803381920995164</v>
      </c>
      <c r="T144" s="33">
        <f t="shared" si="70"/>
        <v>0.48338666304104394</v>
      </c>
      <c r="U144" s="33">
        <f t="shared" si="70"/>
        <v>0.67827628791539607</v>
      </c>
      <c r="V144" s="33">
        <f t="shared" si="70"/>
        <v>0.87016289392339474</v>
      </c>
      <c r="W144" s="33">
        <f t="shared" si="70"/>
        <v>1.0566612578797672</v>
      </c>
      <c r="X144" s="38">
        <f t="shared" si="70"/>
        <v>1.2356545650945405</v>
      </c>
    </row>
    <row r="145" spans="2:24" x14ac:dyDescent="0.35">
      <c r="B145" s="55"/>
      <c r="C145" s="19">
        <v>0.5</v>
      </c>
      <c r="D145" s="37">
        <f t="shared" ref="D145:X145" si="71">(D171*$P$7) + $P$10</f>
        <v>-1.5529761019809321</v>
      </c>
      <c r="E145" s="33">
        <f t="shared" si="71"/>
        <v>-1.4886217184639592</v>
      </c>
      <c r="F145" s="33">
        <f t="shared" si="71"/>
        <v>-1.4152658716933453</v>
      </c>
      <c r="G145" s="33">
        <f t="shared" si="71"/>
        <v>-1.3320641841756302</v>
      </c>
      <c r="H145" s="33">
        <f t="shared" si="71"/>
        <v>-1.238225622615476</v>
      </c>
      <c r="I145" s="33">
        <f t="shared" si="71"/>
        <v>-1.1330608322230082</v>
      </c>
      <c r="J145" s="33">
        <f t="shared" si="71"/>
        <v>-1.0160389115362438</v>
      </c>
      <c r="K145" s="33">
        <f t="shared" si="71"/>
        <v>-0.88685016983570386</v>
      </c>
      <c r="L145" s="33">
        <f t="shared" si="71"/>
        <v>-0.74547059861707532</v>
      </c>
      <c r="M145" s="33">
        <f t="shared" si="71"/>
        <v>-0.59222191647605626</v>
      </c>
      <c r="N145" s="33">
        <f t="shared" si="71"/>
        <v>-0.42781950956088854</v>
      </c>
      <c r="O145" s="33">
        <f t="shared" si="71"/>
        <v>-0.2533998959921564</v>
      </c>
      <c r="P145" s="33">
        <f t="shared" si="71"/>
        <v>-7.0519997968310211E-2</v>
      </c>
      <c r="Q145" s="33">
        <f t="shared" si="71"/>
        <v>0.11887716660555125</v>
      </c>
      <c r="R145" s="33">
        <f t="shared" si="71"/>
        <v>0.31253181107477768</v>
      </c>
      <c r="S145" s="33">
        <f t="shared" si="71"/>
        <v>0.50796813638733584</v>
      </c>
      <c r="T145" s="33">
        <f t="shared" si="71"/>
        <v>0.70261781821329472</v>
      </c>
      <c r="U145" s="33">
        <f t="shared" si="71"/>
        <v>0.89395353850332504</v>
      </c>
      <c r="V145" s="33">
        <f t="shared" si="71"/>
        <v>1.0796180430575946</v>
      </c>
      <c r="W145" s="33">
        <f t="shared" si="71"/>
        <v>1.2575350277988433</v>
      </c>
      <c r="X145" s="38">
        <f t="shared" si="71"/>
        <v>1.4259914061332386</v>
      </c>
    </row>
    <row r="146" spans="2:24" x14ac:dyDescent="0.35">
      <c r="B146" s="55"/>
      <c r="C146" s="19">
        <v>0.45</v>
      </c>
      <c r="D146" s="37">
        <f t="shared" ref="D146:X146" si="72">(D172*$P$7) + $P$10</f>
        <v>-1.4799113354514701</v>
      </c>
      <c r="E146" s="33">
        <f t="shared" si="72"/>
        <v>-1.4053633247163202</v>
      </c>
      <c r="F146" s="33">
        <f t="shared" si="72"/>
        <v>-1.3208661799420311</v>
      </c>
      <c r="G146" s="33">
        <f t="shared" si="72"/>
        <v>-1.2256388064112209</v>
      </c>
      <c r="H146" s="33">
        <f t="shared" si="72"/>
        <v>-1.1190084967120497</v>
      </c>
      <c r="I146" s="33">
        <f t="shared" si="72"/>
        <v>-1.000468627914183</v>
      </c>
      <c r="J146" s="33">
        <f t="shared" si="72"/>
        <v>-0.86974190843241606</v>
      </c>
      <c r="K146" s="33">
        <f t="shared" si="72"/>
        <v>-0.72684466732256015</v>
      </c>
      <c r="L146" s="33">
        <f t="shared" si="72"/>
        <v>-0.57214582396403646</v>
      </c>
      <c r="M146" s="33">
        <f t="shared" si="72"/>
        <v>-0.40641271561542625</v>
      </c>
      <c r="N146" s="33">
        <f t="shared" si="72"/>
        <v>-0.23083541022535647</v>
      </c>
      <c r="O146" s="33">
        <f t="shared" si="72"/>
        <v>-4.7021985694819968E-2</v>
      </c>
      <c r="P146" s="33">
        <f t="shared" si="72"/>
        <v>0.14304019883130237</v>
      </c>
      <c r="Q146" s="33">
        <f t="shared" si="72"/>
        <v>0.3370580881113836</v>
      </c>
      <c r="R146" s="33">
        <f t="shared" si="72"/>
        <v>0.53253712112415985</v>
      </c>
      <c r="S146" s="33">
        <f t="shared" si="72"/>
        <v>0.72690674026443003</v>
      </c>
      <c r="T146" s="33">
        <f t="shared" si="72"/>
        <v>0.917654167580362</v>
      </c>
      <c r="U146" s="33">
        <f t="shared" si="72"/>
        <v>1.1024518844859681</v>
      </c>
      <c r="V146" s="33">
        <f t="shared" si="72"/>
        <v>1.2792654052997154</v>
      </c>
      <c r="W146" s="33">
        <f t="shared" si="72"/>
        <v>1.4464314393621776</v>
      </c>
      <c r="X146" s="38">
        <f t="shared" si="72"/>
        <v>1.6027014677836482</v>
      </c>
    </row>
    <row r="147" spans="2:24" x14ac:dyDescent="0.35">
      <c r="B147" s="55"/>
      <c r="C147" s="19">
        <v>0.4</v>
      </c>
      <c r="D147" s="37">
        <f t="shared" ref="D147:X147" si="73">(D173*$P$7) + $P$10</f>
        <v>-1.3953034347743887</v>
      </c>
      <c r="E147" s="33">
        <f t="shared" si="73"/>
        <v>-1.3094984214783572</v>
      </c>
      <c r="F147" s="33">
        <f t="shared" si="73"/>
        <v>-1.2128715270846491</v>
      </c>
      <c r="G147" s="33">
        <f t="shared" si="73"/>
        <v>-1.1047676070038106</v>
      </c>
      <c r="H147" s="33">
        <f t="shared" si="73"/>
        <v>-0.98470532243022046</v>
      </c>
      <c r="I147" s="33">
        <f t="shared" si="73"/>
        <v>-0.85244080546124157</v>
      </c>
      <c r="J147" s="33">
        <f t="shared" si="73"/>
        <v>-0.70803166515851612</v>
      </c>
      <c r="K147" s="33">
        <f t="shared" si="73"/>
        <v>-0.55189475719382886</v>
      </c>
      <c r="L147" s="33">
        <f t="shared" si="73"/>
        <v>-0.38484976430439444</v>
      </c>
      <c r="M147" s="33">
        <f t="shared" si="73"/>
        <v>-0.2081402363811653</v>
      </c>
      <c r="N147" s="33">
        <f t="shared" si="73"/>
        <v>-2.3424796114779323E-2</v>
      </c>
      <c r="O147" s="33">
        <f t="shared" si="73"/>
        <v>0.16726602480469288</v>
      </c>
      <c r="P147" s="33">
        <f t="shared" si="73"/>
        <v>0.36160756177273057</v>
      </c>
      <c r="Q147" s="33">
        <f t="shared" si="73"/>
        <v>0.55708849307723285</v>
      </c>
      <c r="R147" s="33">
        <f t="shared" si="73"/>
        <v>0.751138161830603</v>
      </c>
      <c r="S147" s="33">
        <f t="shared" si="73"/>
        <v>0.94126036308692362</v>
      </c>
      <c r="T147" s="33">
        <f t="shared" si="73"/>
        <v>1.1251590305701169</v>
      </c>
      <c r="U147" s="33">
        <f t="shared" si="73"/>
        <v>1.300842739004729</v>
      </c>
      <c r="V147" s="33">
        <f t="shared" si="73"/>
        <v>1.4666986820934522</v>
      </c>
      <c r="W147" s="33">
        <f t="shared" si="73"/>
        <v>1.6215318132908785</v>
      </c>
      <c r="X147" s="38">
        <f t="shared" si="73"/>
        <v>1.764569942155304</v>
      </c>
    </row>
    <row r="148" spans="2:24" x14ac:dyDescent="0.35">
      <c r="B148" s="55"/>
      <c r="C148" s="19">
        <v>0.35</v>
      </c>
      <c r="D148" s="37">
        <f t="shared" ref="D148:X148" si="74">(D174*$P$7) + $P$10</f>
        <v>-1.2979594511058827</v>
      </c>
      <c r="E148" s="33">
        <f t="shared" si="74"/>
        <v>-1.1999226033966703</v>
      </c>
      <c r="F148" s="33">
        <f t="shared" si="74"/>
        <v>-1.0903373809464556</v>
      </c>
      <c r="G148" s="33">
        <f t="shared" si="74"/>
        <v>-0.96874874159667024</v>
      </c>
      <c r="H148" s="33">
        <f t="shared" si="74"/>
        <v>-0.83494726148836107</v>
      </c>
      <c r="I148" s="33">
        <f t="shared" si="74"/>
        <v>-0.6890327533463978</v>
      </c>
      <c r="J148" s="33">
        <f t="shared" si="74"/>
        <v>-0.53147070910497507</v>
      </c>
      <c r="K148" s="33">
        <f t="shared" si="74"/>
        <v>-0.36313349932678607</v>
      </c>
      <c r="L148" s="33">
        <f t="shared" si="74"/>
        <v>-0.18531802298888689</v>
      </c>
      <c r="M148" s="33">
        <f t="shared" si="74"/>
        <v>2.6723425269548073E-4</v>
      </c>
      <c r="N148" s="33">
        <f t="shared" si="74"/>
        <v>0.19154980398881327</v>
      </c>
      <c r="O148" s="33">
        <f t="shared" si="74"/>
        <v>0.38617512417243671</v>
      </c>
      <c r="P148" s="33">
        <f t="shared" si="74"/>
        <v>0.5816171427763257</v>
      </c>
      <c r="Q148" s="33">
        <f t="shared" si="74"/>
        <v>0.77530723779804922</v>
      </c>
      <c r="R148" s="33">
        <f t="shared" si="74"/>
        <v>0.96476778142558994</v>
      </c>
      <c r="S148" s="33">
        <f t="shared" si="74"/>
        <v>1.1477358239209889</v>
      </c>
      <c r="T148" s="33">
        <f t="shared" si="74"/>
        <v>1.3222641754013542</v>
      </c>
      <c r="U148" s="33">
        <f t="shared" si="74"/>
        <v>1.4867911314319759</v>
      </c>
      <c r="V148" s="33">
        <f t="shared" si="74"/>
        <v>1.6401751916871892</v>
      </c>
      <c r="W148" s="33">
        <f t="shared" si="74"/>
        <v>1.7816961556611448</v>
      </c>
      <c r="X148" s="38">
        <f t="shared" si="74"/>
        <v>1.9110279462070003</v>
      </c>
    </row>
    <row r="149" spans="2:24" x14ac:dyDescent="0.35">
      <c r="B149" s="55"/>
      <c r="C149" s="19">
        <v>0.3</v>
      </c>
      <c r="D149" s="37">
        <f t="shared" ref="D149:X149" si="75">(D175*$P$7) + $P$10</f>
        <v>-1.186790897314677</v>
      </c>
      <c r="E149" s="33">
        <f t="shared" si="75"/>
        <v>-1.0757170956970352</v>
      </c>
      <c r="F149" s="33">
        <f t="shared" si="75"/>
        <v>-0.9525987075005149</v>
      </c>
      <c r="G149" s="33">
        <f t="shared" si="75"/>
        <v>-0.81726176742239387</v>
      </c>
      <c r="H149" s="33">
        <f t="shared" si="75"/>
        <v>-0.66984919469244009</v>
      </c>
      <c r="I149" s="33">
        <f t="shared" si="75"/>
        <v>-0.5108757797907062</v>
      </c>
      <c r="J149" s="33">
        <f t="shared" si="75"/>
        <v>-0.34126686953535912</v>
      </c>
      <c r="K149" s="33">
        <f t="shared" si="75"/>
        <v>-0.16237251296301336</v>
      </c>
      <c r="L149" s="33">
        <f t="shared" si="75"/>
        <v>2.4049694139770317E-2</v>
      </c>
      <c r="M149" s="33">
        <f t="shared" si="75"/>
        <v>0.21588664836715998</v>
      </c>
      <c r="N149" s="33">
        <f t="shared" si="75"/>
        <v>0.41075565232424505</v>
      </c>
      <c r="O149" s="33">
        <f t="shared" si="75"/>
        <v>0.60611797969753867</v>
      </c>
      <c r="P149" s="33">
        <f t="shared" si="75"/>
        <v>0.79940917395768252</v>
      </c>
      <c r="Q149" s="33">
        <f t="shared" si="75"/>
        <v>0.98817215640771505</v>
      </c>
      <c r="R149" s="33">
        <f t="shared" si="75"/>
        <v>1.1701787032201436</v>
      </c>
      <c r="S149" s="33">
        <f t="shared" si="75"/>
        <v>1.343526966787737</v>
      </c>
      <c r="T149" s="33">
        <f t="shared" si="75"/>
        <v>1.5067068913525661</v>
      </c>
      <c r="U149" s="33">
        <f t="shared" si="75"/>
        <v>1.6586305328986752</v>
      </c>
      <c r="V149" s="33">
        <f t="shared" si="75"/>
        <v>1.798629240991046</v>
      </c>
      <c r="W149" s="33">
        <f t="shared" si="75"/>
        <v>1.926423443241714</v>
      </c>
      <c r="X149" s="38">
        <f t="shared" si="75"/>
        <v>2.0420729044850638</v>
      </c>
    </row>
    <row r="150" spans="2:24" x14ac:dyDescent="0.35">
      <c r="B150" s="55"/>
      <c r="C150" s="19">
        <v>0.25</v>
      </c>
      <c r="D150" s="37">
        <f t="shared" ref="D150:X150" si="76">(D176*$P$7) + $P$10</f>
        <v>-1.0609060897874223</v>
      </c>
      <c r="E150" s="33">
        <f t="shared" si="76"/>
        <v>-0.93625511978144527</v>
      </c>
      <c r="F150" s="33">
        <f t="shared" si="76"/>
        <v>-0.79938490616605806</v>
      </c>
      <c r="G150" s="33">
        <f t="shared" si="76"/>
        <v>-0.65048235464291615</v>
      </c>
      <c r="H150" s="33">
        <f t="shared" si="76"/>
        <v>-0.49011217669579854</v>
      </c>
      <c r="I150" s="33">
        <f t="shared" si="76"/>
        <v>-0.31925292807875616</v>
      </c>
      <c r="J150" s="33">
        <f t="shared" si="76"/>
        <v>-0.13930754160962366</v>
      </c>
      <c r="K150" s="33">
        <f t="shared" si="76"/>
        <v>4.7918100579335876E-2</v>
      </c>
      <c r="L150" s="33">
        <f t="shared" si="76"/>
        <v>0.24027162629801047</v>
      </c>
      <c r="M150" s="33">
        <f t="shared" si="76"/>
        <v>0.43534401240825438</v>
      </c>
      <c r="N150" s="33">
        <f t="shared" si="76"/>
        <v>0.63058593647204719</v>
      </c>
      <c r="O150" s="33">
        <f t="shared" si="76"/>
        <v>0.82343923069780289</v>
      </c>
      <c r="P150" s="33">
        <f t="shared" si="76"/>
        <v>1.0114693020663081</v>
      </c>
      <c r="Q150" s="33">
        <f t="shared" si="76"/>
        <v>1.1924842049418556</v>
      </c>
      <c r="R150" s="33">
        <f t="shared" si="76"/>
        <v>1.3646284718648543</v>
      </c>
      <c r="S150" s="33">
        <f t="shared" si="76"/>
        <v>1.5264441722751145</v>
      </c>
      <c r="T150" s="33">
        <f t="shared" si="76"/>
        <v>1.6768968661779688</v>
      </c>
      <c r="U150" s="33">
        <f t="shared" si="76"/>
        <v>1.8153689650852394</v>
      </c>
      <c r="V150" s="33">
        <f t="shared" si="76"/>
        <v>1.9416266040478083</v>
      </c>
      <c r="W150" s="33">
        <f t="shared" si="76"/>
        <v>2.0557680433140657</v>
      </c>
      <c r="X150" s="38">
        <f t="shared" si="76"/>
        <v>2.1581619103139511</v>
      </c>
    </row>
    <row r="151" spans="2:24" x14ac:dyDescent="0.35">
      <c r="B151" s="55"/>
      <c r="C151" s="19">
        <v>0.2</v>
      </c>
      <c r="D151" s="37">
        <f t="shared" ref="D151:X151" si="77">(D177*$P$7) + $P$10</f>
        <v>-0.91971795758292041</v>
      </c>
      <c r="E151" s="33">
        <f t="shared" si="77"/>
        <v>-0.78131735420796811</v>
      </c>
      <c r="F151" s="33">
        <f t="shared" si="77"/>
        <v>-0.63093370224520529</v>
      </c>
      <c r="G151" s="33">
        <f t="shared" si="77"/>
        <v>-0.46918221469067012</v>
      </c>
      <c r="H151" s="33">
        <f t="shared" si="77"/>
        <v>-0.29709483140224235</v>
      </c>
      <c r="I151" s="33">
        <f t="shared" si="77"/>
        <v>-0.11612703449206974</v>
      </c>
      <c r="J151" s="33">
        <f t="shared" si="77"/>
        <v>7.1867902072815015E-2</v>
      </c>
      <c r="K151" s="33">
        <f t="shared" si="77"/>
        <v>0.26469976644452697</v>
      </c>
      <c r="L151" s="33">
        <f t="shared" si="77"/>
        <v>0.45993506405636775</v>
      </c>
      <c r="M151" s="33">
        <f t="shared" si="77"/>
        <v>0.65501597305396309</v>
      </c>
      <c r="N151" s="33">
        <f t="shared" si="77"/>
        <v>0.84739272660344489</v>
      </c>
      <c r="O151" s="33">
        <f t="shared" si="77"/>
        <v>1.0346551153398458</v>
      </c>
      <c r="P151" s="33">
        <f t="shared" si="77"/>
        <v>1.2146489649318368</v>
      </c>
      <c r="Q151" s="33">
        <f t="shared" si="77"/>
        <v>1.3855661561918986</v>
      </c>
      <c r="R151" s="33">
        <f t="shared" si="77"/>
        <v>1.5460012905258165</v>
      </c>
      <c r="S151" s="33">
        <f t="shared" si="77"/>
        <v>1.694973318799202</v>
      </c>
      <c r="T151" s="33">
        <f t="shared" si="77"/>
        <v>1.8319151801250306</v>
      </c>
      <c r="U151" s="33">
        <f t="shared" si="77"/>
        <v>1.9566378903754031</v>
      </c>
      <c r="V151" s="33">
        <f t="shared" si="77"/>
        <v>2.0692772193180788</v>
      </c>
      <c r="W151" s="33">
        <f t="shared" si="77"/>
        <v>2.1702312060461937</v>
      </c>
      <c r="X151" s="38">
        <f t="shared" si="77"/>
        <v>2.2600956982297955</v>
      </c>
    </row>
    <row r="152" spans="2:24" x14ac:dyDescent="0.35">
      <c r="B152" s="55"/>
      <c r="C152" s="19">
        <v>0.15</v>
      </c>
      <c r="D152" s="37">
        <f t="shared" ref="D152:X152" si="78">(D178*$P$7) + $P$10</f>
        <v>-0.76305988315020956</v>
      </c>
      <c r="E152" s="33">
        <f t="shared" si="78"/>
        <v>-0.61120481101054613</v>
      </c>
      <c r="F152" s="33">
        <f t="shared" si="78"/>
        <v>-0.44808831601869237</v>
      </c>
      <c r="G152" s="33">
        <f t="shared" si="78"/>
        <v>-0.27479583810602759</v>
      </c>
      <c r="H152" s="33">
        <f t="shared" si="78"/>
        <v>-9.283500515755061E-2</v>
      </c>
      <c r="I152" s="33">
        <f t="shared" si="78"/>
        <v>9.5894481872015769E-2</v>
      </c>
      <c r="J152" s="33">
        <f t="shared" si="78"/>
        <v>0.28916606177405169</v>
      </c>
      <c r="K152" s="33">
        <f t="shared" si="78"/>
        <v>0.48452366464938179</v>
      </c>
      <c r="L152" s="33">
        <f t="shared" si="78"/>
        <v>0.67940308084006529</v>
      </c>
      <c r="M152" s="33">
        <f t="shared" si="78"/>
        <v>0.87126504195680687</v>
      </c>
      <c r="N152" s="33">
        <f t="shared" si="78"/>
        <v>1.057725578623981</v>
      </c>
      <c r="O152" s="33">
        <f t="shared" si="78"/>
        <v>1.2366697198423189</v>
      </c>
      <c r="P152" s="33">
        <f t="shared" si="78"/>
        <v>1.4063375925069919</v>
      </c>
      <c r="Q152" s="33">
        <f t="shared" si="78"/>
        <v>1.5653766676881229</v>
      </c>
      <c r="R152" s="33">
        <f t="shared" si="78"/>
        <v>1.712859114675463</v>
      </c>
      <c r="S152" s="33">
        <f t="shared" si="78"/>
        <v>1.8482678216882815</v>
      </c>
      <c r="T152" s="33">
        <f t="shared" si="78"/>
        <v>1.9714578316328522</v>
      </c>
      <c r="U152" s="33">
        <f t="shared" si="78"/>
        <v>2.0826014266625661</v>
      </c>
      <c r="V152" s="33">
        <f t="shared" si="78"/>
        <v>2.1821250314691829</v>
      </c>
      <c r="W152" s="33">
        <f t="shared" si="78"/>
        <v>2.2706449302217102</v>
      </c>
      <c r="X152" s="38">
        <f t="shared" si="78"/>
        <v>2.3489070319728684</v>
      </c>
    </row>
    <row r="153" spans="2:24" x14ac:dyDescent="0.35">
      <c r="B153" s="55"/>
      <c r="C153" s="19">
        <v>0.1</v>
      </c>
      <c r="D153" s="37">
        <f t="shared" ref="D153:X153" si="79">(D179*$P$7) + $P$10</f>
        <v>-0.59129735967443864</v>
      </c>
      <c r="E153" s="33">
        <f t="shared" si="79"/>
        <v>-0.42683301011391284</v>
      </c>
      <c r="F153" s="33">
        <f t="shared" si="79"/>
        <v>-0.25235930766044556</v>
      </c>
      <c r="G153" s="33">
        <f t="shared" si="79"/>
        <v>-6.9435552726513805E-2</v>
      </c>
      <c r="H153" s="33">
        <f t="shared" si="79"/>
        <v>0.11999316137037552</v>
      </c>
      <c r="I153" s="33">
        <f t="shared" si="79"/>
        <v>0.31366547361986918</v>
      </c>
      <c r="J153" s="33">
        <f t="shared" si="79"/>
        <v>0.50910467361806666</v>
      </c>
      <c r="K153" s="33">
        <f t="shared" si="79"/>
        <v>0.70374228673432282</v>
      </c>
      <c r="L153" s="33">
        <f t="shared" si="79"/>
        <v>0.89505162213349165</v>
      </c>
      <c r="M153" s="33">
        <f t="shared" si="79"/>
        <v>1.0806767621885112</v>
      </c>
      <c r="N153" s="33">
        <f t="shared" si="79"/>
        <v>1.2585433084235815</v>
      </c>
      <c r="O153" s="33">
        <f t="shared" si="79"/>
        <v>1.4269404609156011</v>
      </c>
      <c r="P153" s="33">
        <f t="shared" si="79"/>
        <v>1.5845688298472191</v>
      </c>
      <c r="Q153" s="33">
        <f t="shared" si="79"/>
        <v>1.7305535729031172</v>
      </c>
      <c r="R153" s="33">
        <f t="shared" si="79"/>
        <v>1.8644269068657986</v>
      </c>
      <c r="S153" s="33">
        <f t="shared" si="79"/>
        <v>1.9860870228294718</v>
      </c>
      <c r="T153" s="33">
        <f t="shared" si="79"/>
        <v>2.0957417087819668</v>
      </c>
      <c r="U153" s="33">
        <f t="shared" si="79"/>
        <v>2.1938447520732494</v>
      </c>
      <c r="V153" s="33">
        <f t="shared" si="79"/>
        <v>2.2810319169215454</v>
      </c>
      <c r="W153" s="33">
        <f t="shared" si="79"/>
        <v>2.3580614936884743</v>
      </c>
      <c r="X153" s="38">
        <f t="shared" si="79"/>
        <v>2.4257625452955365</v>
      </c>
    </row>
    <row r="154" spans="2:24" x14ac:dyDescent="0.35">
      <c r="B154" s="55"/>
      <c r="C154" s="19">
        <v>0.05</v>
      </c>
      <c r="D154" s="37">
        <f t="shared" ref="D154:X154" si="80">(D180*$P$7) + $P$10</f>
        <v>-0.40541893328657852</v>
      </c>
      <c r="E154" s="33">
        <f t="shared" si="80"/>
        <v>-0.22978869897759058</v>
      </c>
      <c r="F154" s="33">
        <f t="shared" si="80"/>
        <v>-4.5932859347182164E-2</v>
      </c>
      <c r="G154" s="33">
        <f t="shared" si="80"/>
        <v>0.14415920359862899</v>
      </c>
      <c r="H154" s="33">
        <f t="shared" si="80"/>
        <v>0.33819293579851606</v>
      </c>
      <c r="I154" s="33">
        <f t="shared" si="80"/>
        <v>0.53367295674060311</v>
      </c>
      <c r="J154" s="33">
        <f t="shared" si="80"/>
        <v>0.72802865715025944</v>
      </c>
      <c r="K154" s="33">
        <f t="shared" si="80"/>
        <v>0.91874798088957843</v>
      </c>
      <c r="L154" s="33">
        <f t="shared" si="80"/>
        <v>1.1035048264572633</v>
      </c>
      <c r="M154" s="33">
        <f t="shared" si="80"/>
        <v>1.2802666726723089</v>
      </c>
      <c r="N154" s="33">
        <f t="shared" si="80"/>
        <v>1.4473725489492135</v>
      </c>
      <c r="O154" s="33">
        <f t="shared" si="80"/>
        <v>1.6035764067319749</v>
      </c>
      <c r="P154" s="33">
        <f t="shared" si="80"/>
        <v>1.748056106237333</v>
      </c>
      <c r="Q154" s="33">
        <f t="shared" si="80"/>
        <v>1.8803925323426818</v>
      </c>
      <c r="R154" s="33">
        <f t="shared" si="80"/>
        <v>2.0005261225122357</v>
      </c>
      <c r="S154" s="33">
        <f t="shared" si="80"/>
        <v>2.1086991563708501</v>
      </c>
      <c r="T154" s="33">
        <f t="shared" si="80"/>
        <v>2.2053917654223474</v>
      </c>
      <c r="U154" s="33">
        <f t="shared" si="80"/>
        <v>2.2912582501749776</v>
      </c>
      <c r="V154" s="33">
        <f t="shared" si="80"/>
        <v>2.3670684623644247</v>
      </c>
      <c r="W154" s="33">
        <f t="shared" si="80"/>
        <v>2.4336571540980874</v>
      </c>
      <c r="X154" s="38">
        <f t="shared" si="80"/>
        <v>2.4918825958399253</v>
      </c>
    </row>
    <row r="155" spans="2:24" ht="15" thickBot="1" x14ac:dyDescent="0.4">
      <c r="B155" s="56"/>
      <c r="C155" s="20">
        <v>0</v>
      </c>
      <c r="D155" s="39">
        <f t="shared" ref="D155:X155" si="81">(D181*$P$7) + $P$10</f>
        <v>-0.20708756883930901</v>
      </c>
      <c r="E155" s="40">
        <f t="shared" si="81"/>
        <v>-2.233118751786245E-2</v>
      </c>
      <c r="F155" s="40">
        <f t="shared" si="81"/>
        <v>0.16838781681965398</v>
      </c>
      <c r="G155" s="40">
        <f t="shared" si="81"/>
        <v>0.3627433587755482</v>
      </c>
      <c r="H155" s="40">
        <f t="shared" si="81"/>
        <v>0.55822339042875302</v>
      </c>
      <c r="I155" s="40">
        <f t="shared" si="81"/>
        <v>0.75225730194443829</v>
      </c>
      <c r="J155" s="40">
        <f t="shared" si="81"/>
        <v>0.94234970353487202</v>
      </c>
      <c r="K155" s="40">
        <f t="shared" si="81"/>
        <v>1.1262060241489518</v>
      </c>
      <c r="L155" s="40">
        <f t="shared" si="81"/>
        <v>1.3018368588374953</v>
      </c>
      <c r="M155" s="40">
        <f t="shared" si="81"/>
        <v>1.4676317514971149</v>
      </c>
      <c r="N155" s="40">
        <f t="shared" si="81"/>
        <v>1.6223981307583786</v>
      </c>
      <c r="O155" s="40">
        <f t="shared" si="81"/>
        <v>1.7653662195032018</v>
      </c>
      <c r="P155" s="40">
        <f t="shared" si="81"/>
        <v>1.8961648724486262</v>
      </c>
      <c r="Q155" s="40">
        <f t="shared" si="81"/>
        <v>2.0147758506995928</v>
      </c>
      <c r="R155" s="40">
        <f t="shared" si="81"/>
        <v>2.1214749053929465</v>
      </c>
      <c r="S155" s="40">
        <f t="shared" si="81"/>
        <v>2.2167674993684852</v>
      </c>
      <c r="T155" s="40">
        <f t="shared" si="81"/>
        <v>2.3013255391262222</v>
      </c>
      <c r="U155" s="40">
        <f t="shared" si="81"/>
        <v>2.3759296355085811</v>
      </c>
      <c r="V155" s="40">
        <f t="shared" si="81"/>
        <v>2.4414195756281059</v>
      </c>
      <c r="W155" s="40">
        <f t="shared" si="81"/>
        <v>2.4986541330247771</v>
      </c>
      <c r="X155" s="41">
        <f t="shared" si="81"/>
        <v>2.5484801840194855</v>
      </c>
    </row>
    <row r="156" spans="2:24" x14ac:dyDescent="0.35">
      <c r="C156" s="6"/>
      <c r="D156" s="23">
        <v>0</v>
      </c>
      <c r="E156" s="21">
        <v>0.05</v>
      </c>
      <c r="F156" s="21">
        <v>0.1</v>
      </c>
      <c r="G156" s="21">
        <v>0.15</v>
      </c>
      <c r="H156" s="21">
        <v>0.2</v>
      </c>
      <c r="I156" s="21">
        <v>0.25</v>
      </c>
      <c r="J156" s="21">
        <v>0.3</v>
      </c>
      <c r="K156" s="21">
        <v>0.35</v>
      </c>
      <c r="L156" s="21">
        <v>0.4</v>
      </c>
      <c r="M156" s="21">
        <v>0.45</v>
      </c>
      <c r="N156" s="21">
        <v>0.5</v>
      </c>
      <c r="O156" s="21">
        <v>0.55000000000000004</v>
      </c>
      <c r="P156" s="21">
        <v>0.6</v>
      </c>
      <c r="Q156" s="21">
        <v>0.65</v>
      </c>
      <c r="R156" s="21">
        <v>0.7</v>
      </c>
      <c r="S156" s="21">
        <v>0.75</v>
      </c>
      <c r="T156" s="21">
        <v>0.8</v>
      </c>
      <c r="U156" s="21">
        <v>0.85</v>
      </c>
      <c r="V156" s="21">
        <v>0.9</v>
      </c>
      <c r="W156" s="21">
        <v>0.95</v>
      </c>
      <c r="X156" s="22">
        <v>1</v>
      </c>
    </row>
    <row r="157" spans="2:24" ht="21.5" thickBot="1" x14ac:dyDescent="0.55000000000000004">
      <c r="C157" s="6"/>
      <c r="D157" s="57" t="s">
        <v>59</v>
      </c>
      <c r="E157" s="58"/>
      <c r="F157" s="58"/>
      <c r="G157" s="58"/>
      <c r="H157" s="58"/>
      <c r="I157" s="58"/>
      <c r="J157" s="58"/>
      <c r="K157" s="58"/>
      <c r="L157" s="58"/>
      <c r="M157" s="58"/>
      <c r="N157" s="58"/>
      <c r="O157" s="58"/>
      <c r="P157" s="58"/>
      <c r="Q157" s="58"/>
      <c r="R157" s="58"/>
      <c r="S157" s="58"/>
      <c r="T157" s="58"/>
      <c r="U157" s="58"/>
      <c r="V157" s="58"/>
      <c r="W157" s="58"/>
      <c r="X157" s="59"/>
    </row>
    <row r="159" spans="2:24" ht="15" thickBot="1" x14ac:dyDescent="0.4"/>
    <row r="160" spans="2:24" ht="21.5" thickBot="1" x14ac:dyDescent="0.55000000000000004">
      <c r="B160" s="60" t="s">
        <v>13</v>
      </c>
      <c r="C160" s="61"/>
      <c r="D160" s="61"/>
      <c r="E160" s="61"/>
      <c r="F160" s="61"/>
      <c r="G160" s="61"/>
      <c r="H160" s="61"/>
      <c r="I160" s="61"/>
      <c r="J160" s="61"/>
      <c r="K160" s="61"/>
      <c r="L160" s="61"/>
      <c r="M160" s="61"/>
      <c r="N160" s="61"/>
      <c r="O160" s="61"/>
      <c r="P160" s="61"/>
      <c r="Q160" s="61"/>
      <c r="R160" s="61"/>
      <c r="S160" s="61"/>
      <c r="T160" s="61"/>
      <c r="U160" s="61"/>
      <c r="V160" s="61"/>
      <c r="W160" s="61"/>
      <c r="X160" s="62"/>
    </row>
    <row r="161" spans="2:24" x14ac:dyDescent="0.35">
      <c r="B161" s="54" t="s">
        <v>2</v>
      </c>
      <c r="C161" s="22">
        <v>1</v>
      </c>
      <c r="D161" s="35">
        <f>1/(1+EXP(-D187))</f>
        <v>1.4462838017191611E-2</v>
      </c>
      <c r="E161" s="34">
        <f>1/(1+EXP(-E187))</f>
        <v>1.6974333641286359E-2</v>
      </c>
      <c r="F161" s="34">
        <f t="shared" ref="F161:X161" si="82">1/(1+EXP(-F187))</f>
        <v>1.991314254000736E-2</v>
      </c>
      <c r="G161" s="34">
        <f t="shared" si="82"/>
        <v>2.3348669767772973E-2</v>
      </c>
      <c r="H161" s="34">
        <f t="shared" si="82"/>
        <v>2.7360367023178123E-2</v>
      </c>
      <c r="I161" s="34">
        <f t="shared" si="82"/>
        <v>3.203873034237855E-2</v>
      </c>
      <c r="J161" s="34">
        <f t="shared" si="82"/>
        <v>3.7486218566757469E-2</v>
      </c>
      <c r="K161" s="34">
        <f t="shared" si="82"/>
        <v>4.381800475551114E-2</v>
      </c>
      <c r="L161" s="34">
        <f t="shared" si="82"/>
        <v>5.1162441788628894E-2</v>
      </c>
      <c r="M161" s="34">
        <f t="shared" si="82"/>
        <v>5.9661087368690913E-2</v>
      </c>
      <c r="N161" s="34">
        <f t="shared" si="82"/>
        <v>6.9468094238800959E-2</v>
      </c>
      <c r="O161" s="34">
        <f t="shared" si="82"/>
        <v>8.0748732390499331E-2</v>
      </c>
      <c r="P161" s="34">
        <f t="shared" si="82"/>
        <v>9.3676777764027594E-2</v>
      </c>
      <c r="Q161" s="34">
        <f t="shared" si="82"/>
        <v>0.10843048631267205</v>
      </c>
      <c r="R161" s="34">
        <f t="shared" si="82"/>
        <v>0.12518688697777119</v>
      </c>
      <c r="S161" s="34">
        <f t="shared" si="82"/>
        <v>0.1441141890354263</v>
      </c>
      <c r="T161" s="34">
        <f t="shared" si="82"/>
        <v>0.16536222654945365</v>
      </c>
      <c r="U161" s="34">
        <f t="shared" si="82"/>
        <v>0.18905107026262552</v>
      </c>
      <c r="V161" s="34">
        <f t="shared" si="82"/>
        <v>0.21525823004016034</v>
      </c>
      <c r="W161" s="34">
        <f t="shared" si="82"/>
        <v>0.244005234723566</v>
      </c>
      <c r="X161" s="36">
        <f t="shared" si="82"/>
        <v>0.27524476884869137</v>
      </c>
    </row>
    <row r="162" spans="2:24" x14ac:dyDescent="0.35">
      <c r="B162" s="55"/>
      <c r="C162" s="19">
        <v>0.95</v>
      </c>
      <c r="D162" s="37">
        <f>1/(1+EXP(-D188))</f>
        <v>1.7318995701629928E-2</v>
      </c>
      <c r="E162" s="33">
        <f t="shared" ref="E162:X162" si="83">1/(1+EXP(-E188))</f>
        <v>2.0316243557488969E-2</v>
      </c>
      <c r="F162" s="33">
        <f t="shared" si="83"/>
        <v>2.381962583844539E-2</v>
      </c>
      <c r="G162" s="33">
        <f t="shared" si="83"/>
        <v>2.7909928916076861E-2</v>
      </c>
      <c r="H162" s="33">
        <f t="shared" si="83"/>
        <v>3.2679104873389514E-2</v>
      </c>
      <c r="I162" s="33">
        <f t="shared" si="83"/>
        <v>3.8231174380059345E-2</v>
      </c>
      <c r="J162" s="33">
        <f t="shared" si="83"/>
        <v>4.4682949395814145E-2</v>
      </c>
      <c r="K162" s="33">
        <f t="shared" si="83"/>
        <v>5.2164452676031731E-2</v>
      </c>
      <c r="L162" s="33">
        <f t="shared" si="83"/>
        <v>6.081887446532757E-2</v>
      </c>
      <c r="M162" s="33">
        <f t="shared" si="83"/>
        <v>7.080186716562839E-2</v>
      </c>
      <c r="N162" s="33">
        <f t="shared" si="83"/>
        <v>8.2279940155289777E-2</v>
      </c>
      <c r="O162" s="33">
        <f t="shared" si="83"/>
        <v>9.5427686136836262E-2</v>
      </c>
      <c r="P162" s="33">
        <f t="shared" si="83"/>
        <v>0.11042355774200367</v>
      </c>
      <c r="Q162" s="33">
        <f t="shared" si="83"/>
        <v>0.12744393275363494</v>
      </c>
      <c r="R162" s="33">
        <f t="shared" si="83"/>
        <v>0.14665527545253404</v>
      </c>
      <c r="S162" s="33">
        <f t="shared" si="83"/>
        <v>0.16820433827790543</v>
      </c>
      <c r="T162" s="33">
        <f t="shared" si="83"/>
        <v>0.19220656633180222</v>
      </c>
      <c r="U162" s="33">
        <f t="shared" si="83"/>
        <v>0.21873317024141131</v>
      </c>
      <c r="V162" s="33">
        <f t="shared" si="83"/>
        <v>0.2477977032321094</v>
      </c>
      <c r="W162" s="33">
        <f t="shared" si="83"/>
        <v>0.2793433698788404</v>
      </c>
      <c r="X162" s="38">
        <f t="shared" si="83"/>
        <v>0.31323262848911609</v>
      </c>
    </row>
    <row r="163" spans="2:24" x14ac:dyDescent="0.35">
      <c r="B163" s="55"/>
      <c r="C163" s="19">
        <v>0.9</v>
      </c>
      <c r="D163" s="37">
        <f t="shared" ref="D163:X163" si="84">1/(1+EXP(-D189))</f>
        <v>2.0727331963545901E-2</v>
      </c>
      <c r="E163" s="33">
        <f t="shared" si="84"/>
        <v>2.4299845009565006E-2</v>
      </c>
      <c r="F163" s="33">
        <f t="shared" si="84"/>
        <v>2.8470206230839779E-2</v>
      </c>
      <c r="G163" s="33">
        <f t="shared" si="84"/>
        <v>3.3331838146706275E-2</v>
      </c>
      <c r="H163" s="33">
        <f t="shared" si="84"/>
        <v>3.8990334837674299E-2</v>
      </c>
      <c r="I163" s="33">
        <f t="shared" si="84"/>
        <v>4.5564154001580912E-2</v>
      </c>
      <c r="J163" s="33">
        <f t="shared" si="84"/>
        <v>5.3184987842999805E-2</v>
      </c>
      <c r="K163" s="33">
        <f t="shared" si="84"/>
        <v>6.1997648308810577E-2</v>
      </c>
      <c r="L163" s="33">
        <f t="shared" si="84"/>
        <v>7.215926243757334E-2</v>
      </c>
      <c r="M163" s="33">
        <f t="shared" si="84"/>
        <v>8.3837535520823001E-2</v>
      </c>
      <c r="N163" s="33">
        <f t="shared" si="84"/>
        <v>9.720781061089584E-2</v>
      </c>
      <c r="O163" s="33">
        <f t="shared" si="84"/>
        <v>0.11244864346686437</v>
      </c>
      <c r="P163" s="33">
        <f t="shared" si="84"/>
        <v>0.12973563689241316</v>
      </c>
      <c r="Q163" s="33">
        <f t="shared" si="84"/>
        <v>0.14923335509288527</v>
      </c>
      <c r="R163" s="33">
        <f t="shared" si="84"/>
        <v>0.17108528499913436</v>
      </c>
      <c r="S163" s="33">
        <f t="shared" si="84"/>
        <v>0.19540204065125372</v>
      </c>
      <c r="T163" s="33">
        <f t="shared" si="84"/>
        <v>0.22224831965872732</v>
      </c>
      <c r="U163" s="33">
        <f t="shared" si="84"/>
        <v>0.25162949696483505</v>
      </c>
      <c r="V163" s="33">
        <f t="shared" si="84"/>
        <v>0.28347913052898471</v>
      </c>
      <c r="W163" s="33">
        <f t="shared" si="84"/>
        <v>0.31764897385307267</v>
      </c>
      <c r="X163" s="38">
        <f t="shared" si="84"/>
        <v>0.35390323586460543</v>
      </c>
    </row>
    <row r="164" spans="2:24" x14ac:dyDescent="0.35">
      <c r="B164" s="55"/>
      <c r="C164" s="19">
        <v>0.85</v>
      </c>
      <c r="D164" s="37">
        <f t="shared" ref="D164:X164" si="85">1/(1+EXP(-D190))</f>
        <v>2.4789499855422645E-2</v>
      </c>
      <c r="E164" s="33">
        <f t="shared" si="85"/>
        <v>2.9041394806725913E-2</v>
      </c>
      <c r="F164" s="33">
        <f t="shared" si="85"/>
        <v>3.3997150911830608E-2</v>
      </c>
      <c r="G164" s="33">
        <f t="shared" si="85"/>
        <v>3.9763946765840795E-2</v>
      </c>
      <c r="H164" s="33">
        <f t="shared" si="85"/>
        <v>4.6461891880172621E-2</v>
      </c>
      <c r="I164" s="33">
        <f t="shared" si="85"/>
        <v>5.4224346359471993E-2</v>
      </c>
      <c r="J164" s="33">
        <f t="shared" si="85"/>
        <v>6.319773144915046E-2</v>
      </c>
      <c r="K164" s="33">
        <f t="shared" si="85"/>
        <v>7.3540621725023222E-2</v>
      </c>
      <c r="L164" s="33">
        <f t="shared" si="85"/>
        <v>8.5421872280774733E-2</v>
      </c>
      <c r="M164" s="33">
        <f t="shared" si="85"/>
        <v>9.901750691156494E-2</v>
      </c>
      <c r="N164" s="33">
        <f t="shared" si="85"/>
        <v>0.11450608728643057</v>
      </c>
      <c r="O164" s="33">
        <f t="shared" si="85"/>
        <v>0.13206231347573663</v>
      </c>
      <c r="P164" s="33">
        <f t="shared" si="85"/>
        <v>0.15184869068651957</v>
      </c>
      <c r="Q164" s="33">
        <f t="shared" si="85"/>
        <v>0.17400525323711752</v>
      </c>
      <c r="R164" s="33">
        <f t="shared" si="85"/>
        <v>0.19863757677901892</v>
      </c>
      <c r="S164" s="33">
        <f t="shared" si="85"/>
        <v>0.22580363232494918</v>
      </c>
      <c r="T164" s="33">
        <f t="shared" si="85"/>
        <v>0.25550041693780706</v>
      </c>
      <c r="U164" s="33">
        <f t="shared" si="85"/>
        <v>0.28765168178149353</v>
      </c>
      <c r="V164" s="33">
        <f t="shared" si="85"/>
        <v>0.32209838267261098</v>
      </c>
      <c r="W164" s="33">
        <f t="shared" si="85"/>
        <v>0.3585935940687589</v>
      </c>
      <c r="X164" s="38">
        <f t="shared" si="85"/>
        <v>0.39680345183485655</v>
      </c>
    </row>
    <row r="165" spans="2:24" x14ac:dyDescent="0.35">
      <c r="B165" s="55"/>
      <c r="C165" s="19">
        <v>0.8</v>
      </c>
      <c r="D165" s="37">
        <f t="shared" ref="D165:X165" si="86">1/(1+EXP(-D191))</f>
        <v>2.962369353199526E-2</v>
      </c>
      <c r="E165" s="33">
        <f t="shared" si="86"/>
        <v>3.4675267145372918E-2</v>
      </c>
      <c r="F165" s="33">
        <f t="shared" si="86"/>
        <v>4.0552260317299645E-2</v>
      </c>
      <c r="G165" s="33">
        <f t="shared" si="86"/>
        <v>4.7376439645155616E-2</v>
      </c>
      <c r="H165" s="33">
        <f t="shared" si="86"/>
        <v>5.5282830410525126E-2</v>
      </c>
      <c r="I165" s="33">
        <f t="shared" si="86"/>
        <v>6.4419449128776313E-2</v>
      </c>
      <c r="J165" s="33">
        <f t="shared" si="86"/>
        <v>7.4946288667801231E-2</v>
      </c>
      <c r="K165" s="33">
        <f t="shared" si="86"/>
        <v>8.7033305103437722E-2</v>
      </c>
      <c r="L165" s="33">
        <f t="shared" si="86"/>
        <v>0.10085713010606792</v>
      </c>
      <c r="M165" s="33">
        <f t="shared" si="86"/>
        <v>0.11659623032335791</v>
      </c>
      <c r="N165" s="33">
        <f t="shared" si="86"/>
        <v>0.13442427139295465</v>
      </c>
      <c r="O165" s="33">
        <f t="shared" si="86"/>
        <v>0.15450153680347176</v>
      </c>
      <c r="P165" s="33">
        <f t="shared" si="86"/>
        <v>0.17696441806051444</v>
      </c>
      <c r="Q165" s="33">
        <f t="shared" si="86"/>
        <v>0.20191324341532535</v>
      </c>
      <c r="R165" s="33">
        <f t="shared" si="86"/>
        <v>0.2293990442265581</v>
      </c>
      <c r="S165" s="33">
        <f t="shared" si="86"/>
        <v>0.25941024355179537</v>
      </c>
      <c r="T165" s="33">
        <f t="shared" si="86"/>
        <v>0.29186063250075611</v>
      </c>
      <c r="U165" s="33">
        <f t="shared" si="86"/>
        <v>0.32658028671677136</v>
      </c>
      <c r="V165" s="33">
        <f t="shared" si="86"/>
        <v>0.36331115968410405</v>
      </c>
      <c r="W165" s="33">
        <f t="shared" si="86"/>
        <v>0.40170887173989589</v>
      </c>
      <c r="X165" s="38">
        <f t="shared" si="86"/>
        <v>0.44135164205459237</v>
      </c>
    </row>
    <row r="166" spans="2:24" x14ac:dyDescent="0.35">
      <c r="B166" s="55"/>
      <c r="C166" s="19">
        <v>0.75</v>
      </c>
      <c r="D166" s="37">
        <f t="shared" ref="D166:X166" si="87">1/(1+EXP(-D192))</f>
        <v>3.5366414068624882E-2</v>
      </c>
      <c r="E166" s="33">
        <f t="shared" si="87"/>
        <v>4.1355528976274654E-2</v>
      </c>
      <c r="F166" s="33">
        <f t="shared" si="87"/>
        <v>4.8308077202829779E-2</v>
      </c>
      <c r="G166" s="33">
        <f t="shared" si="87"/>
        <v>5.6360745257312203E-2</v>
      </c>
      <c r="H166" s="33">
        <f t="shared" si="87"/>
        <v>6.5663129209613744E-2</v>
      </c>
      <c r="I166" s="33">
        <f t="shared" si="87"/>
        <v>7.6376608759414114E-2</v>
      </c>
      <c r="J166" s="33">
        <f t="shared" si="87"/>
        <v>8.8672189364307083E-2</v>
      </c>
      <c r="K166" s="33">
        <f t="shared" si="87"/>
        <v>0.10272703437709134</v>
      </c>
      <c r="L166" s="33">
        <f t="shared" si="87"/>
        <v>0.11871941073452588</v>
      </c>
      <c r="M166" s="33">
        <f t="shared" si="87"/>
        <v>0.13682181399113635</v>
      </c>
      <c r="N166" s="33">
        <f t="shared" si="87"/>
        <v>0.1571921394539002</v>
      </c>
      <c r="O166" s="33">
        <f t="shared" si="87"/>
        <v>0.17996294265510601</v>
      </c>
      <c r="P166" s="33">
        <f t="shared" si="87"/>
        <v>0.20522909398227393</v>
      </c>
      <c r="Q166" s="33">
        <f t="shared" si="87"/>
        <v>0.23303447293758159</v>
      </c>
      <c r="R166" s="33">
        <f t="shared" si="87"/>
        <v>0.26335873633552348</v>
      </c>
      <c r="S166" s="33">
        <f t="shared" si="87"/>
        <v>0.29610556934150756</v>
      </c>
      <c r="T166" s="33">
        <f t="shared" si="87"/>
        <v>0.33109409573545651</v>
      </c>
      <c r="U166" s="33">
        <f t="shared" si="87"/>
        <v>0.36805517502149587</v>
      </c>
      <c r="V166" s="33">
        <f t="shared" si="87"/>
        <v>0.40663405309208472</v>
      </c>
      <c r="W166" s="33">
        <f t="shared" si="87"/>
        <v>0.44640021740116281</v>
      </c>
      <c r="X166" s="38">
        <f t="shared" si="87"/>
        <v>0.48686438427954604</v>
      </c>
    </row>
    <row r="167" spans="2:24" x14ac:dyDescent="0.35">
      <c r="B167" s="55"/>
      <c r="C167" s="19">
        <v>0.7</v>
      </c>
      <c r="D167" s="37">
        <f t="shared" ref="D167:X167" si="88">1/(1+EXP(-D193))</f>
        <v>4.2174009561482088E-2</v>
      </c>
      <c r="E167" s="33">
        <f t="shared" si="88"/>
        <v>4.925708773595746E-2</v>
      </c>
      <c r="F167" s="33">
        <f t="shared" si="88"/>
        <v>5.7458399194217927E-2</v>
      </c>
      <c r="G167" s="33">
        <f t="shared" si="88"/>
        <v>6.692910209527847E-2</v>
      </c>
      <c r="H167" s="33">
        <f t="shared" si="88"/>
        <v>7.7831929225274404E-2</v>
      </c>
      <c r="I167" s="33">
        <f t="shared" si="88"/>
        <v>9.0338880971602212E-2</v>
      </c>
      <c r="J167" s="33">
        <f t="shared" si="88"/>
        <v>0.10462757278859351</v>
      </c>
      <c r="K167" s="33">
        <f t="shared" si="88"/>
        <v>0.12087596341387644</v>
      </c>
      <c r="L167" s="33">
        <f t="shared" si="88"/>
        <v>0.139255238717992</v>
      </c>
      <c r="M167" s="33">
        <f t="shared" si="88"/>
        <v>0.15992073568325957</v>
      </c>
      <c r="N167" s="33">
        <f t="shared" si="88"/>
        <v>0.18300097789495717</v>
      </c>
      <c r="O167" s="33">
        <f t="shared" si="88"/>
        <v>0.20858516620753953</v>
      </c>
      <c r="P167" s="33">
        <f t="shared" si="88"/>
        <v>0.23670981726411519</v>
      </c>
      <c r="Q167" s="33">
        <f t="shared" si="88"/>
        <v>0.26734563370670195</v>
      </c>
      <c r="R167" s="33">
        <f t="shared" si="88"/>
        <v>0.30038605668148316</v>
      </c>
      <c r="S167" s="33">
        <f t="shared" si="88"/>
        <v>0.33563919760733957</v>
      </c>
      <c r="T167" s="33">
        <f t="shared" si="88"/>
        <v>0.37282486274866006</v>
      </c>
      <c r="U167" s="33">
        <f t="shared" si="88"/>
        <v>0.41157807940069058</v>
      </c>
      <c r="V167" s="33">
        <f t="shared" si="88"/>
        <v>0.45145987332897314</v>
      </c>
      <c r="W167" s="33">
        <f t="shared" si="88"/>
        <v>0.49197509376588194</v>
      </c>
      <c r="X167" s="38">
        <f t="shared" si="88"/>
        <v>0.53259599829878568</v>
      </c>
    </row>
    <row r="168" spans="2:24" x14ac:dyDescent="0.35">
      <c r="B168" s="55"/>
      <c r="C168" s="19">
        <v>0.65</v>
      </c>
      <c r="D168" s="37">
        <f t="shared" ref="D168:X168" si="89">1/(1+EXP(-D194))</f>
        <v>5.0223757684577569E-2</v>
      </c>
      <c r="E168" s="33">
        <f t="shared" si="89"/>
        <v>5.8576103502098367E-2</v>
      </c>
      <c r="F168" s="33">
        <f t="shared" si="89"/>
        <v>6.8217700648241328E-2</v>
      </c>
      <c r="G168" s="33">
        <f t="shared" si="89"/>
        <v>7.931259889475753E-2</v>
      </c>
      <c r="H168" s="33">
        <f t="shared" si="89"/>
        <v>9.203373618461079E-2</v>
      </c>
      <c r="I168" s="33">
        <f t="shared" si="89"/>
        <v>0.10655909704377201</v>
      </c>
      <c r="J168" s="33">
        <f t="shared" si="89"/>
        <v>0.12306621968739026</v>
      </c>
      <c r="K168" s="33">
        <f t="shared" si="89"/>
        <v>0.14172483675790501</v>
      </c>
      <c r="L168" s="33">
        <f t="shared" si="89"/>
        <v>0.16268755316289002</v>
      </c>
      <c r="M168" s="33">
        <f t="shared" si="89"/>
        <v>0.18607866191288341</v>
      </c>
      <c r="N168" s="33">
        <f t="shared" si="89"/>
        <v>0.21198148171285394</v>
      </c>
      <c r="O168" s="33">
        <f t="shared" si="89"/>
        <v>0.24042495690035323</v>
      </c>
      <c r="P168" s="33">
        <f t="shared" si="89"/>
        <v>0.27137065275173178</v>
      </c>
      <c r="Q168" s="33">
        <f t="shared" si="89"/>
        <v>0.30470163657910621</v>
      </c>
      <c r="R168" s="33">
        <f t="shared" si="89"/>
        <v>0.34021495851688205</v>
      </c>
      <c r="S168" s="33">
        <f t="shared" si="89"/>
        <v>0.37761942630334372</v>
      </c>
      <c r="T168" s="33">
        <f t="shared" si="89"/>
        <v>0.41654001923731671</v>
      </c>
      <c r="U168" s="33">
        <f t="shared" si="89"/>
        <v>0.45652958484719053</v>
      </c>
      <c r="V168" s="33">
        <f t="shared" si="89"/>
        <v>0.49708748107769135</v>
      </c>
      <c r="W168" s="33">
        <f t="shared" si="89"/>
        <v>0.5376837422847216</v>
      </c>
      <c r="X168" s="38">
        <f t="shared" si="89"/>
        <v>0.57778640121251124</v>
      </c>
    </row>
    <row r="169" spans="2:24" x14ac:dyDescent="0.35">
      <c r="B169" s="55"/>
      <c r="C169" s="19">
        <v>0.6</v>
      </c>
      <c r="D169" s="37">
        <f t="shared" ref="D169:X169" si="90">1/(1+EXP(-D195))</f>
        <v>5.9714172397470233E-2</v>
      </c>
      <c r="E169" s="33">
        <f t="shared" si="90"/>
        <v>6.9529260101821366E-2</v>
      </c>
      <c r="F169" s="33">
        <f t="shared" si="90"/>
        <v>8.0818968066956071E-2</v>
      </c>
      <c r="G169" s="33">
        <f t="shared" si="90"/>
        <v>9.3757111424748255E-2</v>
      </c>
      <c r="H169" s="33">
        <f t="shared" si="90"/>
        <v>0.10852195723514538</v>
      </c>
      <c r="I169" s="33">
        <f t="shared" si="90"/>
        <v>0.12529050700026229</v>
      </c>
      <c r="J169" s="33">
        <f t="shared" si="90"/>
        <v>0.14423089266128411</v>
      </c>
      <c r="K169" s="33">
        <f t="shared" si="90"/>
        <v>0.16549280977642358</v>
      </c>
      <c r="L169" s="33">
        <f t="shared" si="90"/>
        <v>0.18919611967082545</v>
      </c>
      <c r="M169" s="33">
        <f t="shared" si="90"/>
        <v>0.21541804560806355</v>
      </c>
      <c r="N169" s="33">
        <f t="shared" si="90"/>
        <v>0.24417975209702586</v>
      </c>
      <c r="O169" s="33">
        <f t="shared" si="90"/>
        <v>0.27543348902495496</v>
      </c>
      <c r="P169" s="33">
        <f t="shared" si="90"/>
        <v>0.30905182875687787</v>
      </c>
      <c r="Q169" s="33">
        <f t="shared" si="90"/>
        <v>0.34482072316073803</v>
      </c>
      <c r="R169" s="33">
        <f t="shared" si="90"/>
        <v>0.38243805033573869</v>
      </c>
      <c r="S169" s="33">
        <f t="shared" si="90"/>
        <v>0.42151892689343806</v>
      </c>
      <c r="T169" s="33">
        <f t="shared" si="90"/>
        <v>0.46160831867341279</v>
      </c>
      <c r="U169" s="33">
        <f t="shared" si="90"/>
        <v>0.50220047746722063</v>
      </c>
      <c r="V169" s="33">
        <f t="shared" si="90"/>
        <v>0.54276365018746875</v>
      </c>
      <c r="W169" s="33">
        <f t="shared" si="90"/>
        <v>0.58276759606632555</v>
      </c>
      <c r="X169" s="38">
        <f t="shared" si="90"/>
        <v>0.62171093866010052</v>
      </c>
    </row>
    <row r="170" spans="2:24" x14ac:dyDescent="0.35">
      <c r="B170" s="55"/>
      <c r="C170" s="19">
        <v>0.55000000000000004</v>
      </c>
      <c r="D170" s="37">
        <f t="shared" ref="D170:X170" si="91">1/(1+EXP(-D196))</f>
        <v>7.0864117966861873E-2</v>
      </c>
      <c r="E170" s="33">
        <f t="shared" si="91"/>
        <v>8.2351388369994283E-2</v>
      </c>
      <c r="F170" s="33">
        <f t="shared" si="91"/>
        <v>9.5509363079228707E-2</v>
      </c>
      <c r="G170" s="33">
        <f t="shared" si="91"/>
        <v>0.11051650158671336</v>
      </c>
      <c r="H170" s="33">
        <f t="shared" si="91"/>
        <v>0.12754914859635072</v>
      </c>
      <c r="I170" s="33">
        <f t="shared" si="91"/>
        <v>0.14677368396746709</v>
      </c>
      <c r="J170" s="33">
        <f t="shared" si="91"/>
        <v>0.16833671320242891</v>
      </c>
      <c r="K170" s="33">
        <f t="shared" si="91"/>
        <v>0.19235346253076113</v>
      </c>
      <c r="L170" s="33">
        <f t="shared" si="91"/>
        <v>0.21889484609156504</v>
      </c>
      <c r="M170" s="33">
        <f t="shared" si="91"/>
        <v>0.24797404334314557</v>
      </c>
      <c r="N170" s="33">
        <f t="shared" si="91"/>
        <v>0.27953381636830399</v>
      </c>
      <c r="O170" s="33">
        <f t="shared" si="91"/>
        <v>0.31343613061109843</v>
      </c>
      <c r="P170" s="33">
        <f t="shared" si="91"/>
        <v>0.34945581498375833</v>
      </c>
      <c r="Q170" s="33">
        <f t="shared" si="91"/>
        <v>0.38727990117984479</v>
      </c>
      <c r="R170" s="33">
        <f t="shared" si="91"/>
        <v>0.42651384306169043</v>
      </c>
      <c r="S170" s="33">
        <f t="shared" si="91"/>
        <v>0.46669503406456991</v>
      </c>
      <c r="T170" s="33">
        <f t="shared" si="91"/>
        <v>0.50731301367731374</v>
      </c>
      <c r="U170" s="33">
        <f t="shared" si="91"/>
        <v>0.54783468029162796</v>
      </c>
      <c r="V170" s="33">
        <f t="shared" si="91"/>
        <v>0.58773195589786609</v>
      </c>
      <c r="W170" s="33">
        <f t="shared" si="91"/>
        <v>0.62650890225007649</v>
      </c>
      <c r="X170" s="38">
        <f t="shared" si="91"/>
        <v>0.66372538889387167</v>
      </c>
    </row>
    <row r="171" spans="2:24" x14ac:dyDescent="0.35">
      <c r="B171" s="55"/>
      <c r="C171" s="19">
        <v>0.5</v>
      </c>
      <c r="D171" s="37">
        <f t="shared" ref="D171:X171" si="92">1/(1+EXP(-D197))</f>
        <v>8.3910212613771698E-2</v>
      </c>
      <c r="E171" s="33">
        <f t="shared" si="92"/>
        <v>9.7290847297253402E-2</v>
      </c>
      <c r="F171" s="33">
        <f t="shared" si="92"/>
        <v>0.11254307618817533</v>
      </c>
      <c r="G171" s="33">
        <f t="shared" si="92"/>
        <v>0.12984246318999668</v>
      </c>
      <c r="H171" s="33">
        <f t="shared" si="92"/>
        <v>0.14935348082143238</v>
      </c>
      <c r="I171" s="33">
        <f t="shared" si="92"/>
        <v>0.17121946049374806</v>
      </c>
      <c r="J171" s="33">
        <f t="shared" si="92"/>
        <v>0.19555078782681143</v>
      </c>
      <c r="K171" s="33">
        <f t="shared" si="92"/>
        <v>0.22241185405795164</v>
      </c>
      <c r="L171" s="33">
        <f t="shared" si="92"/>
        <v>0.25180765106197112</v>
      </c>
      <c r="M171" s="33">
        <f t="shared" si="92"/>
        <v>0.28367128675219827</v>
      </c>
      <c r="N171" s="33">
        <f t="shared" si="92"/>
        <v>0.31785401724850992</v>
      </c>
      <c r="O171" s="33">
        <f t="shared" si="92"/>
        <v>0.3541195364447543</v>
      </c>
      <c r="P171" s="33">
        <f t="shared" si="92"/>
        <v>0.3921441273533765</v>
      </c>
      <c r="Q171" s="33">
        <f t="shared" si="92"/>
        <v>0.4315237955399534</v>
      </c>
      <c r="R171" s="33">
        <f t="shared" si="92"/>
        <v>0.471788683660882</v>
      </c>
      <c r="S171" s="33">
        <f t="shared" si="92"/>
        <v>0.51242402083569516</v>
      </c>
      <c r="T171" s="33">
        <f t="shared" si="92"/>
        <v>0.55289579822568724</v>
      </c>
      <c r="U171" s="33">
        <f t="shared" si="92"/>
        <v>0.59267853306342377</v>
      </c>
      <c r="V171" s="33">
        <f t="shared" si="92"/>
        <v>0.6312821024453773</v>
      </c>
      <c r="W171" s="33">
        <f t="shared" si="92"/>
        <v>0.66827479892861474</v>
      </c>
      <c r="X171" s="38">
        <f t="shared" si="92"/>
        <v>0.70330043565156519</v>
      </c>
    </row>
    <row r="172" spans="2:24" x14ac:dyDescent="0.35">
      <c r="B172" s="55"/>
      <c r="C172" s="19">
        <v>0.45</v>
      </c>
      <c r="D172" s="37">
        <f t="shared" ref="D172:X172" si="93">1/(1+EXP(-D198))</f>
        <v>9.9101919778626479E-2</v>
      </c>
      <c r="E172" s="33">
        <f t="shared" si="93"/>
        <v>0.11460202472119398</v>
      </c>
      <c r="F172" s="33">
        <f t="shared" si="93"/>
        <v>0.13217076463032282</v>
      </c>
      <c r="G172" s="33">
        <f t="shared" si="93"/>
        <v>0.15197054558459408</v>
      </c>
      <c r="H172" s="33">
        <f t="shared" si="93"/>
        <v>0.17414123765399794</v>
      </c>
      <c r="I172" s="33">
        <f t="shared" si="93"/>
        <v>0.19878817843921698</v>
      </c>
      <c r="J172" s="33">
        <f t="shared" si="93"/>
        <v>0.22596902271370492</v>
      </c>
      <c r="K172" s="33">
        <f t="shared" si="93"/>
        <v>0.25568037532209559</v>
      </c>
      <c r="L172" s="33">
        <f t="shared" si="93"/>
        <v>0.28784553013849795</v>
      </c>
      <c r="M172" s="33">
        <f t="shared" si="93"/>
        <v>0.32230494155039924</v>
      </c>
      <c r="N172" s="33">
        <f t="shared" si="93"/>
        <v>0.35881116931210266</v>
      </c>
      <c r="O172" s="33">
        <f t="shared" si="93"/>
        <v>0.39702986008573371</v>
      </c>
      <c r="P172" s="33">
        <f t="shared" si="93"/>
        <v>0.43654779995719251</v>
      </c>
      <c r="Q172" s="33">
        <f t="shared" si="93"/>
        <v>0.47688821434143214</v>
      </c>
      <c r="R172" s="33">
        <f t="shared" si="93"/>
        <v>0.51753243134856686</v>
      </c>
      <c r="S172" s="33">
        <f t="shared" si="93"/>
        <v>0.55794597779482402</v>
      </c>
      <c r="T172" s="33">
        <f t="shared" si="93"/>
        <v>0.59760639410594152</v>
      </c>
      <c r="U172" s="33">
        <f t="shared" si="93"/>
        <v>0.63602974004015023</v>
      </c>
      <c r="V172" s="33">
        <f t="shared" si="93"/>
        <v>0.67279300308166412</v>
      </c>
      <c r="W172" s="33">
        <f t="shared" si="93"/>
        <v>0.70755034999473543</v>
      </c>
      <c r="X172" s="38">
        <f t="shared" si="93"/>
        <v>0.74004218734927274</v>
      </c>
    </row>
    <row r="173" spans="2:24" x14ac:dyDescent="0.35">
      <c r="B173" s="55"/>
      <c r="C173" s="19">
        <v>0.4</v>
      </c>
      <c r="D173" s="37">
        <f t="shared" ref="D173:X173" si="94">1/(1+EXP(-D199))</f>
        <v>0.11669368817770916</v>
      </c>
      <c r="E173" s="33">
        <f t="shared" si="94"/>
        <v>0.13453436155814302</v>
      </c>
      <c r="F173" s="33">
        <f t="shared" si="94"/>
        <v>0.15462513243998321</v>
      </c>
      <c r="G173" s="33">
        <f t="shared" si="94"/>
        <v>0.17710221921174132</v>
      </c>
      <c r="H173" s="33">
        <f t="shared" si="94"/>
        <v>0.2020657023708913</v>
      </c>
      <c r="I173" s="33">
        <f t="shared" si="94"/>
        <v>0.22956628720179578</v>
      </c>
      <c r="J173" s="33">
        <f t="shared" si="94"/>
        <v>0.25959199556456491</v>
      </c>
      <c r="K173" s="33">
        <f t="shared" si="94"/>
        <v>0.29205615436631732</v>
      </c>
      <c r="L173" s="33">
        <f t="shared" si="94"/>
        <v>0.32678833426465814</v>
      </c>
      <c r="M173" s="33">
        <f t="shared" si="94"/>
        <v>0.3635299749892193</v>
      </c>
      <c r="N173" s="33">
        <f t="shared" si="94"/>
        <v>0.40193621387349254</v>
      </c>
      <c r="O173" s="33">
        <f t="shared" si="94"/>
        <v>0.4415848605199752</v>
      </c>
      <c r="P173" s="33">
        <f t="shared" si="94"/>
        <v>0.48199256808988505</v>
      </c>
      <c r="Q173" s="33">
        <f t="shared" si="94"/>
        <v>0.52263717979193758</v>
      </c>
      <c r="R173" s="33">
        <f t="shared" si="94"/>
        <v>0.5629842017994543</v>
      </c>
      <c r="S173" s="33">
        <f t="shared" si="94"/>
        <v>0.6025146204159153</v>
      </c>
      <c r="T173" s="33">
        <f t="shared" si="94"/>
        <v>0.64075103499865627</v>
      </c>
      <c r="U173" s="33">
        <f t="shared" si="94"/>
        <v>0.67727938619920602</v>
      </c>
      <c r="V173" s="33">
        <f t="shared" si="94"/>
        <v>0.7117643375462922</v>
      </c>
      <c r="W173" s="33">
        <f t="shared" si="94"/>
        <v>0.74395741363886247</v>
      </c>
      <c r="X173" s="38">
        <f t="shared" si="94"/>
        <v>0.7736980597851949</v>
      </c>
    </row>
    <row r="174" spans="2:24" x14ac:dyDescent="0.35">
      <c r="B174" s="55"/>
      <c r="C174" s="19">
        <v>0.35</v>
      </c>
      <c r="D174" s="37">
        <f t="shared" ref="D174:X174" si="95">1/(1+EXP(-D200))</f>
        <v>0.13693355705563198</v>
      </c>
      <c r="E174" s="33">
        <f t="shared" si="95"/>
        <v>0.15731748699213935</v>
      </c>
      <c r="F174" s="33">
        <f t="shared" si="95"/>
        <v>0.18010256779285397</v>
      </c>
      <c r="G174" s="33">
        <f t="shared" si="95"/>
        <v>0.20538341232727478</v>
      </c>
      <c r="H174" s="33">
        <f t="shared" si="95"/>
        <v>0.23320356423606031</v>
      </c>
      <c r="I174" s="33">
        <f t="shared" si="95"/>
        <v>0.26354227034692829</v>
      </c>
      <c r="J174" s="33">
        <f t="shared" si="95"/>
        <v>0.29630274506145993</v>
      </c>
      <c r="K174" s="33">
        <f t="shared" si="95"/>
        <v>0.33130360412624305</v>
      </c>
      <c r="L174" s="33">
        <f t="shared" si="95"/>
        <v>0.36827519486985105</v>
      </c>
      <c r="M174" s="33">
        <f t="shared" si="95"/>
        <v>0.40686228706279637</v>
      </c>
      <c r="N174" s="33">
        <f t="shared" si="95"/>
        <v>0.44663397077850725</v>
      </c>
      <c r="O174" s="33">
        <f t="shared" si="95"/>
        <v>0.48710068286884822</v>
      </c>
      <c r="P174" s="33">
        <f t="shared" si="95"/>
        <v>0.52773720379909927</v>
      </c>
      <c r="Q174" s="33">
        <f t="shared" si="95"/>
        <v>0.56800946283815923</v>
      </c>
      <c r="R174" s="33">
        <f t="shared" si="95"/>
        <v>0.6074023088677597</v>
      </c>
      <c r="S174" s="33">
        <f t="shared" si="95"/>
        <v>0.6454452268725136</v>
      </c>
      <c r="T174" s="33">
        <f t="shared" si="95"/>
        <v>0.68173335497575538</v>
      </c>
      <c r="U174" s="33">
        <f t="shared" si="95"/>
        <v>0.71594198186207136</v>
      </c>
      <c r="V174" s="33">
        <f t="shared" si="95"/>
        <v>0.74783376551971226</v>
      </c>
      <c r="W174" s="33">
        <f t="shared" si="95"/>
        <v>0.77725896106199022</v>
      </c>
      <c r="X174" s="38">
        <f t="shared" si="95"/>
        <v>0.80414977016745315</v>
      </c>
    </row>
    <row r="175" spans="2:24" x14ac:dyDescent="0.35">
      <c r="B175" s="55"/>
      <c r="C175" s="19">
        <v>0.3</v>
      </c>
      <c r="D175" s="37">
        <f t="shared" ref="D175:X175" si="96">1/(1+EXP(-D201))</f>
        <v>0.16004784586206258</v>
      </c>
      <c r="E175" s="33">
        <f t="shared" si="96"/>
        <v>0.18314243369164224</v>
      </c>
      <c r="F175" s="33">
        <f t="shared" si="96"/>
        <v>0.208741345300239</v>
      </c>
      <c r="G175" s="33">
        <f t="shared" si="96"/>
        <v>0.23688075174623477</v>
      </c>
      <c r="H175" s="33">
        <f t="shared" si="96"/>
        <v>0.26753093710511505</v>
      </c>
      <c r="I175" s="33">
        <f t="shared" si="96"/>
        <v>0.30058486557021563</v>
      </c>
      <c r="J175" s="33">
        <f t="shared" si="96"/>
        <v>0.33585013800642316</v>
      </c>
      <c r="K175" s="33">
        <f t="shared" si="96"/>
        <v>0.37304605072307206</v>
      </c>
      <c r="L175" s="33">
        <f t="shared" si="96"/>
        <v>0.41180716245795224</v>
      </c>
      <c r="M175" s="33">
        <f t="shared" si="96"/>
        <v>0.45169411441098439</v>
      </c>
      <c r="N175" s="33">
        <f t="shared" si="96"/>
        <v>0.49221149350134602</v>
      </c>
      <c r="O175" s="33">
        <f t="shared" si="96"/>
        <v>0.53283144494268586</v>
      </c>
      <c r="P175" s="33">
        <f t="shared" si="96"/>
        <v>0.57302076409367653</v>
      </c>
      <c r="Q175" s="33">
        <f t="shared" si="96"/>
        <v>0.61226857243080723</v>
      </c>
      <c r="R175" s="33">
        <f t="shared" si="96"/>
        <v>0.65011157518844864</v>
      </c>
      <c r="S175" s="33">
        <f t="shared" si="96"/>
        <v>0.68615433810610005</v>
      </c>
      <c r="T175" s="33">
        <f t="shared" si="96"/>
        <v>0.72008288871841719</v>
      </c>
      <c r="U175" s="33">
        <f t="shared" si="96"/>
        <v>0.75167102050087098</v>
      </c>
      <c r="V175" s="33">
        <f t="shared" si="96"/>
        <v>0.78077970691458431</v>
      </c>
      <c r="W175" s="33">
        <f t="shared" si="96"/>
        <v>0.80735081895906802</v>
      </c>
      <c r="X175" s="38">
        <f t="shared" si="96"/>
        <v>0.83139678300486775</v>
      </c>
    </row>
    <row r="176" spans="2:24" x14ac:dyDescent="0.35">
      <c r="B176" s="55"/>
      <c r="C176" s="19">
        <v>0.25</v>
      </c>
      <c r="D176" s="37">
        <f t="shared" ref="D176:X176" si="97">1/(1+EXP(-D202))</f>
        <v>0.18622195444129175</v>
      </c>
      <c r="E176" s="33">
        <f t="shared" si="97"/>
        <v>0.21213952215681056</v>
      </c>
      <c r="F176" s="33">
        <f t="shared" si="97"/>
        <v>0.24059772853454056</v>
      </c>
      <c r="G176" s="33">
        <f t="shared" si="97"/>
        <v>0.27155771193402406</v>
      </c>
      <c r="H176" s="33">
        <f t="shared" si="97"/>
        <v>0.30490205691822214</v>
      </c>
      <c r="I176" s="33">
        <f t="shared" si="97"/>
        <v>0.34042730109115182</v>
      </c>
      <c r="J176" s="33">
        <f t="shared" si="97"/>
        <v>0.37784174510779539</v>
      </c>
      <c r="K176" s="33">
        <f t="shared" si="97"/>
        <v>0.41676990795547469</v>
      </c>
      <c r="L176" s="33">
        <f t="shared" si="97"/>
        <v>0.4567642660249987</v>
      </c>
      <c r="M176" s="33">
        <f t="shared" si="97"/>
        <v>0.49732393255785967</v>
      </c>
      <c r="N176" s="33">
        <f t="shared" si="97"/>
        <v>0.53791884960975989</v>
      </c>
      <c r="O176" s="33">
        <f t="shared" si="97"/>
        <v>0.57801712010069328</v>
      </c>
      <c r="P176" s="33">
        <f t="shared" si="97"/>
        <v>0.61711254075416599</v>
      </c>
      <c r="Q176" s="33">
        <f t="shared" si="97"/>
        <v>0.65474935980635718</v>
      </c>
      <c r="R176" s="33">
        <f t="shared" si="97"/>
        <v>0.69054178640842234</v>
      </c>
      <c r="S176" s="33">
        <f t="shared" si="97"/>
        <v>0.72418668602385206</v>
      </c>
      <c r="T176" s="33">
        <f t="shared" si="97"/>
        <v>0.7554689767434708</v>
      </c>
      <c r="U176" s="33">
        <f t="shared" si="97"/>
        <v>0.78426024888493207</v>
      </c>
      <c r="V176" s="33">
        <f t="shared" si="97"/>
        <v>0.81051187698904548</v>
      </c>
      <c r="W176" s="33">
        <f t="shared" si="97"/>
        <v>0.83424429143546464</v>
      </c>
      <c r="X176" s="38">
        <f t="shared" si="97"/>
        <v>0.85553413764762087</v>
      </c>
    </row>
    <row r="177" spans="2:24" x14ac:dyDescent="0.35">
      <c r="B177" s="55"/>
      <c r="C177" s="19">
        <v>0.2</v>
      </c>
      <c r="D177" s="37">
        <f t="shared" ref="D177:X177" si="98">1/(1+EXP(-D203))</f>
        <v>0.2155779472335046</v>
      </c>
      <c r="E177" s="33">
        <f t="shared" si="98"/>
        <v>0.24435435394471589</v>
      </c>
      <c r="F177" s="33">
        <f t="shared" si="98"/>
        <v>0.27562228938769745</v>
      </c>
      <c r="G177" s="33">
        <f t="shared" si="98"/>
        <v>0.30925383779505883</v>
      </c>
      <c r="H177" s="33">
        <f t="shared" si="98"/>
        <v>0.34503443708883413</v>
      </c>
      <c r="I177" s="33">
        <f t="shared" si="98"/>
        <v>0.38266146181654193</v>
      </c>
      <c r="J177" s="33">
        <f t="shared" si="98"/>
        <v>0.42174957720273937</v>
      </c>
      <c r="K177" s="33">
        <f t="shared" si="98"/>
        <v>0.46184339197468982</v>
      </c>
      <c r="L177" s="33">
        <f t="shared" si="98"/>
        <v>0.50243693124736233</v>
      </c>
      <c r="M177" s="33">
        <f t="shared" si="98"/>
        <v>0.54299836986839922</v>
      </c>
      <c r="N177" s="33">
        <f t="shared" si="98"/>
        <v>0.58299755749422588</v>
      </c>
      <c r="O177" s="33">
        <f t="shared" si="98"/>
        <v>0.62193336072474037</v>
      </c>
      <c r="P177" s="33">
        <f t="shared" si="98"/>
        <v>0.65935788124755423</v>
      </c>
      <c r="Q177" s="33">
        <f t="shared" si="98"/>
        <v>0.69489517291898306</v>
      </c>
      <c r="R177" s="33">
        <f t="shared" si="98"/>
        <v>0.72825302370705391</v>
      </c>
      <c r="S177" s="33">
        <f t="shared" si="98"/>
        <v>0.75922745278938297</v>
      </c>
      <c r="T177" s="33">
        <f t="shared" si="98"/>
        <v>0.78770055623840685</v>
      </c>
      <c r="U177" s="33">
        <f t="shared" si="98"/>
        <v>0.81363304026498173</v>
      </c>
      <c r="V177" s="33">
        <f t="shared" si="98"/>
        <v>0.83705313426956429</v>
      </c>
      <c r="W177" s="33">
        <f t="shared" si="98"/>
        <v>0.858043598981167</v>
      </c>
      <c r="X177" s="38">
        <f t="shared" si="98"/>
        <v>0.87672832370715625</v>
      </c>
    </row>
    <row r="178" spans="2:24" x14ac:dyDescent="0.35">
      <c r="B178" s="55"/>
      <c r="C178" s="19">
        <v>0.15</v>
      </c>
      <c r="D178" s="37">
        <f t="shared" ref="D178:X178" si="99">1/(1+EXP(-D204))</f>
        <v>0.24815046754440062</v>
      </c>
      <c r="E178" s="33">
        <f t="shared" si="99"/>
        <v>0.27972434229993604</v>
      </c>
      <c r="F178" s="33">
        <f t="shared" si="99"/>
        <v>0.31363970456520157</v>
      </c>
      <c r="G178" s="33">
        <f t="shared" si="99"/>
        <v>0.34967086846770618</v>
      </c>
      <c r="H178" s="33">
        <f t="shared" si="99"/>
        <v>0.38750436634813368</v>
      </c>
      <c r="I178" s="33">
        <f t="shared" si="99"/>
        <v>0.42674521028035001</v>
      </c>
      <c r="J178" s="33">
        <f t="shared" si="99"/>
        <v>0.46693045119228299</v>
      </c>
      <c r="K178" s="33">
        <f t="shared" si="99"/>
        <v>0.50754942031077466</v>
      </c>
      <c r="L178" s="33">
        <f t="shared" si="99"/>
        <v>0.54806896432427588</v>
      </c>
      <c r="M178" s="33">
        <f t="shared" si="99"/>
        <v>0.58796111573743348</v>
      </c>
      <c r="N178" s="33">
        <f t="shared" si="99"/>
        <v>0.62673019699778576</v>
      </c>
      <c r="O178" s="33">
        <f t="shared" si="99"/>
        <v>0.66393646099315828</v>
      </c>
      <c r="P178" s="33">
        <f t="shared" si="99"/>
        <v>0.69921399295880471</v>
      </c>
      <c r="Q178" s="33">
        <f t="shared" si="99"/>
        <v>0.73228157358190626</v>
      </c>
      <c r="R178" s="33">
        <f t="shared" si="99"/>
        <v>0.76294628727375735</v>
      </c>
      <c r="S178" s="33">
        <f t="shared" si="99"/>
        <v>0.79110061558028633</v>
      </c>
      <c r="T178" s="33">
        <f t="shared" si="99"/>
        <v>0.81671441886204776</v>
      </c>
      <c r="U178" s="33">
        <f t="shared" si="99"/>
        <v>0.839823518215151</v>
      </c>
      <c r="V178" s="33">
        <f t="shared" si="99"/>
        <v>0.86051657633370671</v>
      </c>
      <c r="W178" s="33">
        <f t="shared" si="99"/>
        <v>0.87892173170457533</v>
      </c>
      <c r="X178" s="38">
        <f t="shared" si="99"/>
        <v>0.8951940745639787</v>
      </c>
    </row>
    <row r="179" spans="2:24" x14ac:dyDescent="0.35">
      <c r="B179" s="55"/>
      <c r="C179" s="19">
        <v>0.1</v>
      </c>
      <c r="D179" s="37">
        <f t="shared" ref="D179:X179" si="100">1/(1+EXP(-D205))</f>
        <v>0.28386352162619577</v>
      </c>
      <c r="E179" s="33">
        <f t="shared" si="100"/>
        <v>0.31805913130592228</v>
      </c>
      <c r="F179" s="33">
        <f t="shared" si="100"/>
        <v>0.354335896722976</v>
      </c>
      <c r="G179" s="33">
        <f t="shared" si="100"/>
        <v>0.392369606408908</v>
      </c>
      <c r="H179" s="33">
        <f t="shared" si="100"/>
        <v>0.43175583440724907</v>
      </c>
      <c r="I179" s="33">
        <f t="shared" si="100"/>
        <v>0.47202439603261531</v>
      </c>
      <c r="J179" s="33">
        <f t="shared" si="100"/>
        <v>0.51266033091524976</v>
      </c>
      <c r="K179" s="33">
        <f t="shared" si="100"/>
        <v>0.55312959896575631</v>
      </c>
      <c r="L179" s="33">
        <f t="shared" si="100"/>
        <v>0.59290684782776759</v>
      </c>
      <c r="M179" s="33">
        <f t="shared" si="100"/>
        <v>0.63150223249944692</v>
      </c>
      <c r="N179" s="33">
        <f t="shared" si="100"/>
        <v>0.66848444175262678</v>
      </c>
      <c r="O179" s="33">
        <f t="shared" si="100"/>
        <v>0.70349776417284704</v>
      </c>
      <c r="P179" s="33">
        <f t="shared" si="100"/>
        <v>0.73627202919040846</v>
      </c>
      <c r="Q179" s="33">
        <f t="shared" si="100"/>
        <v>0.76662533862235616</v>
      </c>
      <c r="R179" s="33">
        <f t="shared" si="100"/>
        <v>0.79446043046410997</v>
      </c>
      <c r="S179" s="33">
        <f t="shared" si="100"/>
        <v>0.81975613649523971</v>
      </c>
      <c r="T179" s="33">
        <f t="shared" si="100"/>
        <v>0.84255566022426864</v>
      </c>
      <c r="U179" s="33">
        <f t="shared" si="100"/>
        <v>0.86295335361950154</v>
      </c>
      <c r="V179" s="33">
        <f t="shared" si="100"/>
        <v>0.88108140548120351</v>
      </c>
      <c r="W179" s="33">
        <f t="shared" si="100"/>
        <v>0.89709748038105308</v>
      </c>
      <c r="X179" s="38">
        <f t="shared" si="100"/>
        <v>0.9111739579997491</v>
      </c>
    </row>
    <row r="180" spans="2:24" x14ac:dyDescent="0.35">
      <c r="B180" s="55"/>
      <c r="C180" s="19">
        <v>0.05</v>
      </c>
      <c r="D180" s="37">
        <f t="shared" ref="D180:X180" si="101">1/(1+EXP(-D206))</f>
        <v>0.3225115698726751</v>
      </c>
      <c r="E180" s="33">
        <f t="shared" si="101"/>
        <v>0.35902880267381071</v>
      </c>
      <c r="F180" s="33">
        <f t="shared" si="101"/>
        <v>0.39725631244197535</v>
      </c>
      <c r="G180" s="33">
        <f t="shared" si="101"/>
        <v>0.43678046466754156</v>
      </c>
      <c r="H180" s="33">
        <f t="shared" si="101"/>
        <v>0.4771241731292109</v>
      </c>
      <c r="I180" s="33">
        <f t="shared" si="101"/>
        <v>0.51776859554770183</v>
      </c>
      <c r="J180" s="33">
        <f t="shared" si="101"/>
        <v>0.55817924799607688</v>
      </c>
      <c r="K180" s="33">
        <f t="shared" si="101"/>
        <v>0.5978338209804247</v>
      </c>
      <c r="L180" s="33">
        <f t="shared" si="101"/>
        <v>0.63624866890079401</v>
      </c>
      <c r="M180" s="33">
        <f t="shared" si="101"/>
        <v>0.67300118770252415</v>
      </c>
      <c r="N180" s="33">
        <f t="shared" si="101"/>
        <v>0.70774602654220686</v>
      </c>
      <c r="O180" s="33">
        <f t="shared" si="101"/>
        <v>0.74022410562426988</v>
      </c>
      <c r="P180" s="33">
        <f t="shared" si="101"/>
        <v>0.77026448473458387</v>
      </c>
      <c r="Q180" s="33">
        <f t="shared" si="101"/>
        <v>0.7977800209927508</v>
      </c>
      <c r="R180" s="33">
        <f t="shared" si="101"/>
        <v>0.82275833009037358</v>
      </c>
      <c r="S180" s="33">
        <f t="shared" si="101"/>
        <v>0.84524978707533971</v>
      </c>
      <c r="T180" s="33">
        <f t="shared" si="101"/>
        <v>0.86535422142159646</v>
      </c>
      <c r="U180" s="33">
        <f t="shared" si="101"/>
        <v>0.88320767601535644</v>
      </c>
      <c r="V180" s="33">
        <f t="shared" si="101"/>
        <v>0.89897021928199639</v>
      </c>
      <c r="W180" s="33">
        <f t="shared" si="101"/>
        <v>0.91281541380404674</v>
      </c>
      <c r="X180" s="38">
        <f t="shared" si="101"/>
        <v>0.92492171212677721</v>
      </c>
    </row>
    <row r="181" spans="2:24" ht="15" thickBot="1" x14ac:dyDescent="0.4">
      <c r="B181" s="56"/>
      <c r="C181" s="20">
        <v>0</v>
      </c>
      <c r="D181" s="39">
        <f t="shared" ref="D181:X181" si="102">1/(1+EXP(-D207))</f>
        <v>0.36374884679019026</v>
      </c>
      <c r="E181" s="40">
        <f t="shared" si="102"/>
        <v>0.40216359818396769</v>
      </c>
      <c r="F181" s="40">
        <f t="shared" si="102"/>
        <v>0.44181810475793898</v>
      </c>
      <c r="G181" s="40">
        <f t="shared" si="102"/>
        <v>0.48222872426043228</v>
      </c>
      <c r="H181" s="40">
        <f t="shared" si="102"/>
        <v>0.52287314890599079</v>
      </c>
      <c r="I181" s="40">
        <f t="shared" si="102"/>
        <v>0.5632168946511994</v>
      </c>
      <c r="J181" s="40">
        <f t="shared" si="102"/>
        <v>0.60274111728813062</v>
      </c>
      <c r="K181" s="40">
        <f t="shared" si="102"/>
        <v>0.64096872706295271</v>
      </c>
      <c r="L181" s="40">
        <f t="shared" si="102"/>
        <v>0.6774860846956704</v>
      </c>
      <c r="M181" s="40">
        <f t="shared" si="102"/>
        <v>0.71195834236993338</v>
      </c>
      <c r="N181" s="40">
        <f t="shared" si="102"/>
        <v>0.74413753932601912</v>
      </c>
      <c r="O181" s="40">
        <f t="shared" si="102"/>
        <v>0.77386362265312514</v>
      </c>
      <c r="P181" s="40">
        <f t="shared" si="102"/>
        <v>0.80105942341303205</v>
      </c>
      <c r="Q181" s="40">
        <f t="shared" si="102"/>
        <v>0.82572114935448249</v>
      </c>
      <c r="R181" s="40">
        <f t="shared" si="102"/>
        <v>0.8479061349592012</v>
      </c>
      <c r="S181" s="40">
        <f t="shared" si="102"/>
        <v>0.86771947662056215</v>
      </c>
      <c r="T181" s="40">
        <f t="shared" si="102"/>
        <v>0.88530087788208134</v>
      </c>
      <c r="U181" s="40">
        <f t="shared" si="102"/>
        <v>0.90081264421452278</v>
      </c>
      <c r="V181" s="40">
        <f t="shared" si="102"/>
        <v>0.91442938508426219</v>
      </c>
      <c r="W181" s="40">
        <f t="shared" si="102"/>
        <v>0.92632965763669284</v>
      </c>
      <c r="X181" s="41">
        <f t="shared" si="102"/>
        <v>0.93668954533424009</v>
      </c>
    </row>
    <row r="182" spans="2:24" x14ac:dyDescent="0.35">
      <c r="C182" s="6"/>
      <c r="D182" s="23">
        <v>0</v>
      </c>
      <c r="E182" s="21">
        <v>0.05</v>
      </c>
      <c r="F182" s="21">
        <v>0.1</v>
      </c>
      <c r="G182" s="21">
        <v>0.15</v>
      </c>
      <c r="H182" s="21">
        <v>0.2</v>
      </c>
      <c r="I182" s="21">
        <v>0.25</v>
      </c>
      <c r="J182" s="21">
        <v>0.3</v>
      </c>
      <c r="K182" s="21">
        <v>0.35</v>
      </c>
      <c r="L182" s="21">
        <v>0.4</v>
      </c>
      <c r="M182" s="21">
        <v>0.45</v>
      </c>
      <c r="N182" s="21">
        <v>0.5</v>
      </c>
      <c r="O182" s="21">
        <v>0.55000000000000004</v>
      </c>
      <c r="P182" s="21">
        <v>0.6</v>
      </c>
      <c r="Q182" s="21">
        <v>0.65</v>
      </c>
      <c r="R182" s="21">
        <v>0.7</v>
      </c>
      <c r="S182" s="21">
        <v>0.75</v>
      </c>
      <c r="T182" s="21">
        <v>0.8</v>
      </c>
      <c r="U182" s="21">
        <v>0.85</v>
      </c>
      <c r="V182" s="21">
        <v>0.9</v>
      </c>
      <c r="W182" s="21">
        <v>0.95</v>
      </c>
      <c r="X182" s="22">
        <v>1</v>
      </c>
    </row>
    <row r="183" spans="2:24" ht="21.5" thickBot="1" x14ac:dyDescent="0.55000000000000004">
      <c r="C183" s="6"/>
      <c r="D183" s="57" t="s">
        <v>59</v>
      </c>
      <c r="E183" s="58"/>
      <c r="F183" s="58"/>
      <c r="G183" s="58"/>
      <c r="H183" s="58"/>
      <c r="I183" s="58"/>
      <c r="J183" s="58"/>
      <c r="K183" s="58"/>
      <c r="L183" s="58"/>
      <c r="M183" s="58"/>
      <c r="N183" s="58"/>
      <c r="O183" s="58"/>
      <c r="P183" s="58"/>
      <c r="Q183" s="58"/>
      <c r="R183" s="58"/>
      <c r="S183" s="58"/>
      <c r="T183" s="58"/>
      <c r="U183" s="58"/>
      <c r="V183" s="58"/>
      <c r="W183" s="58"/>
      <c r="X183" s="59"/>
    </row>
    <row r="185" spans="2:24" ht="15" thickBot="1" x14ac:dyDescent="0.4"/>
    <row r="186" spans="2:24" ht="21.5" thickBot="1" x14ac:dyDescent="0.55000000000000004">
      <c r="B186" s="60" t="s">
        <v>12</v>
      </c>
      <c r="C186" s="61"/>
      <c r="D186" s="61"/>
      <c r="E186" s="61"/>
      <c r="F186" s="61"/>
      <c r="G186" s="61"/>
      <c r="H186" s="61"/>
      <c r="I186" s="61"/>
      <c r="J186" s="61"/>
      <c r="K186" s="61"/>
      <c r="L186" s="61"/>
      <c r="M186" s="61"/>
      <c r="N186" s="61"/>
      <c r="O186" s="61"/>
      <c r="P186" s="61"/>
      <c r="Q186" s="61"/>
      <c r="R186" s="61"/>
      <c r="S186" s="61"/>
      <c r="T186" s="61"/>
      <c r="U186" s="61"/>
      <c r="V186" s="61"/>
      <c r="W186" s="61"/>
      <c r="X186" s="62"/>
    </row>
    <row r="187" spans="2:24" x14ac:dyDescent="0.35">
      <c r="B187" s="54" t="s">
        <v>2</v>
      </c>
      <c r="C187" s="22">
        <v>1</v>
      </c>
      <c r="D187" s="24">
        <f>(D$208 * $P$5) + $P$8 + ($C187 * $P$6) + $P$9</f>
        <v>-4.2216043704197492</v>
      </c>
      <c r="E187" s="25">
        <f t="shared" ref="E187:T202" si="103">(E$208 * $P$5) + $P$8 + ($C187 * $P$6) + $P$9</f>
        <v>-4.0589328126644917</v>
      </c>
      <c r="F187" s="25">
        <f t="shared" si="103"/>
        <v>-3.8962612549092346</v>
      </c>
      <c r="G187" s="25">
        <f>(G$208 * $P$5) + $P$8 + ($C187 * $P$6) + $P$9</f>
        <v>-3.733589697153977</v>
      </c>
      <c r="H187" s="25">
        <f t="shared" ref="H187:X201" si="104">(H$208 * $P$5) + $P$8 + ($C187 * $P$6) + $P$9</f>
        <v>-3.5709181393987195</v>
      </c>
      <c r="I187" s="25">
        <f t="shared" si="104"/>
        <v>-3.4082465816434624</v>
      </c>
      <c r="J187" s="25">
        <f t="shared" si="104"/>
        <v>-3.2455750238882053</v>
      </c>
      <c r="K187" s="25">
        <f t="shared" si="104"/>
        <v>-3.0829034661329477</v>
      </c>
      <c r="L187" s="25">
        <f t="shared" si="104"/>
        <v>-2.9202319083776902</v>
      </c>
      <c r="M187" s="25">
        <f t="shared" si="104"/>
        <v>-2.7575603506224327</v>
      </c>
      <c r="N187" s="25">
        <f t="shared" si="104"/>
        <v>-2.5948887928671756</v>
      </c>
      <c r="O187" s="25">
        <f t="shared" si="104"/>
        <v>-2.432217235111918</v>
      </c>
      <c r="P187" s="25">
        <f t="shared" si="104"/>
        <v>-2.2695456773566609</v>
      </c>
      <c r="Q187" s="25">
        <f t="shared" si="104"/>
        <v>-2.1068741196014034</v>
      </c>
      <c r="R187" s="25">
        <f t="shared" si="104"/>
        <v>-1.9442025618461463</v>
      </c>
      <c r="S187" s="25">
        <f t="shared" si="104"/>
        <v>-1.7815310040908887</v>
      </c>
      <c r="T187" s="25">
        <f t="shared" si="104"/>
        <v>-1.6188594463356316</v>
      </c>
      <c r="U187" s="25">
        <f t="shared" si="104"/>
        <v>-1.4561878885803741</v>
      </c>
      <c r="V187" s="25">
        <f t="shared" si="104"/>
        <v>-1.2935163308251165</v>
      </c>
      <c r="W187" s="25">
        <f t="shared" si="104"/>
        <v>-1.1308447730698599</v>
      </c>
      <c r="X187" s="26">
        <f t="shared" si="104"/>
        <v>-0.96817321531460143</v>
      </c>
    </row>
    <row r="188" spans="2:24" x14ac:dyDescent="0.35">
      <c r="B188" s="55"/>
      <c r="C188" s="19">
        <v>0.95</v>
      </c>
      <c r="D188" s="27">
        <f>(D$208 * $P$5) + $P$8 + ($C188 * $P$6) + $P$9</f>
        <v>-4.0384806385102205</v>
      </c>
      <c r="E188" s="28">
        <f>(E$208 * $P$5) + $P$8 + ($C188 * $P$6) + $P$9</f>
        <v>-3.875809080754963</v>
      </c>
      <c r="F188" s="28">
        <f t="shared" si="103"/>
        <v>-3.7131375229997055</v>
      </c>
      <c r="G188" s="28">
        <f t="shared" si="103"/>
        <v>-3.5504659652444479</v>
      </c>
      <c r="H188" s="28">
        <f t="shared" si="104"/>
        <v>-3.3877944074891904</v>
      </c>
      <c r="I188" s="28">
        <f t="shared" si="104"/>
        <v>-3.2251228497339333</v>
      </c>
      <c r="J188" s="28">
        <f>(J$208 * $P$5) + $P$8 + ($C188 * $P$6) + $P$9</f>
        <v>-3.0624512919786762</v>
      </c>
      <c r="K188" s="28">
        <f t="shared" si="104"/>
        <v>-2.8997797342234186</v>
      </c>
      <c r="L188" s="28">
        <f t="shared" si="104"/>
        <v>-2.7371081764681611</v>
      </c>
      <c r="M188" s="28">
        <f t="shared" si="104"/>
        <v>-2.5744366187129035</v>
      </c>
      <c r="N188" s="28">
        <f t="shared" si="104"/>
        <v>-2.4117650609576464</v>
      </c>
      <c r="O188" s="28">
        <f t="shared" si="104"/>
        <v>-2.2490935032023889</v>
      </c>
      <c r="P188" s="28">
        <f t="shared" si="104"/>
        <v>-2.0864219454471318</v>
      </c>
      <c r="Q188" s="28">
        <f t="shared" si="104"/>
        <v>-1.9237503876918742</v>
      </c>
      <c r="R188" s="28">
        <f t="shared" si="104"/>
        <v>-1.7610788299366171</v>
      </c>
      <c r="S188" s="28">
        <f t="shared" si="104"/>
        <v>-1.5984072721813596</v>
      </c>
      <c r="T188" s="28">
        <f t="shared" si="104"/>
        <v>-1.4357357144261025</v>
      </c>
      <c r="U188" s="28">
        <f t="shared" si="104"/>
        <v>-1.2730641566708449</v>
      </c>
      <c r="V188" s="28">
        <f t="shared" si="104"/>
        <v>-1.1103925989155874</v>
      </c>
      <c r="W188" s="28">
        <f t="shared" si="104"/>
        <v>-0.94772104116033073</v>
      </c>
      <c r="X188" s="29">
        <f t="shared" si="104"/>
        <v>-0.7850494834050723</v>
      </c>
    </row>
    <row r="189" spans="2:24" x14ac:dyDescent="0.35">
      <c r="B189" s="55"/>
      <c r="C189" s="19">
        <v>0.9</v>
      </c>
      <c r="D189" s="27">
        <f t="shared" ref="D189:S207" si="105">(D$208 * $P$5) + $P$8 + ($C189 * $P$6) + $P$9</f>
        <v>-3.855356906600691</v>
      </c>
      <c r="E189" s="28">
        <f t="shared" si="105"/>
        <v>-3.6926853488454334</v>
      </c>
      <c r="F189" s="28">
        <f t="shared" si="103"/>
        <v>-3.5300137910901763</v>
      </c>
      <c r="G189" s="28">
        <f t="shared" si="103"/>
        <v>-3.3673422333349188</v>
      </c>
      <c r="H189" s="28">
        <f t="shared" si="104"/>
        <v>-3.2046706755796612</v>
      </c>
      <c r="I189" s="28">
        <f t="shared" si="104"/>
        <v>-3.0419991178244041</v>
      </c>
      <c r="J189" s="28">
        <f t="shared" si="104"/>
        <v>-2.879327560069147</v>
      </c>
      <c r="K189" s="28">
        <f t="shared" si="104"/>
        <v>-2.7166560023138895</v>
      </c>
      <c r="L189" s="28">
        <f t="shared" si="104"/>
        <v>-2.5539844445586319</v>
      </c>
      <c r="M189" s="28">
        <f t="shared" si="104"/>
        <v>-2.3913128868033744</v>
      </c>
      <c r="N189" s="28">
        <f t="shared" si="104"/>
        <v>-2.2286413290481173</v>
      </c>
      <c r="O189" s="28">
        <f t="shared" si="104"/>
        <v>-2.0659697712928597</v>
      </c>
      <c r="P189" s="28">
        <f t="shared" si="104"/>
        <v>-1.9032982135376026</v>
      </c>
      <c r="Q189" s="28">
        <f t="shared" si="104"/>
        <v>-1.7406266557823451</v>
      </c>
      <c r="R189" s="28">
        <f t="shared" si="104"/>
        <v>-1.577955098027088</v>
      </c>
      <c r="S189" s="28">
        <f t="shared" si="104"/>
        <v>-1.4152835402718305</v>
      </c>
      <c r="T189" s="28">
        <f t="shared" si="104"/>
        <v>-1.2526119825165734</v>
      </c>
      <c r="U189" s="28">
        <f t="shared" si="104"/>
        <v>-1.0899404247613158</v>
      </c>
      <c r="V189" s="28">
        <f t="shared" si="104"/>
        <v>-0.92726886700605826</v>
      </c>
      <c r="W189" s="28">
        <f t="shared" si="104"/>
        <v>-0.7645973092508016</v>
      </c>
      <c r="X189" s="29">
        <f t="shared" si="104"/>
        <v>-0.60192575149554317</v>
      </c>
    </row>
    <row r="190" spans="2:24" x14ac:dyDescent="0.35">
      <c r="B190" s="55"/>
      <c r="C190" s="19">
        <v>0.85</v>
      </c>
      <c r="D190" s="27">
        <f t="shared" si="105"/>
        <v>-3.6722331746911618</v>
      </c>
      <c r="E190" s="28">
        <f t="shared" si="105"/>
        <v>-3.5095616169359047</v>
      </c>
      <c r="F190" s="28">
        <f t="shared" si="103"/>
        <v>-3.3468900591806472</v>
      </c>
      <c r="G190" s="28">
        <f t="shared" si="103"/>
        <v>-3.1842185014253896</v>
      </c>
      <c r="H190" s="28">
        <f t="shared" si="104"/>
        <v>-3.0215469436701321</v>
      </c>
      <c r="I190" s="28">
        <f t="shared" si="104"/>
        <v>-2.858875385914875</v>
      </c>
      <c r="J190" s="28">
        <f t="shared" si="104"/>
        <v>-2.6962038281596179</v>
      </c>
      <c r="K190" s="28">
        <f t="shared" si="104"/>
        <v>-2.5335322704043604</v>
      </c>
      <c r="L190" s="28">
        <f t="shared" si="104"/>
        <v>-2.3708607126491028</v>
      </c>
      <c r="M190" s="28">
        <f t="shared" si="104"/>
        <v>-2.2081891548938453</v>
      </c>
      <c r="N190" s="28">
        <f t="shared" si="104"/>
        <v>-2.0455175971385882</v>
      </c>
      <c r="O190" s="28">
        <f t="shared" si="104"/>
        <v>-1.8828460393833306</v>
      </c>
      <c r="P190" s="28">
        <f t="shared" si="104"/>
        <v>-1.7201744816280735</v>
      </c>
      <c r="Q190" s="28">
        <f t="shared" si="104"/>
        <v>-1.557502923872816</v>
      </c>
      <c r="R190" s="28">
        <f t="shared" si="104"/>
        <v>-1.3948313661175589</v>
      </c>
      <c r="S190" s="28">
        <f t="shared" si="104"/>
        <v>-1.2321598083623013</v>
      </c>
      <c r="T190" s="28">
        <f t="shared" si="104"/>
        <v>-1.0694882506070442</v>
      </c>
      <c r="U190" s="28">
        <f t="shared" si="104"/>
        <v>-0.90681669285178668</v>
      </c>
      <c r="V190" s="28">
        <f t="shared" si="104"/>
        <v>-0.74414513509652913</v>
      </c>
      <c r="W190" s="28">
        <f t="shared" si="104"/>
        <v>-0.58147357734127247</v>
      </c>
      <c r="X190" s="29">
        <f t="shared" si="104"/>
        <v>-0.41880201958601404</v>
      </c>
    </row>
    <row r="191" spans="2:24" x14ac:dyDescent="0.35">
      <c r="B191" s="55"/>
      <c r="C191" s="19">
        <v>0.8</v>
      </c>
      <c r="D191" s="27">
        <f t="shared" si="105"/>
        <v>-3.4891094427816327</v>
      </c>
      <c r="E191" s="28">
        <f t="shared" si="105"/>
        <v>-3.3264378850263752</v>
      </c>
      <c r="F191" s="28">
        <f t="shared" si="103"/>
        <v>-3.1637663272711181</v>
      </c>
      <c r="G191" s="28">
        <f t="shared" si="103"/>
        <v>-3.0010947695158605</v>
      </c>
      <c r="H191" s="28">
        <f t="shared" si="104"/>
        <v>-2.838423211760603</v>
      </c>
      <c r="I191" s="28">
        <f t="shared" si="104"/>
        <v>-2.6757516540053459</v>
      </c>
      <c r="J191" s="28">
        <f t="shared" si="104"/>
        <v>-2.5130800962500888</v>
      </c>
      <c r="K191" s="28">
        <f t="shared" si="104"/>
        <v>-2.3504085384948312</v>
      </c>
      <c r="L191" s="28">
        <f t="shared" si="104"/>
        <v>-2.1877369807395737</v>
      </c>
      <c r="M191" s="28">
        <f t="shared" si="104"/>
        <v>-2.0250654229843161</v>
      </c>
      <c r="N191" s="28">
        <f t="shared" si="104"/>
        <v>-1.862393865229059</v>
      </c>
      <c r="O191" s="28">
        <f t="shared" si="104"/>
        <v>-1.6997223074738015</v>
      </c>
      <c r="P191" s="28">
        <f t="shared" si="104"/>
        <v>-1.5370507497185444</v>
      </c>
      <c r="Q191" s="28">
        <f t="shared" si="104"/>
        <v>-1.3743791919632868</v>
      </c>
      <c r="R191" s="28">
        <f t="shared" si="104"/>
        <v>-1.2117076342080297</v>
      </c>
      <c r="S191" s="28">
        <f t="shared" si="104"/>
        <v>-1.0490360764527722</v>
      </c>
      <c r="T191" s="28">
        <f t="shared" si="104"/>
        <v>-0.88636451869751509</v>
      </c>
      <c r="U191" s="28">
        <f t="shared" si="104"/>
        <v>-0.72369296094225755</v>
      </c>
      <c r="V191" s="28">
        <f t="shared" si="104"/>
        <v>-0.561021403187</v>
      </c>
      <c r="W191" s="28">
        <f t="shared" si="104"/>
        <v>-0.39834984543174334</v>
      </c>
      <c r="X191" s="29">
        <f t="shared" si="104"/>
        <v>-0.23567828767648491</v>
      </c>
    </row>
    <row r="192" spans="2:24" x14ac:dyDescent="0.35">
      <c r="B192" s="55"/>
      <c r="C192" s="19">
        <v>0.75</v>
      </c>
      <c r="D192" s="27">
        <f t="shared" si="105"/>
        <v>-3.3059857108721036</v>
      </c>
      <c r="E192" s="28">
        <f t="shared" si="105"/>
        <v>-3.1433141531168465</v>
      </c>
      <c r="F192" s="28">
        <f t="shared" si="103"/>
        <v>-2.9806425953615889</v>
      </c>
      <c r="G192" s="28">
        <f t="shared" si="103"/>
        <v>-2.8179710376063314</v>
      </c>
      <c r="H192" s="28">
        <f t="shared" si="104"/>
        <v>-2.6552994798510738</v>
      </c>
      <c r="I192" s="28">
        <f t="shared" si="104"/>
        <v>-2.4926279220958167</v>
      </c>
      <c r="J192" s="28">
        <f t="shared" si="104"/>
        <v>-2.3299563643405596</v>
      </c>
      <c r="K192" s="28">
        <f t="shared" si="104"/>
        <v>-2.1672848065853021</v>
      </c>
      <c r="L192" s="28">
        <f t="shared" si="104"/>
        <v>-2.0046132488300445</v>
      </c>
      <c r="M192" s="28">
        <f t="shared" si="104"/>
        <v>-1.841941691074787</v>
      </c>
      <c r="N192" s="28">
        <f t="shared" si="104"/>
        <v>-1.6792701333195299</v>
      </c>
      <c r="O192" s="28">
        <f t="shared" si="104"/>
        <v>-1.5165985755642724</v>
      </c>
      <c r="P192" s="28">
        <f t="shared" si="104"/>
        <v>-1.3539270178090153</v>
      </c>
      <c r="Q192" s="28">
        <f t="shared" si="104"/>
        <v>-1.1912554600537577</v>
      </c>
      <c r="R192" s="28">
        <f t="shared" si="104"/>
        <v>-1.0285839022985006</v>
      </c>
      <c r="S192" s="28">
        <f t="shared" si="104"/>
        <v>-0.86591234454324306</v>
      </c>
      <c r="T192" s="28">
        <f t="shared" si="104"/>
        <v>-0.70324078678798596</v>
      </c>
      <c r="U192" s="28">
        <f t="shared" si="104"/>
        <v>-0.54056922903272842</v>
      </c>
      <c r="V192" s="28">
        <f t="shared" si="104"/>
        <v>-0.37789767127747087</v>
      </c>
      <c r="W192" s="28">
        <f t="shared" si="104"/>
        <v>-0.21522611352221421</v>
      </c>
      <c r="X192" s="29">
        <f t="shared" si="104"/>
        <v>-5.2554555766955779E-2</v>
      </c>
    </row>
    <row r="193" spans="2:24" x14ac:dyDescent="0.35">
      <c r="B193" s="55"/>
      <c r="C193" s="19">
        <v>0.7</v>
      </c>
      <c r="D193" s="27">
        <f t="shared" si="105"/>
        <v>-3.122861978962574</v>
      </c>
      <c r="E193" s="28">
        <f t="shared" si="105"/>
        <v>-2.9601904212073169</v>
      </c>
      <c r="F193" s="28">
        <f t="shared" si="103"/>
        <v>-2.7975188634520594</v>
      </c>
      <c r="G193" s="28">
        <f t="shared" si="103"/>
        <v>-2.6348473056968018</v>
      </c>
      <c r="H193" s="28">
        <f t="shared" si="104"/>
        <v>-2.4721757479415443</v>
      </c>
      <c r="I193" s="28">
        <f t="shared" si="104"/>
        <v>-2.3095041901862872</v>
      </c>
      <c r="J193" s="28">
        <f t="shared" si="104"/>
        <v>-2.1468326324310301</v>
      </c>
      <c r="K193" s="28">
        <f t="shared" si="104"/>
        <v>-1.9841610746757725</v>
      </c>
      <c r="L193" s="28">
        <f t="shared" si="104"/>
        <v>-1.821489516920515</v>
      </c>
      <c r="M193" s="28">
        <f t="shared" si="104"/>
        <v>-1.6588179591652574</v>
      </c>
      <c r="N193" s="28">
        <f t="shared" si="104"/>
        <v>-1.4961464014100003</v>
      </c>
      <c r="O193" s="28">
        <f t="shared" si="104"/>
        <v>-1.3334748436547428</v>
      </c>
      <c r="P193" s="28">
        <f t="shared" si="104"/>
        <v>-1.1708032858994857</v>
      </c>
      <c r="Q193" s="28">
        <f t="shared" si="104"/>
        <v>-1.0081317281442281</v>
      </c>
      <c r="R193" s="28">
        <f t="shared" si="104"/>
        <v>-0.84546017038897103</v>
      </c>
      <c r="S193" s="28">
        <f t="shared" si="104"/>
        <v>-0.68278861263371349</v>
      </c>
      <c r="T193" s="28">
        <f t="shared" si="104"/>
        <v>-0.52011705487845639</v>
      </c>
      <c r="U193" s="28">
        <f t="shared" si="104"/>
        <v>-0.35744549712319884</v>
      </c>
      <c r="V193" s="28">
        <f t="shared" si="104"/>
        <v>-0.1947739393679413</v>
      </c>
      <c r="W193" s="28">
        <f t="shared" si="104"/>
        <v>-3.2102381612684638E-2</v>
      </c>
      <c r="X193" s="29">
        <f t="shared" si="104"/>
        <v>0.1305691761425738</v>
      </c>
    </row>
    <row r="194" spans="2:24" x14ac:dyDescent="0.35">
      <c r="B194" s="55"/>
      <c r="C194" s="19">
        <v>0.65</v>
      </c>
      <c r="D194" s="27">
        <f t="shared" si="105"/>
        <v>-2.9397382470530453</v>
      </c>
      <c r="E194" s="28">
        <f t="shared" si="105"/>
        <v>-2.7770666892977882</v>
      </c>
      <c r="F194" s="28">
        <f t="shared" si="103"/>
        <v>-2.6143951315425307</v>
      </c>
      <c r="G194" s="28">
        <f t="shared" si="103"/>
        <v>-2.4517235737872731</v>
      </c>
      <c r="H194" s="28">
        <f t="shared" si="104"/>
        <v>-2.2890520160320156</v>
      </c>
      <c r="I194" s="28">
        <f t="shared" si="104"/>
        <v>-2.1263804582767585</v>
      </c>
      <c r="J194" s="28">
        <f t="shared" si="104"/>
        <v>-1.9637089005215014</v>
      </c>
      <c r="K194" s="28">
        <f t="shared" si="104"/>
        <v>-1.8010373427662438</v>
      </c>
      <c r="L194" s="28">
        <f t="shared" si="104"/>
        <v>-1.6383657850109863</v>
      </c>
      <c r="M194" s="28">
        <f t="shared" si="104"/>
        <v>-1.4756942272557287</v>
      </c>
      <c r="N194" s="28">
        <f t="shared" si="104"/>
        <v>-1.3130226695004716</v>
      </c>
      <c r="O194" s="28">
        <f t="shared" si="104"/>
        <v>-1.1503511117452141</v>
      </c>
      <c r="P194" s="28">
        <f t="shared" si="104"/>
        <v>-0.98767955398995699</v>
      </c>
      <c r="Q194" s="28">
        <f t="shared" si="104"/>
        <v>-0.82500799623469945</v>
      </c>
      <c r="R194" s="28">
        <f t="shared" si="104"/>
        <v>-0.66233643847944235</v>
      </c>
      <c r="S194" s="28">
        <f t="shared" si="104"/>
        <v>-0.4996648807241848</v>
      </c>
      <c r="T194" s="28">
        <f t="shared" si="104"/>
        <v>-0.3369933229689277</v>
      </c>
      <c r="U194" s="28">
        <f t="shared" si="104"/>
        <v>-0.17432176521367015</v>
      </c>
      <c r="V194" s="28">
        <f t="shared" si="104"/>
        <v>-1.1650207458412609E-2</v>
      </c>
      <c r="W194" s="28">
        <f t="shared" si="104"/>
        <v>0.15102135029684405</v>
      </c>
      <c r="X194" s="29">
        <f t="shared" si="104"/>
        <v>0.31369290805210248</v>
      </c>
    </row>
    <row r="195" spans="2:24" x14ac:dyDescent="0.35">
      <c r="B195" s="55"/>
      <c r="C195" s="19">
        <v>0.6</v>
      </c>
      <c r="D195" s="27">
        <f t="shared" si="105"/>
        <v>-2.7566145151435157</v>
      </c>
      <c r="E195" s="28">
        <f t="shared" si="105"/>
        <v>-2.5939429573882586</v>
      </c>
      <c r="F195" s="28">
        <f t="shared" si="103"/>
        <v>-2.4312713996330011</v>
      </c>
      <c r="G195" s="28">
        <f t="shared" si="103"/>
        <v>-2.2685998418777436</v>
      </c>
      <c r="H195" s="28">
        <f t="shared" si="104"/>
        <v>-2.105928284122486</v>
      </c>
      <c r="I195" s="28">
        <f t="shared" si="104"/>
        <v>-1.9432567263672289</v>
      </c>
      <c r="J195" s="28">
        <f t="shared" si="104"/>
        <v>-1.7805851686119718</v>
      </c>
      <c r="K195" s="28">
        <f t="shared" si="104"/>
        <v>-1.6179136108567143</v>
      </c>
      <c r="L195" s="28">
        <f t="shared" si="104"/>
        <v>-1.4552420531014567</v>
      </c>
      <c r="M195" s="28">
        <f t="shared" si="104"/>
        <v>-1.2925704953461992</v>
      </c>
      <c r="N195" s="28">
        <f t="shared" si="104"/>
        <v>-1.1298989375909421</v>
      </c>
      <c r="O195" s="28">
        <f t="shared" si="104"/>
        <v>-0.96722737983568452</v>
      </c>
      <c r="P195" s="28">
        <f t="shared" si="104"/>
        <v>-0.80455582208042742</v>
      </c>
      <c r="Q195" s="28">
        <f t="shared" si="104"/>
        <v>-0.64188426432516987</v>
      </c>
      <c r="R195" s="28">
        <f t="shared" si="104"/>
        <v>-0.47921270656991277</v>
      </c>
      <c r="S195" s="28">
        <f t="shared" si="104"/>
        <v>-0.31654114881465523</v>
      </c>
      <c r="T195" s="28">
        <f t="shared" si="104"/>
        <v>-0.15386959105939813</v>
      </c>
      <c r="U195" s="28">
        <f t="shared" si="104"/>
        <v>8.80196669585942E-3</v>
      </c>
      <c r="V195" s="28">
        <f t="shared" si="104"/>
        <v>0.17147352445111697</v>
      </c>
      <c r="W195" s="28">
        <f t="shared" si="104"/>
        <v>0.33414508220637362</v>
      </c>
      <c r="X195" s="29">
        <f t="shared" si="104"/>
        <v>0.49681663996163206</v>
      </c>
    </row>
    <row r="196" spans="2:24" x14ac:dyDescent="0.35">
      <c r="B196" s="55"/>
      <c r="C196" s="19">
        <v>0.55000000000000004</v>
      </c>
      <c r="D196" s="27">
        <f t="shared" si="105"/>
        <v>-2.5734907832339871</v>
      </c>
      <c r="E196" s="28">
        <f t="shared" si="105"/>
        <v>-2.41081922547873</v>
      </c>
      <c r="F196" s="28">
        <f t="shared" si="103"/>
        <v>-2.2481476677234724</v>
      </c>
      <c r="G196" s="28">
        <f t="shared" si="103"/>
        <v>-2.0854761099682149</v>
      </c>
      <c r="H196" s="28">
        <f t="shared" si="104"/>
        <v>-1.9228045522129573</v>
      </c>
      <c r="I196" s="28">
        <f t="shared" si="104"/>
        <v>-1.7601329944577002</v>
      </c>
      <c r="J196" s="28">
        <f t="shared" si="104"/>
        <v>-1.5974614367024431</v>
      </c>
      <c r="K196" s="28">
        <f t="shared" si="104"/>
        <v>-1.4347898789471856</v>
      </c>
      <c r="L196" s="28">
        <f t="shared" si="104"/>
        <v>-1.272118321191928</v>
      </c>
      <c r="M196" s="28">
        <f t="shared" si="104"/>
        <v>-1.1094467634366705</v>
      </c>
      <c r="N196" s="28">
        <f t="shared" si="104"/>
        <v>-0.94677520568141338</v>
      </c>
      <c r="O196" s="28">
        <f t="shared" si="104"/>
        <v>-0.78410364792615583</v>
      </c>
      <c r="P196" s="28">
        <f t="shared" si="104"/>
        <v>-0.62143209017089873</v>
      </c>
      <c r="Q196" s="28">
        <f t="shared" si="104"/>
        <v>-0.45876053241564119</v>
      </c>
      <c r="R196" s="28">
        <f t="shared" si="104"/>
        <v>-0.29608897466038409</v>
      </c>
      <c r="S196" s="28">
        <f t="shared" si="104"/>
        <v>-0.13341741690512654</v>
      </c>
      <c r="T196" s="28">
        <f t="shared" si="104"/>
        <v>2.9254140850130561E-2</v>
      </c>
      <c r="U196" s="28">
        <f t="shared" si="104"/>
        <v>0.19192569860538811</v>
      </c>
      <c r="V196" s="28">
        <f t="shared" si="104"/>
        <v>0.35459725636064565</v>
      </c>
      <c r="W196" s="28">
        <f t="shared" si="104"/>
        <v>0.51726881411590231</v>
      </c>
      <c r="X196" s="29">
        <f t="shared" si="104"/>
        <v>0.67994037187116074</v>
      </c>
    </row>
    <row r="197" spans="2:24" x14ac:dyDescent="0.35">
      <c r="B197" s="55"/>
      <c r="C197" s="19">
        <v>0.5</v>
      </c>
      <c r="D197" s="27">
        <f t="shared" si="105"/>
        <v>-2.3903670513244579</v>
      </c>
      <c r="E197" s="28">
        <f t="shared" si="105"/>
        <v>-2.2276954935692004</v>
      </c>
      <c r="F197" s="28">
        <f t="shared" si="103"/>
        <v>-2.0650239358139428</v>
      </c>
      <c r="G197" s="28">
        <f t="shared" si="103"/>
        <v>-1.9023523780586855</v>
      </c>
      <c r="H197" s="28">
        <f t="shared" si="104"/>
        <v>-1.739680820303428</v>
      </c>
      <c r="I197" s="28">
        <f t="shared" si="104"/>
        <v>-1.5770092625481709</v>
      </c>
      <c r="J197" s="28">
        <f t="shared" si="104"/>
        <v>-1.4143377047929138</v>
      </c>
      <c r="K197" s="28">
        <f t="shared" si="104"/>
        <v>-1.2516661470376562</v>
      </c>
      <c r="L197" s="28">
        <f t="shared" si="104"/>
        <v>-1.0889945892823987</v>
      </c>
      <c r="M197" s="28">
        <f t="shared" si="104"/>
        <v>-0.92632303152714113</v>
      </c>
      <c r="N197" s="28">
        <f t="shared" si="104"/>
        <v>-0.76365147377188403</v>
      </c>
      <c r="O197" s="28">
        <f t="shared" si="104"/>
        <v>-0.60097991601662648</v>
      </c>
      <c r="P197" s="28">
        <f t="shared" si="104"/>
        <v>-0.43830835826136938</v>
      </c>
      <c r="Q197" s="28">
        <f t="shared" si="104"/>
        <v>-0.27563680050611183</v>
      </c>
      <c r="R197" s="28">
        <f t="shared" si="104"/>
        <v>-0.11296524275085473</v>
      </c>
      <c r="S197" s="28">
        <f t="shared" si="104"/>
        <v>4.970631500440259E-2</v>
      </c>
      <c r="T197" s="28">
        <f t="shared" si="104"/>
        <v>0.21237787275966014</v>
      </c>
      <c r="U197" s="28">
        <f t="shared" si="104"/>
        <v>0.37504943051491768</v>
      </c>
      <c r="V197" s="28">
        <f t="shared" si="104"/>
        <v>0.53772098827017523</v>
      </c>
      <c r="W197" s="28">
        <f t="shared" si="104"/>
        <v>0.70039254602543188</v>
      </c>
      <c r="X197" s="29">
        <f t="shared" si="104"/>
        <v>0.86306410378069032</v>
      </c>
    </row>
    <row r="198" spans="2:24" x14ac:dyDescent="0.35">
      <c r="B198" s="55"/>
      <c r="C198" s="19">
        <v>0.45</v>
      </c>
      <c r="D198" s="27">
        <f t="shared" si="105"/>
        <v>-2.2072433194149284</v>
      </c>
      <c r="E198" s="28">
        <f t="shared" si="105"/>
        <v>-2.0445717616596712</v>
      </c>
      <c r="F198" s="28">
        <f t="shared" si="103"/>
        <v>-1.8819002039044139</v>
      </c>
      <c r="G198" s="28">
        <f t="shared" si="103"/>
        <v>-1.7192286461491564</v>
      </c>
      <c r="H198" s="28">
        <f t="shared" si="104"/>
        <v>-1.5565570883938988</v>
      </c>
      <c r="I198" s="28">
        <f t="shared" si="104"/>
        <v>-1.3938855306386417</v>
      </c>
      <c r="J198" s="28">
        <f t="shared" si="104"/>
        <v>-1.2312139728833846</v>
      </c>
      <c r="K198" s="28">
        <f t="shared" si="104"/>
        <v>-1.0685424151281271</v>
      </c>
      <c r="L198" s="28">
        <f t="shared" si="104"/>
        <v>-0.90587085737286954</v>
      </c>
      <c r="M198" s="28">
        <f t="shared" si="104"/>
        <v>-0.743199299617612</v>
      </c>
      <c r="N198" s="28">
        <f t="shared" si="104"/>
        <v>-0.5805277418623549</v>
      </c>
      <c r="O198" s="28">
        <f t="shared" si="104"/>
        <v>-0.41785618410709735</v>
      </c>
      <c r="P198" s="28">
        <f t="shared" si="104"/>
        <v>-0.25518462635184025</v>
      </c>
      <c r="Q198" s="28">
        <f t="shared" si="104"/>
        <v>-9.2513068596582704E-2</v>
      </c>
      <c r="R198" s="28">
        <f t="shared" si="104"/>
        <v>7.015848915867462E-2</v>
      </c>
      <c r="S198" s="28">
        <f t="shared" si="104"/>
        <v>0.23283004691393216</v>
      </c>
      <c r="T198" s="28">
        <f t="shared" si="104"/>
        <v>0.39550160466918882</v>
      </c>
      <c r="U198" s="28">
        <f t="shared" si="104"/>
        <v>0.55817316242444637</v>
      </c>
      <c r="V198" s="28">
        <f t="shared" si="104"/>
        <v>0.72084472017970391</v>
      </c>
      <c r="W198" s="28">
        <f t="shared" si="104"/>
        <v>0.88351627793496057</v>
      </c>
      <c r="X198" s="29">
        <f t="shared" si="104"/>
        <v>1.046187835690219</v>
      </c>
    </row>
    <row r="199" spans="2:24" x14ac:dyDescent="0.35">
      <c r="B199" s="55"/>
      <c r="C199" s="19">
        <v>0.4</v>
      </c>
      <c r="D199" s="27">
        <f t="shared" si="105"/>
        <v>-2.0241195875053997</v>
      </c>
      <c r="E199" s="28">
        <f t="shared" si="105"/>
        <v>-1.8614480297501421</v>
      </c>
      <c r="F199" s="28">
        <f t="shared" si="103"/>
        <v>-1.6987764719948848</v>
      </c>
      <c r="G199" s="28">
        <f t="shared" si="103"/>
        <v>-1.5361049142396273</v>
      </c>
      <c r="H199" s="28">
        <f t="shared" si="104"/>
        <v>-1.3734333564843697</v>
      </c>
      <c r="I199" s="28">
        <f t="shared" si="104"/>
        <v>-1.2107617987291126</v>
      </c>
      <c r="J199" s="28">
        <f t="shared" si="104"/>
        <v>-1.0480902409738555</v>
      </c>
      <c r="K199" s="28">
        <f t="shared" si="104"/>
        <v>-0.88541868321859796</v>
      </c>
      <c r="L199" s="28">
        <f t="shared" si="104"/>
        <v>-0.72274712546334041</v>
      </c>
      <c r="M199" s="28">
        <f t="shared" si="104"/>
        <v>-0.56007556770808287</v>
      </c>
      <c r="N199" s="28">
        <f t="shared" si="104"/>
        <v>-0.39740400995282577</v>
      </c>
      <c r="O199" s="28">
        <f t="shared" si="104"/>
        <v>-0.23473245219756822</v>
      </c>
      <c r="P199" s="28">
        <f t="shared" si="104"/>
        <v>-7.2060894442310897E-2</v>
      </c>
      <c r="Q199" s="28">
        <f t="shared" si="104"/>
        <v>9.0610663312946649E-2</v>
      </c>
      <c r="R199" s="28">
        <f t="shared" si="104"/>
        <v>0.25328222106820331</v>
      </c>
      <c r="S199" s="28">
        <f t="shared" si="104"/>
        <v>0.41595377882346085</v>
      </c>
      <c r="T199" s="28">
        <f t="shared" si="104"/>
        <v>0.5786253365787184</v>
      </c>
      <c r="U199" s="28">
        <f t="shared" si="104"/>
        <v>0.74129689433397594</v>
      </c>
      <c r="V199" s="28">
        <f t="shared" si="104"/>
        <v>0.90396845208923349</v>
      </c>
      <c r="W199" s="28">
        <f t="shared" si="104"/>
        <v>1.0666400098444901</v>
      </c>
      <c r="X199" s="29">
        <f t="shared" si="104"/>
        <v>1.2293115675997486</v>
      </c>
    </row>
    <row r="200" spans="2:24" x14ac:dyDescent="0.35">
      <c r="B200" s="55"/>
      <c r="C200" s="19">
        <v>0.35</v>
      </c>
      <c r="D200" s="27">
        <f t="shared" si="105"/>
        <v>-1.8409958555958701</v>
      </c>
      <c r="E200" s="28">
        <f t="shared" si="105"/>
        <v>-1.6783242978406128</v>
      </c>
      <c r="F200" s="28">
        <f t="shared" si="103"/>
        <v>-1.5156527400853554</v>
      </c>
      <c r="G200" s="28">
        <f t="shared" si="103"/>
        <v>-1.3529811823300979</v>
      </c>
      <c r="H200" s="28">
        <f t="shared" si="104"/>
        <v>-1.1903096245748404</v>
      </c>
      <c r="I200" s="28">
        <f t="shared" si="104"/>
        <v>-1.0276380668195833</v>
      </c>
      <c r="J200" s="28">
        <f t="shared" si="104"/>
        <v>-0.86496650906432615</v>
      </c>
      <c r="K200" s="28">
        <f t="shared" si="104"/>
        <v>-0.7022949513090686</v>
      </c>
      <c r="L200" s="28">
        <f t="shared" si="104"/>
        <v>-0.53962339355381106</v>
      </c>
      <c r="M200" s="28">
        <f t="shared" si="104"/>
        <v>-0.37695183579855351</v>
      </c>
      <c r="N200" s="28">
        <f t="shared" si="104"/>
        <v>-0.21428027804329641</v>
      </c>
      <c r="O200" s="28">
        <f t="shared" si="104"/>
        <v>-5.1608720288038867E-2</v>
      </c>
      <c r="P200" s="28">
        <f t="shared" si="104"/>
        <v>0.11106283746721823</v>
      </c>
      <c r="Q200" s="28">
        <f t="shared" si="104"/>
        <v>0.27373439522247578</v>
      </c>
      <c r="R200" s="28">
        <f t="shared" si="104"/>
        <v>0.43640595297773288</v>
      </c>
      <c r="S200" s="28">
        <f t="shared" si="104"/>
        <v>0.59907751073299043</v>
      </c>
      <c r="T200" s="28">
        <f t="shared" si="104"/>
        <v>0.76174906848824753</v>
      </c>
      <c r="U200" s="28">
        <f t="shared" si="104"/>
        <v>0.92442062624350507</v>
      </c>
      <c r="V200" s="28">
        <f t="shared" si="104"/>
        <v>1.0870921839987626</v>
      </c>
      <c r="W200" s="28">
        <f t="shared" si="104"/>
        <v>1.2497637417540193</v>
      </c>
      <c r="X200" s="29">
        <f t="shared" si="104"/>
        <v>1.4124352995092777</v>
      </c>
    </row>
    <row r="201" spans="2:24" x14ac:dyDescent="0.35">
      <c r="B201" s="55"/>
      <c r="C201" s="19">
        <v>0.3</v>
      </c>
      <c r="D201" s="27">
        <f t="shared" si="105"/>
        <v>-1.657872123686341</v>
      </c>
      <c r="E201" s="28">
        <f t="shared" si="105"/>
        <v>-1.4952005659310836</v>
      </c>
      <c r="F201" s="28">
        <f t="shared" si="103"/>
        <v>-1.3325290081758263</v>
      </c>
      <c r="G201" s="28">
        <f t="shared" si="103"/>
        <v>-1.1698574504205688</v>
      </c>
      <c r="H201" s="28">
        <f t="shared" si="104"/>
        <v>-1.0071858926653112</v>
      </c>
      <c r="I201" s="28">
        <f t="shared" si="104"/>
        <v>-0.84451433491005412</v>
      </c>
      <c r="J201" s="28">
        <f t="shared" si="104"/>
        <v>-0.68184277715479702</v>
      </c>
      <c r="K201" s="28">
        <f t="shared" si="104"/>
        <v>-0.51917121939953947</v>
      </c>
      <c r="L201" s="28">
        <f t="shared" si="104"/>
        <v>-0.35649966164428193</v>
      </c>
      <c r="M201" s="28">
        <f t="shared" si="104"/>
        <v>-0.19382810388902438</v>
      </c>
      <c r="N201" s="28">
        <f t="shared" si="104"/>
        <v>-3.1156546133767282E-2</v>
      </c>
      <c r="O201" s="28">
        <f t="shared" si="104"/>
        <v>0.13151501162149026</v>
      </c>
      <c r="P201" s="28">
        <f t="shared" si="104"/>
        <v>0.29418656937674736</v>
      </c>
      <c r="Q201" s="28">
        <f t="shared" si="104"/>
        <v>0.45685812713200491</v>
      </c>
      <c r="R201" s="28">
        <f t="shared" si="104"/>
        <v>0.61952968488726201</v>
      </c>
      <c r="S201" s="28">
        <f t="shared" si="104"/>
        <v>0.78220124264251956</v>
      </c>
      <c r="T201" s="28">
        <f t="shared" si="104"/>
        <v>0.94487280039777666</v>
      </c>
      <c r="U201" s="28">
        <f t="shared" si="104"/>
        <v>1.1075443581530342</v>
      </c>
      <c r="V201" s="28">
        <f t="shared" si="104"/>
        <v>1.2702159159082917</v>
      </c>
      <c r="W201" s="28">
        <f t="shared" si="104"/>
        <v>1.4328874736635484</v>
      </c>
      <c r="X201" s="29">
        <f t="shared" si="104"/>
        <v>1.5955590314188068</v>
      </c>
    </row>
    <row r="202" spans="2:24" x14ac:dyDescent="0.35">
      <c r="B202" s="55"/>
      <c r="C202" s="19">
        <v>0.25</v>
      </c>
      <c r="D202" s="27">
        <f t="shared" si="105"/>
        <v>-1.4747483917768118</v>
      </c>
      <c r="E202" s="28">
        <f t="shared" si="105"/>
        <v>-1.3120768340215547</v>
      </c>
      <c r="F202" s="28">
        <f t="shared" si="103"/>
        <v>-1.1494052762662972</v>
      </c>
      <c r="G202" s="28">
        <f t="shared" si="103"/>
        <v>-0.98673371851103964</v>
      </c>
      <c r="H202" s="28">
        <f t="shared" si="103"/>
        <v>-0.82406216075578209</v>
      </c>
      <c r="I202" s="28">
        <f t="shared" si="103"/>
        <v>-0.66139060300052499</v>
      </c>
      <c r="J202" s="28">
        <f t="shared" si="103"/>
        <v>-0.49871904524526789</v>
      </c>
      <c r="K202" s="28">
        <f t="shared" si="103"/>
        <v>-0.33604748749001034</v>
      </c>
      <c r="L202" s="28">
        <f t="shared" si="103"/>
        <v>-0.1733759297347528</v>
      </c>
      <c r="M202" s="28">
        <f t="shared" si="103"/>
        <v>-1.0704371979495253E-2</v>
      </c>
      <c r="N202" s="28">
        <f t="shared" si="103"/>
        <v>0.15196718577576185</v>
      </c>
      <c r="O202" s="28">
        <f t="shared" si="103"/>
        <v>0.31463874353101939</v>
      </c>
      <c r="P202" s="28">
        <f t="shared" si="103"/>
        <v>0.47731030128627649</v>
      </c>
      <c r="Q202" s="28">
        <f t="shared" si="103"/>
        <v>0.63998185904153404</v>
      </c>
      <c r="R202" s="28">
        <f t="shared" si="103"/>
        <v>0.80265341679679114</v>
      </c>
      <c r="S202" s="28">
        <f t="shared" si="103"/>
        <v>0.96532497455204869</v>
      </c>
      <c r="T202" s="28">
        <f t="shared" si="103"/>
        <v>1.1279965323073058</v>
      </c>
      <c r="U202" s="28">
        <f t="shared" ref="U202:X202" si="106">(U$208 * $P$5) + $P$8 + ($C202 * $P$6) + $P$9</f>
        <v>1.2906680900625633</v>
      </c>
      <c r="V202" s="28">
        <f t="shared" si="106"/>
        <v>1.4533396478178209</v>
      </c>
      <c r="W202" s="28">
        <f t="shared" si="106"/>
        <v>1.6160112055730775</v>
      </c>
      <c r="X202" s="29">
        <f t="shared" si="106"/>
        <v>1.778682763328336</v>
      </c>
    </row>
    <row r="203" spans="2:24" x14ac:dyDescent="0.35">
      <c r="B203" s="55"/>
      <c r="C203" s="19">
        <v>0.2</v>
      </c>
      <c r="D203" s="27">
        <f t="shared" si="105"/>
        <v>-1.2916246598672827</v>
      </c>
      <c r="E203" s="28">
        <f t="shared" si="105"/>
        <v>-1.1289531021120256</v>
      </c>
      <c r="F203" s="28">
        <f t="shared" si="105"/>
        <v>-0.96628154435676805</v>
      </c>
      <c r="G203" s="28">
        <f t="shared" si="105"/>
        <v>-0.80360998660151051</v>
      </c>
      <c r="H203" s="28">
        <f t="shared" si="105"/>
        <v>-0.64093842884625296</v>
      </c>
      <c r="I203" s="28">
        <f t="shared" si="105"/>
        <v>-0.47826687109099586</v>
      </c>
      <c r="J203" s="28">
        <f t="shared" si="105"/>
        <v>-0.31559531333573876</v>
      </c>
      <c r="K203" s="28">
        <f t="shared" si="105"/>
        <v>-0.15292375558048121</v>
      </c>
      <c r="L203" s="28">
        <f t="shared" si="105"/>
        <v>9.7478021747763322E-3</v>
      </c>
      <c r="M203" s="28">
        <f t="shared" si="105"/>
        <v>0.17241935993003388</v>
      </c>
      <c r="N203" s="28">
        <f t="shared" si="105"/>
        <v>0.33509091768529098</v>
      </c>
      <c r="O203" s="28">
        <f t="shared" si="105"/>
        <v>0.49776247544054852</v>
      </c>
      <c r="P203" s="28">
        <f t="shared" si="105"/>
        <v>0.66043403319580563</v>
      </c>
      <c r="Q203" s="28">
        <f t="shared" si="105"/>
        <v>0.82310559095106317</v>
      </c>
      <c r="R203" s="28">
        <f t="shared" si="105"/>
        <v>0.98577714870632027</v>
      </c>
      <c r="S203" s="28">
        <f t="shared" si="105"/>
        <v>1.1484487064615778</v>
      </c>
      <c r="T203" s="28">
        <f t="shared" ref="T203:X207" si="107">(T$208 * $P$5) + $P$8 + ($C203 * $P$6) + $P$9</f>
        <v>1.3111202642168349</v>
      </c>
      <c r="U203" s="28">
        <f t="shared" si="107"/>
        <v>1.4737918219720925</v>
      </c>
      <c r="V203" s="28">
        <f t="shared" si="107"/>
        <v>1.63646337972735</v>
      </c>
      <c r="W203" s="28">
        <f t="shared" si="107"/>
        <v>1.7991349374826067</v>
      </c>
      <c r="X203" s="29">
        <f t="shared" si="107"/>
        <v>1.9618064952378651</v>
      </c>
    </row>
    <row r="204" spans="2:24" x14ac:dyDescent="0.35">
      <c r="B204" s="55"/>
      <c r="C204" s="19">
        <v>0.15</v>
      </c>
      <c r="D204" s="27">
        <f t="shared" si="105"/>
        <v>-1.1085009279577536</v>
      </c>
      <c r="E204" s="28">
        <f t="shared" si="105"/>
        <v>-0.94582937020249624</v>
      </c>
      <c r="F204" s="28">
        <f t="shared" si="105"/>
        <v>-0.78315781244723892</v>
      </c>
      <c r="G204" s="28">
        <f t="shared" si="105"/>
        <v>-0.62048625469198138</v>
      </c>
      <c r="H204" s="28">
        <f t="shared" si="105"/>
        <v>-0.45781469693672383</v>
      </c>
      <c r="I204" s="28">
        <f t="shared" si="105"/>
        <v>-0.29514313918146673</v>
      </c>
      <c r="J204" s="28">
        <f t="shared" si="105"/>
        <v>-0.13247158142620963</v>
      </c>
      <c r="K204" s="28">
        <f t="shared" si="105"/>
        <v>3.0199976329047917E-2</v>
      </c>
      <c r="L204" s="28">
        <f t="shared" si="105"/>
        <v>0.19287153408430546</v>
      </c>
      <c r="M204" s="28">
        <f t="shared" si="105"/>
        <v>0.35554309183956301</v>
      </c>
      <c r="N204" s="28">
        <f t="shared" si="105"/>
        <v>0.51821464959482011</v>
      </c>
      <c r="O204" s="28">
        <f t="shared" si="105"/>
        <v>0.68088620735007765</v>
      </c>
      <c r="P204" s="28">
        <f t="shared" si="105"/>
        <v>0.84355776510533476</v>
      </c>
      <c r="Q204" s="28">
        <f t="shared" si="105"/>
        <v>1.0062293228605923</v>
      </c>
      <c r="R204" s="28">
        <f t="shared" si="105"/>
        <v>1.1689008806158494</v>
      </c>
      <c r="S204" s="28">
        <f t="shared" si="105"/>
        <v>1.3315724383711069</v>
      </c>
      <c r="T204" s="28">
        <f t="shared" si="107"/>
        <v>1.494243996126364</v>
      </c>
      <c r="U204" s="28">
        <f t="shared" si="107"/>
        <v>1.6569155538816216</v>
      </c>
      <c r="V204" s="28">
        <f t="shared" si="107"/>
        <v>1.8195871116368791</v>
      </c>
      <c r="W204" s="28">
        <f t="shared" si="107"/>
        <v>1.9822586693921354</v>
      </c>
      <c r="X204" s="29">
        <f t="shared" si="107"/>
        <v>2.1449302271473938</v>
      </c>
    </row>
    <row r="205" spans="2:24" x14ac:dyDescent="0.35">
      <c r="B205" s="55"/>
      <c r="C205" s="19">
        <v>0.1</v>
      </c>
      <c r="D205" s="27">
        <f t="shared" si="105"/>
        <v>-0.92537719604822444</v>
      </c>
      <c r="E205" s="28">
        <f t="shared" si="105"/>
        <v>-0.76270563829296711</v>
      </c>
      <c r="F205" s="28">
        <f t="shared" si="105"/>
        <v>-0.60003408053770979</v>
      </c>
      <c r="G205" s="28">
        <f t="shared" si="105"/>
        <v>-0.43736252278245225</v>
      </c>
      <c r="H205" s="28">
        <f t="shared" si="105"/>
        <v>-0.2746909650271947</v>
      </c>
      <c r="I205" s="28">
        <f t="shared" si="105"/>
        <v>-0.1120194072719376</v>
      </c>
      <c r="J205" s="28">
        <f t="shared" si="105"/>
        <v>5.0652150483319502E-2</v>
      </c>
      <c r="K205" s="28">
        <f t="shared" si="105"/>
        <v>0.21332370823857705</v>
      </c>
      <c r="L205" s="28">
        <f t="shared" si="105"/>
        <v>0.37599526599383459</v>
      </c>
      <c r="M205" s="28">
        <f t="shared" si="105"/>
        <v>0.53866682374909214</v>
      </c>
      <c r="N205" s="28">
        <f t="shared" si="105"/>
        <v>0.70133838150434924</v>
      </c>
      <c r="O205" s="28">
        <f t="shared" si="105"/>
        <v>0.86400993925960679</v>
      </c>
      <c r="P205" s="28">
        <f t="shared" si="105"/>
        <v>1.0266814970148639</v>
      </c>
      <c r="Q205" s="28">
        <f t="shared" si="105"/>
        <v>1.1893530547701214</v>
      </c>
      <c r="R205" s="28">
        <f t="shared" si="105"/>
        <v>1.3520246125253785</v>
      </c>
      <c r="S205" s="28">
        <f t="shared" si="105"/>
        <v>1.5146961702806361</v>
      </c>
      <c r="T205" s="28">
        <f t="shared" si="107"/>
        <v>1.6773677280358932</v>
      </c>
      <c r="U205" s="28">
        <f t="shared" si="107"/>
        <v>1.8400392857911507</v>
      </c>
      <c r="V205" s="28">
        <f t="shared" si="107"/>
        <v>2.0027108435464083</v>
      </c>
      <c r="W205" s="28">
        <f t="shared" si="107"/>
        <v>2.1653824013016649</v>
      </c>
      <c r="X205" s="29">
        <f t="shared" si="107"/>
        <v>2.3280539590569234</v>
      </c>
    </row>
    <row r="206" spans="2:24" x14ac:dyDescent="0.35">
      <c r="B206" s="55"/>
      <c r="C206" s="19">
        <v>0.05</v>
      </c>
      <c r="D206" s="27">
        <f t="shared" si="105"/>
        <v>-0.74225346413869531</v>
      </c>
      <c r="E206" s="28">
        <f t="shared" si="105"/>
        <v>-0.57958190638343798</v>
      </c>
      <c r="F206" s="28">
        <f t="shared" si="105"/>
        <v>-0.41691034862818066</v>
      </c>
      <c r="G206" s="28">
        <f t="shared" si="105"/>
        <v>-0.25423879087292311</v>
      </c>
      <c r="H206" s="28">
        <f t="shared" si="105"/>
        <v>-9.156723311766557E-2</v>
      </c>
      <c r="I206" s="28">
        <f t="shared" si="105"/>
        <v>7.1104324637591532E-2</v>
      </c>
      <c r="J206" s="28">
        <f t="shared" si="105"/>
        <v>0.23377588239284863</v>
      </c>
      <c r="K206" s="28">
        <f t="shared" si="105"/>
        <v>0.39644744014810618</v>
      </c>
      <c r="L206" s="28">
        <f t="shared" si="105"/>
        <v>0.55911899790336372</v>
      </c>
      <c r="M206" s="28">
        <f t="shared" si="105"/>
        <v>0.72179055565862127</v>
      </c>
      <c r="N206" s="28">
        <f t="shared" si="105"/>
        <v>0.88446211341387837</v>
      </c>
      <c r="O206" s="28">
        <f t="shared" si="105"/>
        <v>1.0471336711691359</v>
      </c>
      <c r="P206" s="28">
        <f t="shared" si="105"/>
        <v>1.209805228924393</v>
      </c>
      <c r="Q206" s="28">
        <f t="shared" si="105"/>
        <v>1.3724767866796506</v>
      </c>
      <c r="R206" s="28">
        <f t="shared" si="105"/>
        <v>1.5351483444349077</v>
      </c>
      <c r="S206" s="28">
        <f t="shared" si="105"/>
        <v>1.6978199021901652</v>
      </c>
      <c r="T206" s="28">
        <f t="shared" si="107"/>
        <v>1.8604914599454223</v>
      </c>
      <c r="U206" s="28">
        <f t="shared" si="107"/>
        <v>2.0231630177006794</v>
      </c>
      <c r="V206" s="28">
        <f t="shared" si="107"/>
        <v>2.185834575455937</v>
      </c>
      <c r="W206" s="28">
        <f t="shared" si="107"/>
        <v>2.3485061332111936</v>
      </c>
      <c r="X206" s="29">
        <f t="shared" si="107"/>
        <v>2.511177690966452</v>
      </c>
    </row>
    <row r="207" spans="2:24" ht="15" thickBot="1" x14ac:dyDescent="0.4">
      <c r="B207" s="56"/>
      <c r="C207" s="20">
        <v>0</v>
      </c>
      <c r="D207" s="30">
        <f t="shared" si="105"/>
        <v>-0.55912973222916618</v>
      </c>
      <c r="E207" s="31">
        <f t="shared" si="105"/>
        <v>-0.39645817447390885</v>
      </c>
      <c r="F207" s="31">
        <f t="shared" si="105"/>
        <v>-0.23378661671865153</v>
      </c>
      <c r="G207" s="31">
        <f t="shared" si="105"/>
        <v>-7.1115058963393984E-2</v>
      </c>
      <c r="H207" s="31">
        <f t="shared" si="105"/>
        <v>9.1556498791863561E-2</v>
      </c>
      <c r="I207" s="31">
        <f t="shared" si="105"/>
        <v>0.25422805654712066</v>
      </c>
      <c r="J207" s="31">
        <f t="shared" si="105"/>
        <v>0.41689961430237776</v>
      </c>
      <c r="K207" s="31">
        <f t="shared" si="105"/>
        <v>0.57957117205763531</v>
      </c>
      <c r="L207" s="31">
        <f t="shared" si="105"/>
        <v>0.74224272981289285</v>
      </c>
      <c r="M207" s="31">
        <f t="shared" si="105"/>
        <v>0.9049142875681504</v>
      </c>
      <c r="N207" s="31">
        <f t="shared" si="105"/>
        <v>1.0675858453234075</v>
      </c>
      <c r="O207" s="31">
        <f t="shared" si="105"/>
        <v>1.230257403078665</v>
      </c>
      <c r="P207" s="31">
        <f t="shared" si="105"/>
        <v>1.3929289608339221</v>
      </c>
      <c r="Q207" s="31">
        <f t="shared" si="105"/>
        <v>1.5556005185891797</v>
      </c>
      <c r="R207" s="31">
        <f t="shared" si="105"/>
        <v>1.7182720763444368</v>
      </c>
      <c r="S207" s="31">
        <f t="shared" si="105"/>
        <v>1.8809436340996943</v>
      </c>
      <c r="T207" s="31">
        <f t="shared" si="107"/>
        <v>2.0436151918549514</v>
      </c>
      <c r="U207" s="31">
        <f t="shared" si="107"/>
        <v>2.206286749610209</v>
      </c>
      <c r="V207" s="31">
        <f t="shared" si="107"/>
        <v>2.3689583073654665</v>
      </c>
      <c r="W207" s="31">
        <f t="shared" si="107"/>
        <v>2.5316298651207232</v>
      </c>
      <c r="X207" s="32">
        <f t="shared" si="107"/>
        <v>2.6943014228759816</v>
      </c>
    </row>
    <row r="208" spans="2:24" x14ac:dyDescent="0.35">
      <c r="C208" s="6"/>
      <c r="D208" s="23">
        <v>0</v>
      </c>
      <c r="E208" s="21">
        <v>0.05</v>
      </c>
      <c r="F208" s="21">
        <v>0.1</v>
      </c>
      <c r="G208" s="21">
        <v>0.15</v>
      </c>
      <c r="H208" s="21">
        <v>0.2</v>
      </c>
      <c r="I208" s="21">
        <v>0.25</v>
      </c>
      <c r="J208" s="21">
        <v>0.3</v>
      </c>
      <c r="K208" s="21">
        <v>0.35</v>
      </c>
      <c r="L208" s="21">
        <v>0.4</v>
      </c>
      <c r="M208" s="21">
        <v>0.45</v>
      </c>
      <c r="N208" s="21">
        <v>0.5</v>
      </c>
      <c r="O208" s="21">
        <v>0.55000000000000004</v>
      </c>
      <c r="P208" s="21">
        <v>0.6</v>
      </c>
      <c r="Q208" s="21">
        <v>0.65</v>
      </c>
      <c r="R208" s="21">
        <v>0.7</v>
      </c>
      <c r="S208" s="21">
        <v>0.75</v>
      </c>
      <c r="T208" s="21">
        <v>0.8</v>
      </c>
      <c r="U208" s="21">
        <v>0.85</v>
      </c>
      <c r="V208" s="21">
        <v>0.9</v>
      </c>
      <c r="W208" s="21">
        <v>0.95</v>
      </c>
      <c r="X208" s="22">
        <v>1</v>
      </c>
    </row>
    <row r="209" spans="3:24" ht="21.5" thickBot="1" x14ac:dyDescent="0.55000000000000004">
      <c r="C209" s="6"/>
      <c r="D209" s="57" t="s">
        <v>59</v>
      </c>
      <c r="E209" s="58"/>
      <c r="F209" s="58"/>
      <c r="G209" s="58"/>
      <c r="H209" s="58"/>
      <c r="I209" s="58"/>
      <c r="J209" s="58"/>
      <c r="K209" s="58"/>
      <c r="L209" s="58"/>
      <c r="M209" s="58"/>
      <c r="N209" s="58"/>
      <c r="O209" s="58"/>
      <c r="P209" s="58"/>
      <c r="Q209" s="58"/>
      <c r="R209" s="58"/>
      <c r="S209" s="58"/>
      <c r="T209" s="58"/>
      <c r="U209" s="58"/>
      <c r="V209" s="58"/>
      <c r="W209" s="58"/>
      <c r="X209" s="59"/>
    </row>
  </sheetData>
  <mergeCells count="23">
    <mergeCell ref="B97:D97"/>
    <mergeCell ref="AP3:AU3"/>
    <mergeCell ref="AW3:BB3"/>
    <mergeCell ref="BD3:BI3"/>
    <mergeCell ref="C3:E3"/>
    <mergeCell ref="G3:I3"/>
    <mergeCell ref="X3:AA3"/>
    <mergeCell ref="AC3:AF3"/>
    <mergeCell ref="AI3:AN3"/>
    <mergeCell ref="K3:M3"/>
    <mergeCell ref="R3:U3"/>
    <mergeCell ref="D131:X131"/>
    <mergeCell ref="B108:X108"/>
    <mergeCell ref="B134:X134"/>
    <mergeCell ref="B135:B155"/>
    <mergeCell ref="B109:B129"/>
    <mergeCell ref="B187:B207"/>
    <mergeCell ref="D209:X209"/>
    <mergeCell ref="D157:X157"/>
    <mergeCell ref="B160:X160"/>
    <mergeCell ref="B161:B181"/>
    <mergeCell ref="D183:X183"/>
    <mergeCell ref="B186:X186"/>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57150</xdr:colOff>
                    <xdr:row>36</xdr:row>
                    <xdr:rowOff>6350</xdr:rowOff>
                  </from>
                  <to>
                    <xdr:col>8</xdr:col>
                    <xdr:colOff>63500</xdr:colOff>
                    <xdr:row>39</xdr:row>
                    <xdr:rowOff>57150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273050</xdr:colOff>
                    <xdr:row>36</xdr:row>
                    <xdr:rowOff>12700</xdr:rowOff>
                  </from>
                  <to>
                    <xdr:col>11</xdr:col>
                    <xdr:colOff>69850</xdr:colOff>
                    <xdr:row>39</xdr:row>
                    <xdr:rowOff>44450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425450</xdr:colOff>
                    <xdr:row>40</xdr:row>
                    <xdr:rowOff>120650</xdr:rowOff>
                  </from>
                  <to>
                    <xdr:col>6</xdr:col>
                    <xdr:colOff>609600</xdr:colOff>
                    <xdr:row>43</xdr:row>
                    <xdr:rowOff>101600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82550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68</v>
      </c>
      <c r="C1" s="71" t="s">
        <v>60</v>
      </c>
      <c r="D1" s="71"/>
      <c r="F1" s="71" t="s">
        <v>63</v>
      </c>
      <c r="G1" s="71"/>
      <c r="I1" s="71" t="s">
        <v>64</v>
      </c>
      <c r="J1" s="71"/>
      <c r="L1" s="71" t="s">
        <v>65</v>
      </c>
      <c r="M1" s="71"/>
      <c r="O1" s="71" t="s">
        <v>66</v>
      </c>
      <c r="P1" s="71"/>
      <c r="R1" s="71" t="s">
        <v>67</v>
      </c>
      <c r="S1" s="71"/>
    </row>
    <row r="2" spans="1:39" x14ac:dyDescent="0.35">
      <c r="A2" t="s">
        <v>17</v>
      </c>
      <c r="C2" t="s">
        <v>61</v>
      </c>
      <c r="D2" t="s">
        <v>62</v>
      </c>
      <c r="F2" t="s">
        <v>69</v>
      </c>
      <c r="G2" t="s">
        <v>62</v>
      </c>
      <c r="I2" t="s">
        <v>61</v>
      </c>
      <c r="J2" t="s">
        <v>62</v>
      </c>
      <c r="L2" t="s">
        <v>69</v>
      </c>
      <c r="M2" t="s">
        <v>62</v>
      </c>
      <c r="O2" t="s">
        <v>61</v>
      </c>
      <c r="P2" t="s">
        <v>62</v>
      </c>
      <c r="R2" t="s">
        <v>69</v>
      </c>
      <c r="S2" t="s">
        <v>62</v>
      </c>
    </row>
    <row r="3" spans="1:39" x14ac:dyDescent="0.35">
      <c r="A3" s="3">
        <v>1.96846399442027</v>
      </c>
      <c r="B3" s="3"/>
      <c r="C3" s="3">
        <v>1.0178093774601931</v>
      </c>
      <c r="D3" s="3">
        <v>-2.8627861163995398E-2</v>
      </c>
      <c r="E3" s="3"/>
      <c r="F3" s="3">
        <v>-0.23870176422359873</v>
      </c>
      <c r="G3" s="3">
        <v>-4.4755268127785741E-4</v>
      </c>
      <c r="H3" s="3"/>
      <c r="I3" s="3">
        <v>-1.5740094414890893</v>
      </c>
      <c r="J3" s="3">
        <v>6.4708145239586567E-2</v>
      </c>
      <c r="K3" s="3"/>
      <c r="L3" s="3">
        <v>0.47804121429920043</v>
      </c>
      <c r="M3" s="3">
        <v>-1.3673716493000927E-2</v>
      </c>
      <c r="N3" s="3"/>
      <c r="O3" s="3">
        <v>-1.4939236443586075</v>
      </c>
      <c r="P3" s="3">
        <v>-6.2031927522625034E-2</v>
      </c>
      <c r="Q3" s="3"/>
      <c r="R3" s="3">
        <v>-9.625942306813029E-2</v>
      </c>
      <c r="S3" s="3">
        <v>-1.3673716493000927E-2</v>
      </c>
      <c r="T3" s="3"/>
      <c r="U3" s="3"/>
      <c r="X3" s="3"/>
      <c r="Y3" s="3"/>
      <c r="AA3" s="3"/>
      <c r="AB3" s="3"/>
      <c r="AD3" s="3"/>
      <c r="AE3" s="3"/>
      <c r="AG3" s="3"/>
      <c r="AH3" s="3"/>
      <c r="AJ3" s="3"/>
      <c r="AK3" s="3"/>
      <c r="AM3" s="3"/>
    </row>
    <row r="4" spans="1:39" x14ac:dyDescent="0.35">
      <c r="A4" s="3">
        <v>1.95999624288271</v>
      </c>
      <c r="B4" s="3"/>
      <c r="C4" s="3">
        <v>1.0540836210050453</v>
      </c>
      <c r="D4" s="3">
        <v>-3.5370733188292487E-2</v>
      </c>
      <c r="E4" s="3"/>
      <c r="F4" s="3">
        <v>-0.23835977039415435</v>
      </c>
      <c r="G4" s="3">
        <v>5.4650196348315916E-6</v>
      </c>
      <c r="H4" s="3"/>
      <c r="I4" s="3">
        <v>-1.6394239910906188</v>
      </c>
      <c r="J4" s="3">
        <v>6.2320928835406506E-2</v>
      </c>
      <c r="K4" s="3"/>
      <c r="L4" s="3">
        <v>0.4120969380370158</v>
      </c>
      <c r="M4" s="3">
        <v>-1.8696043302170416E-2</v>
      </c>
      <c r="N4" s="3"/>
      <c r="O4" s="3">
        <v>-1.4318917168359824</v>
      </c>
      <c r="P4" s="3">
        <v>-6.5133485190588897E-2</v>
      </c>
      <c r="Q4" s="3"/>
      <c r="R4" s="3">
        <v>-7.9462529710451757E-2</v>
      </c>
      <c r="S4" s="3">
        <v>-1.8696043302170416E-2</v>
      </c>
      <c r="T4" s="3"/>
      <c r="U4" s="3"/>
    </row>
    <row r="5" spans="1:39" x14ac:dyDescent="0.35">
      <c r="A5" s="3">
        <v>1.951013454345389</v>
      </c>
      <c r="B5" s="3"/>
      <c r="C5" s="3">
        <v>1.0967810420007389</v>
      </c>
      <c r="D5" s="3">
        <v>-4.1937478486293679E-2</v>
      </c>
      <c r="E5" s="3"/>
      <c r="F5" s="3">
        <v>-0.24138083040290337</v>
      </c>
      <c r="G5" s="3">
        <v>-6.0609986325121934E-5</v>
      </c>
      <c r="H5" s="3"/>
      <c r="I5" s="3">
        <v>-1.7024886882672412</v>
      </c>
      <c r="J5" s="3">
        <v>6.0396971853004876E-2</v>
      </c>
      <c r="K5" s="3"/>
      <c r="L5" s="3">
        <v>0.34780226345172249</v>
      </c>
      <c r="M5" s="3">
        <v>-2.4125694453936863E-2</v>
      </c>
      <c r="N5" s="3"/>
      <c r="O5" s="3">
        <v>-1.3667582316453935</v>
      </c>
      <c r="P5" s="3">
        <v>-6.9020224361893645E-2</v>
      </c>
      <c r="Q5" s="3"/>
      <c r="R5" s="3">
        <v>-5.7641078487100178E-2</v>
      </c>
      <c r="S5" s="3">
        <v>-2.4125694453936863E-2</v>
      </c>
      <c r="T5" s="3"/>
      <c r="U5" s="3"/>
    </row>
    <row r="6" spans="1:39" x14ac:dyDescent="0.35">
      <c r="A6" s="3">
        <v>1.9411857973433539</v>
      </c>
      <c r="B6" s="3"/>
      <c r="C6" s="3">
        <v>1.145857603127874</v>
      </c>
      <c r="D6" s="3">
        <v>-4.8407420286009743E-2</v>
      </c>
      <c r="E6" s="3"/>
      <c r="F6" s="3">
        <v>-0.24730190019296194</v>
      </c>
      <c r="G6" s="3">
        <v>-1.4466684841271671E-4</v>
      </c>
      <c r="H6" s="3"/>
      <c r="I6" s="3">
        <v>-1.7636812161497157</v>
      </c>
      <c r="J6" s="3">
        <v>5.8915128070899991E-2</v>
      </c>
      <c r="K6" s="3"/>
      <c r="L6" s="3">
        <v>0.28469656545819899</v>
      </c>
      <c r="M6" s="3">
        <v>-2.9988188400147053E-2</v>
      </c>
      <c r="N6" s="3"/>
      <c r="O6" s="3">
        <v>-1.2977380072834999</v>
      </c>
      <c r="P6" s="3">
        <v>-7.3726017155760604E-2</v>
      </c>
      <c r="Q6" s="3"/>
      <c r="R6" s="3">
        <v>-3.0323043590844763E-2</v>
      </c>
      <c r="S6" s="3">
        <v>-2.9988188400147053E-2</v>
      </c>
      <c r="T6" s="3"/>
      <c r="U6" s="3"/>
    </row>
    <row r="7" spans="1:39" x14ac:dyDescent="0.35">
      <c r="A7" s="3">
        <v>1.9301513996310589</v>
      </c>
      <c r="B7" s="3"/>
      <c r="C7" s="3">
        <v>1.2013360568348204</v>
      </c>
      <c r="D7" s="3">
        <v>-5.4972157155677659E-2</v>
      </c>
      <c r="E7" s="3"/>
      <c r="F7" s="3">
        <v>-0.25627632494184388</v>
      </c>
      <c r="G7" s="3">
        <v>-2.6236469811302676E-4</v>
      </c>
      <c r="H7" s="3"/>
      <c r="I7" s="3">
        <v>-1.8234634559978407</v>
      </c>
      <c r="J7" s="3">
        <v>5.7816931651645621E-2</v>
      </c>
      <c r="K7" s="3"/>
      <c r="L7" s="3">
        <v>0.22230726941518825</v>
      </c>
      <c r="M7" s="3">
        <v>-3.6413223957738647E-2</v>
      </c>
      <c r="N7" s="3"/>
      <c r="O7" s="3">
        <v>-1.2240119901277393</v>
      </c>
      <c r="P7" s="3">
        <v>-7.9355476265769873E-2</v>
      </c>
      <c r="Q7" s="3"/>
      <c r="R7" s="3">
        <v>2.964545000096401E-3</v>
      </c>
      <c r="S7" s="3">
        <v>-3.6413223957738647E-2</v>
      </c>
      <c r="T7" s="3"/>
      <c r="U7" s="3"/>
    </row>
    <row r="8" spans="1:39" x14ac:dyDescent="0.35">
      <c r="A8" s="3">
        <v>1.9174810809093892</v>
      </c>
      <c r="B8" s="3"/>
      <c r="C8" s="3">
        <v>1.2634206903578065</v>
      </c>
      <c r="D8" s="3">
        <v>-6.1823350863565836E-2</v>
      </c>
      <c r="E8" s="3"/>
      <c r="F8" s="3">
        <v>-0.26862611088800936</v>
      </c>
      <c r="G8" s="3">
        <v>-4.2765969441768692E-4</v>
      </c>
      <c r="H8" s="3"/>
      <c r="I8" s="3">
        <v>-1.8822463875967013</v>
      </c>
      <c r="J8" s="3">
        <v>5.7060513655460034E-2</v>
      </c>
      <c r="K8" s="3"/>
      <c r="L8" s="3">
        <v>0.16016632464511257</v>
      </c>
      <c r="M8" s="3">
        <v>-4.3543988434918281E-2</v>
      </c>
      <c r="N8" s="3"/>
      <c r="O8" s="3">
        <v>-1.1446565138619695</v>
      </c>
      <c r="P8" s="3">
        <v>-8.6048445996244893E-2</v>
      </c>
      <c r="Q8" s="3"/>
      <c r="R8" s="3">
        <v>4.2793221809033812E-2</v>
      </c>
      <c r="S8" s="3">
        <v>-4.3543988434918281E-2</v>
      </c>
      <c r="T8" s="3"/>
      <c r="U8" s="3"/>
      <c r="W8" s="3"/>
    </row>
    <row r="9" spans="1:39" x14ac:dyDescent="0.35">
      <c r="A9" s="3">
        <v>1.9026427104773349</v>
      </c>
      <c r="B9" s="3"/>
      <c r="C9" s="3">
        <v>1.3325005694074288</v>
      </c>
      <c r="D9" s="3">
        <v>-6.916314819960806E-2</v>
      </c>
      <c r="E9" s="3"/>
      <c r="F9" s="3">
        <v>-0.28486978964393672</v>
      </c>
      <c r="G9" s="3">
        <v>-6.6274223380480279E-4</v>
      </c>
      <c r="H9" s="3"/>
      <c r="I9" s="3">
        <v>-1.9404111336866625</v>
      </c>
      <c r="J9" s="3">
        <v>5.6616203391896207E-2</v>
      </c>
      <c r="K9" s="3"/>
      <c r="L9" s="3">
        <v>9.778234654558822E-2</v>
      </c>
      <c r="M9" s="3">
        <v>-5.153925154584664E-2</v>
      </c>
      <c r="N9" s="3"/>
      <c r="O9" s="3">
        <v>-1.0586080678657246</v>
      </c>
      <c r="P9" s="3">
        <v>-9.3982081376934118E-2</v>
      </c>
      <c r="Q9" s="3"/>
      <c r="R9" s="3">
        <v>8.9834351618677005E-2</v>
      </c>
      <c r="S9" s="3">
        <v>-5.153925154584664E-2</v>
      </c>
      <c r="T9" s="3"/>
      <c r="U9" s="3"/>
      <c r="W9" s="3"/>
    </row>
    <row r="10" spans="1:39" x14ac:dyDescent="0.35">
      <c r="A10" s="3">
        <v>1.8849591640521259</v>
      </c>
      <c r="B10" s="3"/>
      <c r="C10" s="3">
        <v>1.4091600111107616</v>
      </c>
      <c r="D10" s="3">
        <v>-7.7211051552720955E-2</v>
      </c>
      <c r="E10" s="3"/>
      <c r="F10" s="3">
        <v>-0.30575676453580519</v>
      </c>
      <c r="G10" s="3">
        <v>-1.0018554838581994E-3</v>
      </c>
      <c r="H10" s="3"/>
      <c r="I10" s="3">
        <v>-1.9983284801166021</v>
      </c>
      <c r="J10" s="3">
        <v>5.6463101024793183E-2</v>
      </c>
      <c r="K10" s="3"/>
      <c r="L10" s="3">
        <v>3.4607781335406526E-2</v>
      </c>
      <c r="M10" s="3">
        <v>-6.0569535334237271E-2</v>
      </c>
      <c r="N10" s="3"/>
      <c r="O10" s="3">
        <v>-0.9646259864887905</v>
      </c>
      <c r="P10" s="3">
        <v>-0.10336895006640677</v>
      </c>
      <c r="Q10" s="3"/>
      <c r="R10" s="3">
        <v>0.14484946266773879</v>
      </c>
      <c r="S10" s="3">
        <v>-6.0569535334237271E-2</v>
      </c>
      <c r="T10" s="3"/>
      <c r="W10" s="3"/>
    </row>
    <row r="11" spans="1:39" x14ac:dyDescent="0.35">
      <c r="A11" s="3">
        <v>1.8635604004084279</v>
      </c>
      <c r="B11" s="3"/>
      <c r="C11" s="3">
        <v>1.4941908320670847</v>
      </c>
      <c r="D11" s="3">
        <v>-8.6206829588340056E-2</v>
      </c>
      <c r="E11" s="3"/>
      <c r="F11" s="3">
        <v>-0.33231034789085834</v>
      </c>
      <c r="G11" s="3">
        <v>-1.4970728964283087E-3</v>
      </c>
      <c r="H11" s="3"/>
      <c r="I11" s="3">
        <v>-2.0563798411752878</v>
      </c>
      <c r="J11" s="3">
        <v>5.6585275674824423E-2</v>
      </c>
      <c r="K11" s="3"/>
      <c r="L11" s="3">
        <v>-3.0003086532539566E-2</v>
      </c>
      <c r="M11" s="3">
        <v>-7.0803912095401211E-2</v>
      </c>
      <c r="N11" s="3"/>
      <c r="O11" s="3">
        <v>-0.86125703642238371</v>
      </c>
      <c r="P11" s="3">
        <v>-0.11444603246977191</v>
      </c>
      <c r="Q11" s="3"/>
      <c r="R11" s="3">
        <v>0.20865533304758277</v>
      </c>
      <c r="S11" s="3">
        <v>-7.0803912095401211E-2</v>
      </c>
      <c r="T11" s="3"/>
      <c r="W11" s="3"/>
    </row>
    <row r="12" spans="1:39" x14ac:dyDescent="0.35">
      <c r="A12" s="3">
        <v>1.837336036528411</v>
      </c>
      <c r="B12" s="3"/>
      <c r="C12" s="3">
        <v>1.5885985877820572</v>
      </c>
      <c r="D12" s="3">
        <v>-9.6404594000120136E-2</v>
      </c>
      <c r="E12" s="3"/>
      <c r="F12" s="3">
        <v>-0.36586564674679134</v>
      </c>
      <c r="G12" s="3">
        <v>-2.2255166659261583E-3</v>
      </c>
      <c r="H12" s="3"/>
      <c r="I12" s="3">
        <v>-2.1149825391077726</v>
      </c>
      <c r="J12" s="3">
        <v>5.6966784224357123E-2</v>
      </c>
      <c r="K12" s="3"/>
      <c r="L12" s="3">
        <v>-9.6848795702073207E-2</v>
      </c>
      <c r="M12" s="3">
        <v>-8.2379581943737665E-2</v>
      </c>
      <c r="N12" s="3"/>
      <c r="O12" s="3">
        <v>-0.7468110039526118</v>
      </c>
      <c r="P12" s="3">
        <v>-0.12744427876687281</v>
      </c>
      <c r="Q12" s="3"/>
      <c r="R12" s="3">
        <v>0.28204074767108667</v>
      </c>
      <c r="S12" s="3">
        <v>-8.2379581943737665E-2</v>
      </c>
      <c r="T12" s="3"/>
      <c r="W12" s="3"/>
    </row>
    <row r="13" spans="1:39" x14ac:dyDescent="0.35">
      <c r="A13" s="3">
        <v>1.8049076534262141</v>
      </c>
      <c r="B13" s="3"/>
      <c r="C13" s="3">
        <v>1.6935873914420259</v>
      </c>
      <c r="D13" s="3">
        <v>-0.10804872685422404</v>
      </c>
      <c r="E13" s="3"/>
      <c r="F13" s="3">
        <v>-0.408068314470176</v>
      </c>
      <c r="G13" s="3">
        <v>-3.2951835683896757E-3</v>
      </c>
      <c r="H13" s="3"/>
      <c r="I13" s="3">
        <v>-2.174622988485051</v>
      </c>
      <c r="J13" s="3">
        <v>5.7584242986572706E-2</v>
      </c>
      <c r="K13" s="3"/>
      <c r="L13" s="3">
        <v>-0.1669481218662725</v>
      </c>
      <c r="M13" s="3">
        <v>-9.5343701799397287E-2</v>
      </c>
      <c r="N13" s="3"/>
      <c r="O13" s="3">
        <v>-0.61936672518573899</v>
      </c>
      <c r="P13" s="3">
        <v>-0.142522313791098</v>
      </c>
      <c r="Q13" s="3"/>
      <c r="R13" s="3">
        <v>0.36559818382050657</v>
      </c>
      <c r="S13" s="3">
        <v>-9.5343701799397287E-2</v>
      </c>
      <c r="T13" s="3"/>
      <c r="W13" s="3"/>
    </row>
    <row r="14" spans="1:39" x14ac:dyDescent="0.35">
      <c r="A14" s="3">
        <v>1.7646628972965148</v>
      </c>
      <c r="B14" s="3"/>
      <c r="C14" s="3">
        <v>1.8104957940027702</v>
      </c>
      <c r="D14" s="3">
        <v>-0.12131665696864857</v>
      </c>
      <c r="E14" s="3"/>
      <c r="F14" s="3">
        <v>-0.46076417667989045</v>
      </c>
      <c r="G14" s="3">
        <v>-4.8402560973508091E-3</v>
      </c>
      <c r="H14" s="3"/>
      <c r="I14" s="3">
        <v>-2.2359006828708337</v>
      </c>
      <c r="J14" s="3">
        <v>5.8395209582567255E-2</v>
      </c>
      <c r="K14" s="3"/>
      <c r="L14" s="3">
        <v>-0.24160717094212666</v>
      </c>
      <c r="M14" s="3">
        <v>-0.10955929546453293</v>
      </c>
      <c r="N14" s="3"/>
      <c r="O14" s="3">
        <v>-0.47684441139464095</v>
      </c>
      <c r="P14" s="3">
        <v>-0.15964489788845576</v>
      </c>
      <c r="Q14" s="3"/>
      <c r="R14" s="3">
        <v>0.45942302412443209</v>
      </c>
      <c r="S14" s="3">
        <v>-0.10955929546453293</v>
      </c>
      <c r="T14" s="3"/>
    </row>
    <row r="15" spans="1:39" x14ac:dyDescent="0.35">
      <c r="A15" s="3">
        <v>1.714921090496063</v>
      </c>
      <c r="B15" s="3"/>
      <c r="C15" s="3">
        <v>1.9406423478894332</v>
      </c>
      <c r="D15" s="3">
        <v>-0.13621145738512025</v>
      </c>
      <c r="E15" s="3"/>
      <c r="F15" s="3">
        <v>-0.52566812828302756</v>
      </c>
      <c r="G15" s="3">
        <v>-6.9856310489308238E-3</v>
      </c>
      <c r="H15" s="3"/>
      <c r="I15" s="3">
        <v>-2.2995795905765264</v>
      </c>
      <c r="J15" s="3">
        <v>5.9320781661653159E-2</v>
      </c>
      <c r="K15" s="3"/>
      <c r="L15" s="3">
        <v>-0.3224391254720731</v>
      </c>
      <c r="M15" s="3">
        <v>-0.12458560449812682</v>
      </c>
      <c r="N15" s="3"/>
      <c r="O15" s="3">
        <v>-0.31719951350618519</v>
      </c>
      <c r="P15" s="3">
        <v>-0.17840128127747282</v>
      </c>
      <c r="Q15" s="3"/>
      <c r="R15" s="3">
        <v>0.56264887720048695</v>
      </c>
      <c r="S15" s="3">
        <v>-0.12458560449812682</v>
      </c>
      <c r="T15" s="3"/>
    </row>
    <row r="16" spans="1:39" x14ac:dyDescent="0.35">
      <c r="A16" s="3">
        <v>1.6543008867221936</v>
      </c>
      <c r="B16" s="3"/>
      <c r="C16" s="3">
        <v>2.0850378154496636</v>
      </c>
      <c r="D16" s="3">
        <v>-0.15240347358458584</v>
      </c>
      <c r="E16" s="3"/>
      <c r="F16" s="3">
        <v>-0.6037138642512172</v>
      </c>
      <c r="G16" s="3">
        <v>-9.7535946001294227E-3</v>
      </c>
      <c r="H16" s="3"/>
      <c r="I16" s="3">
        <v>-2.3666230965129174</v>
      </c>
      <c r="J16" s="3">
        <v>6.0223644330110356E-2</v>
      </c>
      <c r="K16" s="3"/>
      <c r="L16" s="3">
        <v>-0.41123024655376217</v>
      </c>
      <c r="M16" s="3">
        <v>-0.13959038220469475</v>
      </c>
      <c r="N16" s="3"/>
      <c r="O16" s="3">
        <v>-0.13879823222871238</v>
      </c>
      <c r="P16" s="3">
        <v>-0.19781560486191302</v>
      </c>
      <c r="Q16" s="3"/>
      <c r="R16" s="3">
        <v>0.67288230589406195</v>
      </c>
      <c r="S16" s="3">
        <v>-0.13959038220469475</v>
      </c>
      <c r="T16" s="3"/>
      <c r="U16" s="3"/>
    </row>
    <row r="17" spans="1:21" x14ac:dyDescent="0.35">
      <c r="A17" s="3">
        <v>1.582268684545491</v>
      </c>
      <c r="B17" s="3"/>
      <c r="C17" s="3">
        <v>2.2439633304350735</v>
      </c>
      <c r="D17" s="3">
        <v>-0.16907678903928053</v>
      </c>
      <c r="E17" s="3"/>
      <c r="F17" s="3">
        <v>-0.69418654379471978</v>
      </c>
      <c r="G17" s="3">
        <v>-1.2918239387715968E-2</v>
      </c>
      <c r="H17" s="3"/>
      <c r="I17" s="3">
        <v>-2.4381480456663822</v>
      </c>
      <c r="J17" s="3">
        <v>6.0891645619472912E-2</v>
      </c>
      <c r="K17" s="3"/>
      <c r="L17" s="3">
        <v>-0.50950858933889309</v>
      </c>
      <c r="M17" s="3">
        <v>-0.15340969587084946</v>
      </c>
      <c r="N17" s="3"/>
      <c r="O17" s="3">
        <v>5.9017372633200643E-2</v>
      </c>
      <c r="P17" s="3">
        <v>-0.21630223274664914</v>
      </c>
      <c r="Q17" s="3"/>
      <c r="R17" s="3">
        <v>0.78582262666703029</v>
      </c>
      <c r="S17" s="3">
        <v>-0.15340969587084946</v>
      </c>
      <c r="T17" s="3"/>
      <c r="U17" s="3"/>
    </row>
    <row r="18" spans="1:21" x14ac:dyDescent="0.35">
      <c r="A18" s="3">
        <v>1.4996415811139907</v>
      </c>
      <c r="B18" s="3"/>
      <c r="C18" s="3">
        <v>2.416528530459777</v>
      </c>
      <c r="D18" s="3">
        <v>-0.18492281464106691</v>
      </c>
      <c r="E18" s="3"/>
      <c r="F18" s="3">
        <v>-0.7941721760874394</v>
      </c>
      <c r="G18" s="3">
        <v>-1.5920283170631211E-2</v>
      </c>
      <c r="H18" s="3"/>
      <c r="I18" s="3">
        <v>-2.515201681422143</v>
      </c>
      <c r="J18" s="3">
        <v>6.1050177035835651E-2</v>
      </c>
      <c r="K18" s="3"/>
      <c r="L18" s="3">
        <v>-0.61780660277354349</v>
      </c>
      <c r="M18" s="3">
        <v>-0.16484711288575046</v>
      </c>
      <c r="N18" s="3"/>
      <c r="O18" s="3">
        <v>0.27531960537984979</v>
      </c>
      <c r="P18" s="3">
        <v>-0.23195640927863742</v>
      </c>
      <c r="Q18" s="3"/>
      <c r="R18" s="3">
        <v>0.89559050387886763</v>
      </c>
      <c r="S18" s="3">
        <v>-0.16484711288575046</v>
      </c>
      <c r="T18" s="3"/>
      <c r="U18" s="3"/>
    </row>
    <row r="19" spans="1:21" x14ac:dyDescent="0.35">
      <c r="A19" s="3">
        <v>1.4086883448187411</v>
      </c>
      <c r="B19" s="3"/>
      <c r="C19" s="3">
        <v>2.6004572999833924</v>
      </c>
      <c r="D19" s="3">
        <v>-0.19842397673436046</v>
      </c>
      <c r="E19" s="3"/>
      <c r="F19" s="3">
        <v>-0.89906507823094384</v>
      </c>
      <c r="G19" s="3">
        <v>-1.803053584886502E-2</v>
      </c>
      <c r="H19" s="3"/>
      <c r="I19" s="3">
        <v>-2.5983367243095157</v>
      </c>
      <c r="J19" s="3">
        <v>6.0426027803519446E-2</v>
      </c>
      <c r="K19" s="3"/>
      <c r="L19" s="3">
        <v>-0.73499815164479632</v>
      </c>
      <c r="M19" s="3">
        <v>-0.17310669345460239</v>
      </c>
      <c r="N19" s="3"/>
      <c r="O19" s="3">
        <v>0.50727601465848715</v>
      </c>
      <c r="P19" s="3">
        <v>-0.2431592953749761</v>
      </c>
      <c r="Q19" s="3"/>
      <c r="R19" s="3">
        <v>0.99610849784356059</v>
      </c>
      <c r="S19" s="3">
        <v>-0.17310669345460239</v>
      </c>
      <c r="T19" s="3"/>
      <c r="U19" s="3"/>
    </row>
    <row r="20" spans="1:21" x14ac:dyDescent="0.35">
      <c r="A20" s="3">
        <v>1.3126861894783972</v>
      </c>
      <c r="B20" s="3"/>
      <c r="C20" s="3">
        <v>2.7923265961024062</v>
      </c>
      <c r="D20" s="3">
        <v>-0.20834855328451379</v>
      </c>
      <c r="E20" s="3"/>
      <c r="F20" s="3">
        <v>-1.0041369947873986</v>
      </c>
      <c r="G20" s="3">
        <v>-1.8740807511441276E-2</v>
      </c>
      <c r="H20" s="3"/>
      <c r="I20" s="3">
        <v>-2.6871785304142572</v>
      </c>
      <c r="J20" s="3">
        <v>5.8851769568298733E-2</v>
      </c>
      <c r="K20" s="3"/>
      <c r="L20" s="3">
        <v>-0.85832220614616295</v>
      </c>
      <c r="M20" s="3">
        <v>-0.17804158256181163</v>
      </c>
      <c r="N20" s="3"/>
      <c r="O20" s="3">
        <v>0.75043531003346331</v>
      </c>
      <c r="P20" s="3">
        <v>-0.24911689770767315</v>
      </c>
      <c r="Q20" s="3"/>
      <c r="R20" s="3">
        <v>1.0830037664827081</v>
      </c>
      <c r="S20" s="3">
        <v>-0.17804158256181163</v>
      </c>
      <c r="T20" s="3"/>
      <c r="U20" s="3"/>
    </row>
    <row r="21" spans="1:21" x14ac:dyDescent="0.35">
      <c r="A21" s="3">
        <v>1.2151890790081443</v>
      </c>
      <c r="B21" s="3"/>
      <c r="C21" s="3">
        <v>2.9882125146857463</v>
      </c>
      <c r="D21" s="3">
        <v>-0.21411756719333128</v>
      </c>
      <c r="E21" s="3"/>
      <c r="F21" s="3">
        <v>-1.1060419262763908</v>
      </c>
      <c r="G21" s="3">
        <v>-1.8015769188250763E-2</v>
      </c>
      <c r="H21" s="3"/>
      <c r="I21" s="3">
        <v>-2.7803155828530031</v>
      </c>
      <c r="J21" s="3">
        <v>5.6355766154375778E-2</v>
      </c>
      <c r="K21" s="3"/>
      <c r="L21" s="3">
        <v>-0.98421396074191181</v>
      </c>
      <c r="M21" s="3">
        <v>-0.18001347261565626</v>
      </c>
      <c r="N21" s="3"/>
      <c r="O21" s="3">
        <v>0.99955220774113651</v>
      </c>
      <c r="P21" s="3">
        <v>-0.24994640292480486</v>
      </c>
      <c r="Q21" s="3"/>
      <c r="R21" s="3">
        <v>1.154794905238945</v>
      </c>
      <c r="S21" s="3">
        <v>-0.18001347261565626</v>
      </c>
      <c r="T21" s="3"/>
      <c r="U21" s="3"/>
    </row>
    <row r="22" spans="1:21" x14ac:dyDescent="0.35">
      <c r="A22" s="3">
        <v>1.119386413166807</v>
      </c>
      <c r="B22" s="3"/>
      <c r="C22" s="3">
        <v>3.1844085894699896</v>
      </c>
      <c r="D22" s="3">
        <v>-0.21581239556624857</v>
      </c>
      <c r="E22" s="3"/>
      <c r="F22" s="3">
        <v>-1.2032414930936064</v>
      </c>
      <c r="G22" s="3">
        <v>-1.6169916334495937E-2</v>
      </c>
      <c r="H22" s="3"/>
      <c r="I22" s="3">
        <v>-2.8756350618415349</v>
      </c>
      <c r="J22" s="3">
        <v>5.3172762141454236E-2</v>
      </c>
      <c r="K22" s="3"/>
      <c r="L22" s="3">
        <v>-1.1093389169404484</v>
      </c>
      <c r="M22" s="3">
        <v>-0.17953866631008036</v>
      </c>
      <c r="N22" s="3"/>
      <c r="O22" s="3">
        <v>1.2494986106659414</v>
      </c>
      <c r="P22" s="3">
        <v>-0.24636525255377403</v>
      </c>
      <c r="Q22" s="3"/>
      <c r="R22" s="3">
        <v>1.2126886433844242</v>
      </c>
      <c r="S22" s="3">
        <v>-0.17953866631008036</v>
      </c>
      <c r="T22" s="3"/>
      <c r="U22" s="3"/>
    </row>
    <row r="23" spans="1:21" x14ac:dyDescent="0.35">
      <c r="A23" s="3">
        <v>1.0277457876348048</v>
      </c>
      <c r="B23" s="3"/>
      <c r="C23" s="3">
        <v>3.377888391523904</v>
      </c>
      <c r="D23" s="3">
        <v>-0.21394531327159605</v>
      </c>
      <c r="E23" s="3"/>
      <c r="F23" s="3">
        <v>-1.2954977398349092</v>
      </c>
      <c r="G23" s="3">
        <v>-1.3590774041365605E-2</v>
      </c>
      <c r="H23" s="3"/>
      <c r="I23" s="3">
        <v>-2.9708806432971531</v>
      </c>
      <c r="J23" s="3">
        <v>4.9655528562387183E-2</v>
      </c>
      <c r="K23" s="3"/>
      <c r="L23" s="3">
        <v>-1.2312150230803465</v>
      </c>
      <c r="M23" s="3">
        <v>-0.17705161009043827</v>
      </c>
      <c r="N23" s="3"/>
      <c r="O23" s="3">
        <v>1.4958638632197154</v>
      </c>
      <c r="P23" s="3">
        <v>-0.23932888366674976</v>
      </c>
      <c r="Q23" s="3"/>
      <c r="R23" s="3">
        <v>1.259465773369473</v>
      </c>
      <c r="S23" s="3">
        <v>-0.17705161009043827</v>
      </c>
      <c r="T23" s="3"/>
    </row>
    <row r="24" spans="1:21" x14ac:dyDescent="0.35">
      <c r="A24" s="3">
        <v>0.94192367598563398</v>
      </c>
      <c r="B24" s="3"/>
      <c r="C24" s="3">
        <v>3.5664366784272454</v>
      </c>
      <c r="D24" s="3">
        <v>-0.20922439334699666</v>
      </c>
      <c r="E24" s="3"/>
      <c r="F24" s="3">
        <v>-1.3831601724635538</v>
      </c>
      <c r="G24" s="3">
        <v>-1.0586336707411548E-2</v>
      </c>
      <c r="H24" s="3"/>
      <c r="I24" s="3">
        <v>-3.0641197669734233</v>
      </c>
      <c r="J24" s="3">
        <v>4.6144861174745921E-2</v>
      </c>
      <c r="K24" s="3"/>
      <c r="L24" s="3">
        <v>-1.3483195305579758</v>
      </c>
      <c r="M24" s="3">
        <v>-0.17288986889055141</v>
      </c>
      <c r="N24" s="3"/>
      <c r="O24" s="3">
        <v>1.7351927468864652</v>
      </c>
      <c r="P24" s="3">
        <v>-0.22981715041649711</v>
      </c>
      <c r="Q24" s="3"/>
      <c r="R24" s="3">
        <v>1.2983108998790798</v>
      </c>
      <c r="S24" s="3">
        <v>-0.17288986889055141</v>
      </c>
      <c r="T24" s="3"/>
    </row>
    <row r="25" spans="1:21" x14ac:dyDescent="0.35">
      <c r="A25" s="3">
        <v>0.86284014189078651</v>
      </c>
      <c r="B25" s="3"/>
      <c r="C25" s="3">
        <v>3.7485688615547557</v>
      </c>
      <c r="D25" s="3">
        <v>-0.20240160462423396</v>
      </c>
      <c r="E25" s="3"/>
      <c r="F25" s="3">
        <v>-1.466689231368808</v>
      </c>
      <c r="G25" s="3">
        <v>-7.3764860601892579E-3</v>
      </c>
      <c r="H25" s="3"/>
      <c r="I25" s="3">
        <v>-3.1539715349786639</v>
      </c>
      <c r="J25" s="3">
        <v>4.2879303153903037E-2</v>
      </c>
      <c r="K25" s="3"/>
      <c r="L25" s="3">
        <v>-1.4599030082089686</v>
      </c>
      <c r="M25" s="3">
        <v>-0.16737095783743244</v>
      </c>
      <c r="N25" s="3"/>
      <c r="O25" s="3">
        <v>1.9650098973029624</v>
      </c>
      <c r="P25" s="3">
        <v>-0.21873888774582553</v>
      </c>
      <c r="Q25" s="3"/>
      <c r="R25" s="3">
        <v>1.3320482298623406</v>
      </c>
      <c r="S25" s="3">
        <v>-0.16737095783743244</v>
      </c>
      <c r="T25" s="3"/>
    </row>
    <row r="26" spans="1:21" x14ac:dyDescent="0.35">
      <c r="A26" s="3">
        <v>0.79082529597887075</v>
      </c>
      <c r="B26" s="3"/>
      <c r="C26" s="3">
        <v>3.9233787479277389</v>
      </c>
      <c r="D26" s="3">
        <v>-0.19418375941489152</v>
      </c>
      <c r="E26" s="3"/>
      <c r="F26" s="3">
        <v>-1.546458904846711</v>
      </c>
      <c r="G26" s="3">
        <v>-4.1275399397737444E-3</v>
      </c>
      <c r="H26" s="3"/>
      <c r="I26" s="3">
        <v>-3.239622667085464</v>
      </c>
      <c r="J26" s="3">
        <v>3.9975437761022373E-2</v>
      </c>
      <c r="K26" s="3"/>
      <c r="L26" s="3">
        <v>-1.5657339797773417</v>
      </c>
      <c r="M26" s="3">
        <v>-0.16083382486276704</v>
      </c>
      <c r="N26" s="3"/>
      <c r="O26" s="3">
        <v>2.1837487850487878</v>
      </c>
      <c r="P26" s="3">
        <v>-0.20687659515622681</v>
      </c>
      <c r="Q26" s="3"/>
      <c r="R26" s="3">
        <v>1.3628155111531028</v>
      </c>
      <c r="S26" s="3">
        <v>-0.16083382486276704</v>
      </c>
      <c r="T26" s="3"/>
    </row>
    <row r="27" spans="1:21" x14ac:dyDescent="0.35">
      <c r="A27" s="3">
        <v>0.72578271537268979</v>
      </c>
      <c r="B27" s="3"/>
      <c r="C27" s="3">
        <v>4.0903923083730369</v>
      </c>
      <c r="D27" s="3">
        <v>-0.18517854464897432</v>
      </c>
      <c r="E27" s="3"/>
      <c r="F27" s="3">
        <v>-1.6227259413271664</v>
      </c>
      <c r="G27" s="3">
        <v>-9.7216395967024416E-4</v>
      </c>
      <c r="H27" s="3"/>
      <c r="I27" s="3">
        <v>-3.3207254652138389</v>
      </c>
      <c r="J27" s="3">
        <v>3.7456123604302345E-2</v>
      </c>
      <c r="K27" s="3"/>
      <c r="L27" s="3">
        <v>-1.6658857589448779</v>
      </c>
      <c r="M27" s="3">
        <v>-0.15362383321093054</v>
      </c>
      <c r="N27" s="3"/>
      <c r="O27" s="3">
        <v>2.3906253802050146</v>
      </c>
      <c r="P27" s="3">
        <v>-0.19484781174924021</v>
      </c>
      <c r="Q27" s="3"/>
      <c r="R27" s="3">
        <v>1.3920355742956765</v>
      </c>
      <c r="S27" s="3">
        <v>-0.15362383321093054</v>
      </c>
      <c r="T27" s="3"/>
    </row>
    <row r="28" spans="1:21" x14ac:dyDescent="0.35">
      <c r="A28" s="3">
        <v>0.66734037378105859</v>
      </c>
      <c r="B28" s="3"/>
      <c r="C28" s="3">
        <v>4.2494507965696799</v>
      </c>
      <c r="D28" s="3">
        <v>-0.1758671170016472</v>
      </c>
      <c r="E28" s="3"/>
      <c r="F28" s="3">
        <v>-1.6956625040144779</v>
      </c>
      <c r="G28" s="3">
        <v>1.988199709276009E-3</v>
      </c>
      <c r="H28" s="3"/>
      <c r="I28" s="3">
        <v>-3.3972593339140458</v>
      </c>
      <c r="J28" s="3">
        <v>3.5291488602657128E-2</v>
      </c>
      <c r="K28" s="3"/>
      <c r="L28" s="3">
        <v>-1.7605917786836363</v>
      </c>
      <c r="M28" s="3">
        <v>-0.14605632666168156</v>
      </c>
      <c r="N28" s="3"/>
      <c r="O28" s="3">
        <v>2.5854731919542546</v>
      </c>
      <c r="P28" s="3">
        <v>-0.18309179203473153</v>
      </c>
      <c r="Q28" s="3"/>
      <c r="R28" s="3">
        <v>1.4205385993705011</v>
      </c>
      <c r="S28" s="3">
        <v>-0.14605632666168156</v>
      </c>
      <c r="T28" s="3"/>
    </row>
    <row r="29" spans="1:21" x14ac:dyDescent="0.35">
      <c r="A29" s="3">
        <v>0.61497373154580315</v>
      </c>
      <c r="B29" s="3"/>
      <c r="C29" s="3">
        <v>4.4006213959392024</v>
      </c>
      <c r="D29" s="3">
        <v>-0.16660058115508453</v>
      </c>
      <c r="E29" s="3"/>
      <c r="F29" s="3">
        <v>-1.7653970538901973</v>
      </c>
      <c r="G29" s="3">
        <v>4.6853420945970614E-3</v>
      </c>
      <c r="H29" s="3"/>
      <c r="I29" s="3">
        <v>-3.4694034908799267</v>
      </c>
      <c r="J29" s="3">
        <v>3.3431419425247785E-2</v>
      </c>
      <c r="K29" s="3"/>
      <c r="L29" s="3">
        <v>-1.8501584987860944</v>
      </c>
      <c r="M29" s="3">
        <v>-0.13838951646324199</v>
      </c>
      <c r="N29" s="3"/>
      <c r="O29" s="3">
        <v>2.7685649839889863</v>
      </c>
      <c r="P29" s="3">
        <v>-0.17188450374020034</v>
      </c>
      <c r="Q29" s="3"/>
      <c r="R29" s="3">
        <v>1.4487311399404135</v>
      </c>
      <c r="S29" s="3">
        <v>-0.13838951646324199</v>
      </c>
      <c r="T29" s="3"/>
    </row>
    <row r="30" spans="1:21" x14ac:dyDescent="0.35">
      <c r="A30" s="3">
        <v>0.56809573352423803</v>
      </c>
      <c r="B30" s="3"/>
      <c r="C30" s="3">
        <v>4.5441280915712277</v>
      </c>
      <c r="D30" s="3">
        <v>-0.15761419442589225</v>
      </c>
      <c r="E30" s="3"/>
      <c r="F30" s="3">
        <v>-1.8320437764178623</v>
      </c>
      <c r="G30" s="3">
        <v>7.0829025620710445E-3</v>
      </c>
      <c r="H30" s="3"/>
      <c r="I30" s="3">
        <v>-3.5374401431452638</v>
      </c>
      <c r="J30" s="3">
        <v>3.1824258586561543E-2</v>
      </c>
      <c r="K30" s="3"/>
      <c r="L30" s="3">
        <v>-1.9349169689556973</v>
      </c>
      <c r="M30" s="3">
        <v>-0.13081584458288292</v>
      </c>
      <c r="N30" s="3"/>
      <c r="O30" s="3">
        <v>2.9404494877291865</v>
      </c>
      <c r="P30" s="3">
        <v>-0.1613721310876958</v>
      </c>
      <c r="Q30" s="3"/>
      <c r="R30" s="3">
        <v>1.4767528332400921</v>
      </c>
      <c r="S30" s="3">
        <v>-0.13081584458288292</v>
      </c>
      <c r="T30" s="3"/>
    </row>
    <row r="31" spans="1:21" x14ac:dyDescent="0.35">
      <c r="A31" s="3">
        <v>0.52611593335853069</v>
      </c>
      <c r="B31" s="3"/>
      <c r="C31" s="3">
        <v>4.6802974458499076</v>
      </c>
      <c r="D31" s="3">
        <v>-0.14905058261793347</v>
      </c>
      <c r="E31" s="3"/>
      <c r="F31" s="3">
        <v>-1.8957183351535376</v>
      </c>
      <c r="G31" s="3">
        <v>9.1708325862210338E-3</v>
      </c>
      <c r="H31" s="3"/>
      <c r="I31" s="3">
        <v>-3.6016900795563482</v>
      </c>
      <c r="J31" s="3">
        <v>3.042470889823393E-2</v>
      </c>
      <c r="K31" s="3"/>
      <c r="L31" s="3">
        <v>-2.0151974440916338</v>
      </c>
      <c r="M31" s="3">
        <v>-0.12346735336431025</v>
      </c>
      <c r="N31" s="3"/>
      <c r="O31" s="3">
        <v>3.1018216188168823</v>
      </c>
      <c r="P31" s="3">
        <v>-0.15160953628826501</v>
      </c>
      <c r="Q31" s="3"/>
      <c r="R31" s="3">
        <v>1.5045962734250451</v>
      </c>
      <c r="S31" s="3">
        <v>-0.12346735336431025</v>
      </c>
      <c r="T31" s="3"/>
    </row>
    <row r="32" spans="1:21" x14ac:dyDescent="0.35">
      <c r="A32" s="3">
        <v>0.48847503114161273</v>
      </c>
      <c r="B32" s="3"/>
      <c r="C32" s="3">
        <v>4.8095165169121534</v>
      </c>
      <c r="D32" s="3">
        <v>-0.14098439786228989</v>
      </c>
      <c r="E32" s="3"/>
      <c r="F32" s="3">
        <v>-1.9565436554844775</v>
      </c>
      <c r="G32" s="3">
        <v>1.0957962430687071E-2</v>
      </c>
      <c r="H32" s="3"/>
      <c r="I32" s="3">
        <v>-3.6624746381905831</v>
      </c>
      <c r="J32" s="3">
        <v>2.9195644334219641E-2</v>
      </c>
      <c r="K32" s="3"/>
      <c r="L32" s="3">
        <v>-2.0913168386377992</v>
      </c>
      <c r="M32" s="3">
        <v>-0.11642746659962616</v>
      </c>
      <c r="N32" s="3"/>
      <c r="O32" s="3">
        <v>3.2534311551051474</v>
      </c>
      <c r="P32" s="3">
        <v>-0.14259410203772038</v>
      </c>
      <c r="Q32" s="3"/>
      <c r="R32" s="3">
        <v>1.532187106408633</v>
      </c>
      <c r="S32" s="3">
        <v>-0.11642746659962616</v>
      </c>
      <c r="T32" s="3"/>
    </row>
    <row r="33" spans="1:20" x14ac:dyDescent="0.35">
      <c r="A33" s="3"/>
      <c r="B33" s="3"/>
      <c r="C33" s="3"/>
      <c r="D33" s="3"/>
      <c r="E33" s="3"/>
      <c r="F33" s="3"/>
      <c r="G33" s="3"/>
      <c r="H33" s="3"/>
      <c r="I33" s="3"/>
      <c r="J33" s="3"/>
      <c r="K33" s="3"/>
      <c r="L33" s="3"/>
      <c r="M33" s="3"/>
      <c r="N33" s="3"/>
      <c r="O33" s="3"/>
      <c r="P33" s="3"/>
      <c r="Q33" s="3"/>
      <c r="R33" s="3"/>
      <c r="S33" s="3"/>
      <c r="T33" s="3"/>
    </row>
    <row r="34" spans="1:20" x14ac:dyDescent="0.35">
      <c r="A34" s="3"/>
      <c r="B34" s="3"/>
      <c r="C34" s="3"/>
      <c r="D34" s="3"/>
      <c r="E34" s="3"/>
      <c r="F34" s="3"/>
      <c r="G34" s="3"/>
      <c r="H34" s="3"/>
      <c r="I34" s="3"/>
      <c r="J34" s="3"/>
      <c r="K34" s="3"/>
      <c r="L34" s="3"/>
      <c r="M34" s="3"/>
      <c r="N34" s="3"/>
      <c r="O34" s="3"/>
      <c r="P34" s="3"/>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6">
    <mergeCell ref="R1:S1"/>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82</v>
      </c>
    </row>
    <row r="5" spans="2:29" x14ac:dyDescent="0.35">
      <c r="B5">
        <v>0.31818181818181818</v>
      </c>
      <c r="C5">
        <v>0.43636363636363634</v>
      </c>
    </row>
    <row r="6" spans="2:29" x14ac:dyDescent="0.35">
      <c r="B6">
        <v>0.34848484848484851</v>
      </c>
      <c r="C6">
        <v>0.81818181818181823</v>
      </c>
      <c r="AC6" t="s">
        <v>20</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22</v>
      </c>
    </row>
    <row r="18" spans="29:29" x14ac:dyDescent="0.35">
      <c r="AC18" t="s">
        <v>23</v>
      </c>
    </row>
    <row r="23" spans="29:29" x14ac:dyDescent="0.35">
      <c r="AC23" t="s">
        <v>37</v>
      </c>
    </row>
    <row r="28" spans="29:29" x14ac:dyDescent="0.35">
      <c r="AC28" t="s">
        <v>24</v>
      </c>
    </row>
    <row r="33" spans="29:29" x14ac:dyDescent="0.35">
      <c r="AC33" t="s">
        <v>36</v>
      </c>
    </row>
    <row r="36" spans="29:29" x14ac:dyDescent="0.35">
      <c r="AC36" t="s">
        <v>38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2021-03-27T23:04:07Z</dcterms:modified>
</cp:coreProperties>
</file>