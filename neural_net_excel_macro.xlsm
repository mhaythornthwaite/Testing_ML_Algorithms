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theme/themeOverride1.xml" ContentType="application/vnd.openxmlformats-officedocument.themeOverrid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hayt\Documents\Software_Developer-Python\2_Machine_Learning_ZTM_Course\Testing_ML_Algorithms\"/>
    </mc:Choice>
  </mc:AlternateContent>
  <xr:revisionPtr revIDLastSave="0" documentId="13_ncr:1_{2EF3DC8A-4383-418E-BC8B-22420C9B5BDC}" xr6:coauthVersionLast="46" xr6:coauthVersionMax="46" xr10:uidLastSave="{00000000-0000-0000-0000-000000000000}"/>
  <bookViews>
    <workbookView xWindow="-110" yWindow="-110" windowWidth="19420" windowHeight="10420" activeTab="2" xr2:uid="{0902341D-AD10-4A63-AC83-5FCE75AC7723}"/>
  </bookViews>
  <sheets>
    <sheet name="Main Page" sheetId="1" r:id="rId1"/>
    <sheet name="Iteration Data" sheetId="2" r:id="rId2"/>
    <sheet name="Figure Backu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9" i="1" l="1"/>
  <c r="D100" i="1"/>
  <c r="D101" i="1"/>
  <c r="D102" i="1"/>
  <c r="D103" i="1"/>
  <c r="D98" i="1"/>
  <c r="B102" i="1"/>
  <c r="T189" i="1"/>
  <c r="T163" i="1" s="1"/>
  <c r="H189" i="1"/>
  <c r="H163" i="1" s="1"/>
  <c r="H137" i="1" s="1"/>
  <c r="H111" i="1" s="1"/>
  <c r="O189" i="1"/>
  <c r="O163" i="1" s="1"/>
  <c r="P189" i="1"/>
  <c r="P163" i="1" s="1"/>
  <c r="P137" i="1" s="1"/>
  <c r="P111" i="1" s="1"/>
  <c r="O190" i="1"/>
  <c r="O164" i="1" s="1"/>
  <c r="U190" i="1"/>
  <c r="U164" i="1" s="1"/>
  <c r="U138" i="1" s="1"/>
  <c r="U112" i="1" s="1"/>
  <c r="W190" i="1"/>
  <c r="W164" i="1" s="1"/>
  <c r="J191" i="1"/>
  <c r="J165" i="1" s="1"/>
  <c r="W191" i="1"/>
  <c r="W165" i="1" s="1"/>
  <c r="W139" i="1" s="1"/>
  <c r="W113" i="1" s="1"/>
  <c r="X191" i="1"/>
  <c r="X165" i="1" s="1"/>
  <c r="X139" i="1" s="1"/>
  <c r="X113" i="1" s="1"/>
  <c r="E192" i="1"/>
  <c r="E166" i="1" s="1"/>
  <c r="R192" i="1"/>
  <c r="R166" i="1" s="1"/>
  <c r="R140" i="1" s="1"/>
  <c r="R114" i="1" s="1"/>
  <c r="S192" i="1"/>
  <c r="S166" i="1" s="1"/>
  <c r="S140" i="1" s="1"/>
  <c r="S114" i="1" s="1"/>
  <c r="F193" i="1"/>
  <c r="F167" i="1" s="1"/>
  <c r="F141" i="1" s="1"/>
  <c r="F115" i="1" s="1"/>
  <c r="H193" i="1"/>
  <c r="H167" i="1" s="1"/>
  <c r="M193" i="1"/>
  <c r="M167" i="1" s="1"/>
  <c r="M141" i="1" s="1"/>
  <c r="M115" i="1" s="1"/>
  <c r="U193" i="1"/>
  <c r="U167" i="1" s="1"/>
  <c r="U141" i="1" s="1"/>
  <c r="U115" i="1" s="1"/>
  <c r="V193" i="1"/>
  <c r="V167" i="1" s="1"/>
  <c r="V141" i="1" s="1"/>
  <c r="V115" i="1" s="1"/>
  <c r="H194" i="1"/>
  <c r="H168" i="1" s="1"/>
  <c r="H142" i="1" s="1"/>
  <c r="H116" i="1" s="1"/>
  <c r="I194" i="1"/>
  <c r="I168" i="1" s="1"/>
  <c r="I142" i="1" s="1"/>
  <c r="I116" i="1" s="1"/>
  <c r="K194" i="1"/>
  <c r="K168" i="1" s="1"/>
  <c r="S194" i="1"/>
  <c r="S168" i="1" s="1"/>
  <c r="S142" i="1" s="1"/>
  <c r="S116" i="1" s="1"/>
  <c r="X194" i="1"/>
  <c r="X168" i="1" s="1"/>
  <c r="X142" i="1" s="1"/>
  <c r="X116" i="1" s="1"/>
  <c r="F195" i="1"/>
  <c r="F169" i="1" s="1"/>
  <c r="F143" i="1" s="1"/>
  <c r="F117" i="1" s="1"/>
  <c r="K195" i="1"/>
  <c r="K169" i="1" s="1"/>
  <c r="K143" i="1" s="1"/>
  <c r="K117" i="1" s="1"/>
  <c r="L195" i="1"/>
  <c r="L169" i="1" s="1"/>
  <c r="L143" i="1" s="1"/>
  <c r="L117" i="1" s="1"/>
  <c r="S195" i="1"/>
  <c r="S169" i="1" s="1"/>
  <c r="S143" i="1" s="1"/>
  <c r="S117" i="1" s="1"/>
  <c r="T195" i="1"/>
  <c r="T169" i="1" s="1"/>
  <c r="T143" i="1" s="1"/>
  <c r="T117" i="1" s="1"/>
  <c r="E196" i="1"/>
  <c r="E170" i="1" s="1"/>
  <c r="E144" i="1" s="1"/>
  <c r="E118" i="1" s="1"/>
  <c r="F196" i="1"/>
  <c r="F170" i="1" s="1"/>
  <c r="F144" i="1" s="1"/>
  <c r="F118" i="1" s="1"/>
  <c r="I196" i="1"/>
  <c r="I170" i="1" s="1"/>
  <c r="I144" i="1" s="1"/>
  <c r="I118" i="1" s="1"/>
  <c r="O196" i="1"/>
  <c r="O170" i="1" s="1"/>
  <c r="O144" i="1" s="1"/>
  <c r="O118" i="1" s="1"/>
  <c r="Q196" i="1"/>
  <c r="Q170" i="1" s="1"/>
  <c r="Q144" i="1" s="1"/>
  <c r="Q118" i="1" s="1"/>
  <c r="V196" i="1"/>
  <c r="V170" i="1" s="1"/>
  <c r="V144" i="1" s="1"/>
  <c r="V118" i="1" s="1"/>
  <c r="W196" i="1"/>
  <c r="W170" i="1" s="1"/>
  <c r="W144" i="1" s="1"/>
  <c r="W118" i="1" s="1"/>
  <c r="D197" i="1"/>
  <c r="D171" i="1" s="1"/>
  <c r="D145" i="1" s="1"/>
  <c r="D119" i="1" s="1"/>
  <c r="J197" i="1"/>
  <c r="J171" i="1" s="1"/>
  <c r="J145" i="1" s="1"/>
  <c r="J119" i="1" s="1"/>
  <c r="M197" i="1"/>
  <c r="M171" i="1" s="1"/>
  <c r="M145" i="1" s="1"/>
  <c r="M119" i="1" s="1"/>
  <c r="Q197" i="1"/>
  <c r="Q171" i="1" s="1"/>
  <c r="Q145" i="1" s="1"/>
  <c r="Q119" i="1" s="1"/>
  <c r="T197" i="1"/>
  <c r="T171" i="1" s="1"/>
  <c r="T145" i="1" s="1"/>
  <c r="T119" i="1" s="1"/>
  <c r="U197" i="1"/>
  <c r="U171" i="1" s="1"/>
  <c r="U145" i="1" s="1"/>
  <c r="U119" i="1" s="1"/>
  <c r="G198" i="1"/>
  <c r="G172" i="1" s="1"/>
  <c r="G146" i="1" s="1"/>
  <c r="G120" i="1" s="1"/>
  <c r="H198" i="1"/>
  <c r="H172" i="1" s="1"/>
  <c r="H146" i="1" s="1"/>
  <c r="H120" i="1" s="1"/>
  <c r="M198" i="1"/>
  <c r="M172" i="1" s="1"/>
  <c r="M146" i="1" s="1"/>
  <c r="M120" i="1" s="1"/>
  <c r="O198" i="1"/>
  <c r="O172" i="1" s="1"/>
  <c r="O146" i="1" s="1"/>
  <c r="O120" i="1" s="1"/>
  <c r="S198" i="1"/>
  <c r="S172" i="1" s="1"/>
  <c r="S146" i="1" s="1"/>
  <c r="S120" i="1" s="1"/>
  <c r="X198" i="1"/>
  <c r="X172" i="1" s="1"/>
  <c r="X146" i="1" s="1"/>
  <c r="X120" i="1" s="1"/>
  <c r="F199" i="1"/>
  <c r="F173" i="1" s="1"/>
  <c r="F147" i="1" s="1"/>
  <c r="F121" i="1" s="1"/>
  <c r="J199" i="1"/>
  <c r="J173" i="1" s="1"/>
  <c r="J147" i="1" s="1"/>
  <c r="J121" i="1" s="1"/>
  <c r="K199" i="1"/>
  <c r="K173" i="1" s="1"/>
  <c r="K147" i="1" s="1"/>
  <c r="K121" i="1" s="1"/>
  <c r="N199" i="1"/>
  <c r="N173" i="1" s="1"/>
  <c r="N147" i="1" s="1"/>
  <c r="N121" i="1" s="1"/>
  <c r="S199" i="1"/>
  <c r="S173" i="1" s="1"/>
  <c r="S147" i="1" s="1"/>
  <c r="S121" i="1" s="1"/>
  <c r="W199" i="1"/>
  <c r="W173" i="1" s="1"/>
  <c r="W147" i="1" s="1"/>
  <c r="W121" i="1" s="1"/>
  <c r="E200" i="1"/>
  <c r="E174" i="1" s="1"/>
  <c r="E148" i="1" s="1"/>
  <c r="E122" i="1" s="1"/>
  <c r="I200" i="1"/>
  <c r="I174" i="1" s="1"/>
  <c r="I148" i="1" s="1"/>
  <c r="I122" i="1" s="1"/>
  <c r="J200" i="1"/>
  <c r="J174" i="1" s="1"/>
  <c r="J148" i="1" s="1"/>
  <c r="J122" i="1" s="1"/>
  <c r="Q200" i="1"/>
  <c r="Q174" i="1" s="1"/>
  <c r="Q148" i="1" s="1"/>
  <c r="Q122" i="1" s="1"/>
  <c r="R200" i="1"/>
  <c r="R174" i="1" s="1"/>
  <c r="R148" i="1" s="1"/>
  <c r="R122" i="1" s="1"/>
  <c r="U200" i="1"/>
  <c r="U174" i="1" s="1"/>
  <c r="U148" i="1" s="1"/>
  <c r="U122" i="1" s="1"/>
  <c r="V200" i="1"/>
  <c r="V174" i="1" s="1"/>
  <c r="V148" i="1" s="1"/>
  <c r="V122" i="1" s="1"/>
  <c r="X200" i="1"/>
  <c r="X174" i="1" s="1"/>
  <c r="X148" i="1" s="1"/>
  <c r="X122" i="1" s="1"/>
  <c r="G201" i="1"/>
  <c r="G175" i="1" s="1"/>
  <c r="G149" i="1" s="1"/>
  <c r="G123" i="1" s="1"/>
  <c r="H201" i="1"/>
  <c r="H175" i="1" s="1"/>
  <c r="H149" i="1" s="1"/>
  <c r="H123" i="1" s="1"/>
  <c r="K201" i="1"/>
  <c r="K175" i="1" s="1"/>
  <c r="K149" i="1" s="1"/>
  <c r="K123" i="1" s="1"/>
  <c r="L201" i="1"/>
  <c r="L175" i="1" s="1"/>
  <c r="L149" i="1" s="1"/>
  <c r="L123" i="1" s="1"/>
  <c r="M201" i="1"/>
  <c r="M175" i="1" s="1"/>
  <c r="M149" i="1" s="1"/>
  <c r="M123" i="1" s="1"/>
  <c r="Q201" i="1"/>
  <c r="Q175" i="1" s="1"/>
  <c r="Q149" i="1" s="1"/>
  <c r="Q123" i="1" s="1"/>
  <c r="S201" i="1"/>
  <c r="S175" i="1" s="1"/>
  <c r="S149" i="1" s="1"/>
  <c r="S123" i="1" s="1"/>
  <c r="T201" i="1"/>
  <c r="T175" i="1" s="1"/>
  <c r="T149" i="1" s="1"/>
  <c r="T123" i="1" s="1"/>
  <c r="U201" i="1"/>
  <c r="U175" i="1" s="1"/>
  <c r="U149" i="1" s="1"/>
  <c r="U123" i="1" s="1"/>
  <c r="W201" i="1"/>
  <c r="W175" i="1" s="1"/>
  <c r="W149" i="1" s="1"/>
  <c r="W123" i="1" s="1"/>
  <c r="X201" i="1"/>
  <c r="X175" i="1" s="1"/>
  <c r="X149" i="1" s="1"/>
  <c r="X123" i="1" s="1"/>
  <c r="G202" i="1"/>
  <c r="G176" i="1" s="1"/>
  <c r="G150" i="1" s="1"/>
  <c r="G124" i="1" s="1"/>
  <c r="H202" i="1"/>
  <c r="H176" i="1" s="1"/>
  <c r="H150" i="1" s="1"/>
  <c r="H124" i="1" s="1"/>
  <c r="J202" i="1"/>
  <c r="J176" i="1" s="1"/>
  <c r="J150" i="1" s="1"/>
  <c r="J124" i="1" s="1"/>
  <c r="K202" i="1"/>
  <c r="K176" i="1" s="1"/>
  <c r="K150" i="1" s="1"/>
  <c r="K124" i="1" s="1"/>
  <c r="L202" i="1"/>
  <c r="L176" i="1" s="1"/>
  <c r="L150" i="1" s="1"/>
  <c r="L124" i="1" s="1"/>
  <c r="N202" i="1"/>
  <c r="N176" i="1" s="1"/>
  <c r="N150" i="1" s="1"/>
  <c r="N124" i="1" s="1"/>
  <c r="R202" i="1"/>
  <c r="R176" i="1" s="1"/>
  <c r="R150" i="1" s="1"/>
  <c r="R124" i="1" s="1"/>
  <c r="S202" i="1"/>
  <c r="S176" i="1" s="1"/>
  <c r="S150" i="1" s="1"/>
  <c r="S124" i="1" s="1"/>
  <c r="T202" i="1"/>
  <c r="T176" i="1" s="1"/>
  <c r="T150" i="1" s="1"/>
  <c r="T124" i="1" s="1"/>
  <c r="V202" i="1"/>
  <c r="V176" i="1" s="1"/>
  <c r="V150" i="1" s="1"/>
  <c r="V124" i="1" s="1"/>
  <c r="W202" i="1"/>
  <c r="W176" i="1" s="1"/>
  <c r="W150" i="1" s="1"/>
  <c r="W124" i="1" s="1"/>
  <c r="X202" i="1"/>
  <c r="X176" i="1" s="1"/>
  <c r="X150" i="1" s="1"/>
  <c r="X124" i="1" s="1"/>
  <c r="G203" i="1"/>
  <c r="G177" i="1" s="1"/>
  <c r="G151" i="1" s="1"/>
  <c r="G125" i="1" s="1"/>
  <c r="I203" i="1"/>
  <c r="I177" i="1" s="1"/>
  <c r="I151" i="1" s="1"/>
  <c r="I125" i="1" s="1"/>
  <c r="J203" i="1"/>
  <c r="J177" i="1" s="1"/>
  <c r="J151" i="1" s="1"/>
  <c r="J125" i="1" s="1"/>
  <c r="K203" i="1"/>
  <c r="K177" i="1" s="1"/>
  <c r="K151" i="1" s="1"/>
  <c r="K125" i="1" s="1"/>
  <c r="M203" i="1"/>
  <c r="M177" i="1" s="1"/>
  <c r="M151" i="1" s="1"/>
  <c r="M125" i="1" s="1"/>
  <c r="N203" i="1"/>
  <c r="N177" i="1" s="1"/>
  <c r="N151" i="1" s="1"/>
  <c r="N125" i="1" s="1"/>
  <c r="Q203" i="1"/>
  <c r="Q177" i="1" s="1"/>
  <c r="Q151" i="1" s="1"/>
  <c r="Q125" i="1" s="1"/>
  <c r="R203" i="1"/>
  <c r="R177" i="1" s="1"/>
  <c r="R151" i="1" s="1"/>
  <c r="R125" i="1" s="1"/>
  <c r="S203" i="1"/>
  <c r="S177" i="1" s="1"/>
  <c r="S151" i="1" s="1"/>
  <c r="S125" i="1" s="1"/>
  <c r="U203" i="1"/>
  <c r="U177" i="1" s="1"/>
  <c r="U151" i="1" s="1"/>
  <c r="U125" i="1" s="1"/>
  <c r="V203" i="1"/>
  <c r="V177" i="1" s="1"/>
  <c r="V151" i="1" s="1"/>
  <c r="V125" i="1" s="1"/>
  <c r="W203" i="1"/>
  <c r="W177" i="1" s="1"/>
  <c r="W151" i="1" s="1"/>
  <c r="W125" i="1" s="1"/>
  <c r="D204" i="1"/>
  <c r="D178" i="1" s="1"/>
  <c r="D152" i="1" s="1"/>
  <c r="D126" i="1" s="1"/>
  <c r="F204" i="1"/>
  <c r="F178" i="1" s="1"/>
  <c r="F152" i="1" s="1"/>
  <c r="F126" i="1" s="1"/>
  <c r="H204" i="1"/>
  <c r="H178" i="1" s="1"/>
  <c r="H152" i="1" s="1"/>
  <c r="H126" i="1" s="1"/>
  <c r="I204" i="1"/>
  <c r="I178" i="1" s="1"/>
  <c r="I152" i="1" s="1"/>
  <c r="I126" i="1" s="1"/>
  <c r="J204" i="1"/>
  <c r="J178" i="1" s="1"/>
  <c r="J152" i="1" s="1"/>
  <c r="J126" i="1" s="1"/>
  <c r="L204" i="1"/>
  <c r="L178" i="1" s="1"/>
  <c r="L152" i="1" s="1"/>
  <c r="L126" i="1" s="1"/>
  <c r="M204" i="1"/>
  <c r="M178" i="1" s="1"/>
  <c r="M152" i="1" s="1"/>
  <c r="M126" i="1" s="1"/>
  <c r="N204" i="1"/>
  <c r="N178" i="1" s="1"/>
  <c r="N152" i="1" s="1"/>
  <c r="N126" i="1" s="1"/>
  <c r="P204" i="1"/>
  <c r="P178" i="1" s="1"/>
  <c r="P152" i="1" s="1"/>
  <c r="P126" i="1" s="1"/>
  <c r="Q204" i="1"/>
  <c r="Q178" i="1" s="1"/>
  <c r="Q152" i="1" s="1"/>
  <c r="Q126" i="1" s="1"/>
  <c r="R204" i="1"/>
  <c r="R178" i="1" s="1"/>
  <c r="R152" i="1" s="1"/>
  <c r="R126" i="1" s="1"/>
  <c r="T204" i="1"/>
  <c r="T178" i="1" s="1"/>
  <c r="T152" i="1" s="1"/>
  <c r="T126" i="1" s="1"/>
  <c r="U204" i="1"/>
  <c r="U178" i="1" s="1"/>
  <c r="U152" i="1" s="1"/>
  <c r="U126" i="1" s="1"/>
  <c r="V204" i="1"/>
  <c r="V178" i="1" s="1"/>
  <c r="V152" i="1" s="1"/>
  <c r="V126" i="1" s="1"/>
  <c r="X204" i="1"/>
  <c r="X178" i="1" s="1"/>
  <c r="X152" i="1" s="1"/>
  <c r="X126" i="1" s="1"/>
  <c r="D205" i="1"/>
  <c r="D179" i="1" s="1"/>
  <c r="D153" i="1" s="1"/>
  <c r="D127" i="1" s="1"/>
  <c r="E205" i="1"/>
  <c r="E179" i="1" s="1"/>
  <c r="E153" i="1" s="1"/>
  <c r="E127" i="1" s="1"/>
  <c r="G205" i="1"/>
  <c r="G179" i="1" s="1"/>
  <c r="G153" i="1" s="1"/>
  <c r="G127" i="1" s="1"/>
  <c r="H205" i="1"/>
  <c r="H179" i="1" s="1"/>
  <c r="H153" i="1" s="1"/>
  <c r="H127" i="1" s="1"/>
  <c r="I205" i="1"/>
  <c r="I179" i="1" s="1"/>
  <c r="I153" i="1" s="1"/>
  <c r="I127" i="1" s="1"/>
  <c r="K205" i="1"/>
  <c r="K179" i="1" s="1"/>
  <c r="K153" i="1" s="1"/>
  <c r="K127" i="1" s="1"/>
  <c r="L205" i="1"/>
  <c r="L179" i="1" s="1"/>
  <c r="L153" i="1" s="1"/>
  <c r="L127" i="1" s="1"/>
  <c r="M205" i="1"/>
  <c r="M179" i="1" s="1"/>
  <c r="M153" i="1" s="1"/>
  <c r="M127" i="1" s="1"/>
  <c r="O205" i="1"/>
  <c r="O179" i="1" s="1"/>
  <c r="O153" i="1" s="1"/>
  <c r="O127" i="1" s="1"/>
  <c r="P205" i="1"/>
  <c r="P179" i="1" s="1"/>
  <c r="P153" i="1" s="1"/>
  <c r="P127" i="1" s="1"/>
  <c r="Q205" i="1"/>
  <c r="Q179" i="1" s="1"/>
  <c r="Q153" i="1" s="1"/>
  <c r="Q127" i="1" s="1"/>
  <c r="S205" i="1"/>
  <c r="S179" i="1" s="1"/>
  <c r="S153" i="1" s="1"/>
  <c r="S127" i="1" s="1"/>
  <c r="T205" i="1"/>
  <c r="T179" i="1" s="1"/>
  <c r="T153" i="1" s="1"/>
  <c r="T127" i="1" s="1"/>
  <c r="U205" i="1"/>
  <c r="U179" i="1" s="1"/>
  <c r="U153" i="1" s="1"/>
  <c r="U127" i="1" s="1"/>
  <c r="W205" i="1"/>
  <c r="W179" i="1" s="1"/>
  <c r="W153" i="1" s="1"/>
  <c r="W127" i="1" s="1"/>
  <c r="X205" i="1"/>
  <c r="X179" i="1" s="1"/>
  <c r="X153" i="1" s="1"/>
  <c r="X127" i="1" s="1"/>
  <c r="D206" i="1"/>
  <c r="D180" i="1" s="1"/>
  <c r="D154" i="1" s="1"/>
  <c r="D128" i="1" s="1"/>
  <c r="F206" i="1"/>
  <c r="F180" i="1" s="1"/>
  <c r="F154" i="1" s="1"/>
  <c r="F128" i="1" s="1"/>
  <c r="G206" i="1"/>
  <c r="G180" i="1" s="1"/>
  <c r="G154" i="1" s="1"/>
  <c r="G128" i="1" s="1"/>
  <c r="H206" i="1"/>
  <c r="H180" i="1" s="1"/>
  <c r="H154" i="1" s="1"/>
  <c r="H128" i="1" s="1"/>
  <c r="J206" i="1"/>
  <c r="J180" i="1" s="1"/>
  <c r="J154" i="1" s="1"/>
  <c r="J128" i="1" s="1"/>
  <c r="K206" i="1"/>
  <c r="K180" i="1" s="1"/>
  <c r="K154" i="1" s="1"/>
  <c r="K128" i="1" s="1"/>
  <c r="L206" i="1"/>
  <c r="L180" i="1" s="1"/>
  <c r="L154" i="1" s="1"/>
  <c r="L128" i="1" s="1"/>
  <c r="M206" i="1"/>
  <c r="M180" i="1" s="1"/>
  <c r="M154" i="1" s="1"/>
  <c r="M128" i="1" s="1"/>
  <c r="N206" i="1"/>
  <c r="N180" i="1" s="1"/>
  <c r="N154" i="1" s="1"/>
  <c r="N128" i="1" s="1"/>
  <c r="O206" i="1"/>
  <c r="O180" i="1" s="1"/>
  <c r="O154" i="1" s="1"/>
  <c r="O128" i="1" s="1"/>
  <c r="P206" i="1"/>
  <c r="P180" i="1" s="1"/>
  <c r="P154" i="1" s="1"/>
  <c r="P128" i="1" s="1"/>
  <c r="Q206" i="1"/>
  <c r="Q180" i="1" s="1"/>
  <c r="Q154" i="1" s="1"/>
  <c r="Q128" i="1" s="1"/>
  <c r="R206" i="1"/>
  <c r="R180" i="1" s="1"/>
  <c r="R154" i="1" s="1"/>
  <c r="R128" i="1" s="1"/>
  <c r="S206" i="1"/>
  <c r="S180" i="1" s="1"/>
  <c r="S154" i="1" s="1"/>
  <c r="S128" i="1" s="1"/>
  <c r="T206" i="1"/>
  <c r="T180" i="1" s="1"/>
  <c r="T154" i="1" s="1"/>
  <c r="T128" i="1" s="1"/>
  <c r="U206" i="1"/>
  <c r="U180" i="1" s="1"/>
  <c r="U154" i="1" s="1"/>
  <c r="U128" i="1" s="1"/>
  <c r="V206" i="1"/>
  <c r="V180" i="1" s="1"/>
  <c r="V154" i="1" s="1"/>
  <c r="V128" i="1" s="1"/>
  <c r="W206" i="1"/>
  <c r="W180" i="1" s="1"/>
  <c r="W154" i="1" s="1"/>
  <c r="W128" i="1" s="1"/>
  <c r="X206" i="1"/>
  <c r="X180" i="1" s="1"/>
  <c r="X154" i="1" s="1"/>
  <c r="X128" i="1" s="1"/>
  <c r="D207" i="1"/>
  <c r="D181" i="1" s="1"/>
  <c r="D155" i="1" s="1"/>
  <c r="D129" i="1" s="1"/>
  <c r="E207" i="1"/>
  <c r="E181" i="1" s="1"/>
  <c r="E155" i="1" s="1"/>
  <c r="E129" i="1" s="1"/>
  <c r="F207" i="1"/>
  <c r="F181" i="1" s="1"/>
  <c r="F155" i="1" s="1"/>
  <c r="F129" i="1" s="1"/>
  <c r="G207" i="1"/>
  <c r="G181" i="1" s="1"/>
  <c r="G155" i="1" s="1"/>
  <c r="G129" i="1" s="1"/>
  <c r="H207" i="1"/>
  <c r="H181" i="1" s="1"/>
  <c r="H155" i="1" s="1"/>
  <c r="H129" i="1" s="1"/>
  <c r="I207" i="1"/>
  <c r="I181" i="1" s="1"/>
  <c r="I155" i="1" s="1"/>
  <c r="I129" i="1" s="1"/>
  <c r="J207" i="1"/>
  <c r="J181" i="1" s="1"/>
  <c r="J155" i="1" s="1"/>
  <c r="J129" i="1" s="1"/>
  <c r="K207" i="1"/>
  <c r="K181" i="1" s="1"/>
  <c r="K155" i="1" s="1"/>
  <c r="K129" i="1" s="1"/>
  <c r="L207" i="1"/>
  <c r="L181" i="1" s="1"/>
  <c r="L155" i="1" s="1"/>
  <c r="L129" i="1" s="1"/>
  <c r="M207" i="1"/>
  <c r="M181" i="1" s="1"/>
  <c r="M155" i="1" s="1"/>
  <c r="M129" i="1" s="1"/>
  <c r="N207" i="1"/>
  <c r="N181" i="1" s="1"/>
  <c r="N155" i="1" s="1"/>
  <c r="N129" i="1" s="1"/>
  <c r="O207" i="1"/>
  <c r="O181" i="1" s="1"/>
  <c r="O155" i="1" s="1"/>
  <c r="O129" i="1" s="1"/>
  <c r="P207" i="1"/>
  <c r="P181" i="1" s="1"/>
  <c r="P155" i="1" s="1"/>
  <c r="P129" i="1" s="1"/>
  <c r="Q207" i="1"/>
  <c r="Q181" i="1" s="1"/>
  <c r="Q155" i="1" s="1"/>
  <c r="Q129" i="1" s="1"/>
  <c r="R207" i="1"/>
  <c r="R181" i="1" s="1"/>
  <c r="R155" i="1" s="1"/>
  <c r="R129" i="1" s="1"/>
  <c r="S207" i="1"/>
  <c r="S181" i="1" s="1"/>
  <c r="S155" i="1" s="1"/>
  <c r="S129" i="1" s="1"/>
  <c r="T207" i="1"/>
  <c r="T181" i="1" s="1"/>
  <c r="T155" i="1" s="1"/>
  <c r="T129" i="1" s="1"/>
  <c r="U207" i="1"/>
  <c r="U181" i="1" s="1"/>
  <c r="U155" i="1" s="1"/>
  <c r="U129" i="1" s="1"/>
  <c r="V207" i="1"/>
  <c r="V181" i="1" s="1"/>
  <c r="V155" i="1" s="1"/>
  <c r="V129" i="1" s="1"/>
  <c r="W207" i="1"/>
  <c r="W181" i="1" s="1"/>
  <c r="W155" i="1" s="1"/>
  <c r="W129" i="1" s="1"/>
  <c r="X207" i="1"/>
  <c r="X181" i="1" s="1"/>
  <c r="X155" i="1" s="1"/>
  <c r="X129" i="1" s="1"/>
  <c r="J188" i="1"/>
  <c r="J162" i="1" s="1"/>
  <c r="J136" i="1" s="1"/>
  <c r="J110" i="1" s="1"/>
  <c r="F188" i="1"/>
  <c r="F162" i="1" s="1"/>
  <c r="F136" i="1" s="1"/>
  <c r="F110" i="1" s="1"/>
  <c r="G188" i="1"/>
  <c r="G162" i="1" s="1"/>
  <c r="G136" i="1" s="1"/>
  <c r="G110" i="1" s="1"/>
  <c r="H188" i="1"/>
  <c r="H162" i="1" s="1"/>
  <c r="H136" i="1" s="1"/>
  <c r="H110" i="1" s="1"/>
  <c r="I188" i="1"/>
  <c r="I162" i="1" s="1"/>
  <c r="I136" i="1" s="1"/>
  <c r="I110" i="1" s="1"/>
  <c r="K188" i="1"/>
  <c r="K162" i="1" s="1"/>
  <c r="K136" i="1" s="1"/>
  <c r="K110" i="1" s="1"/>
  <c r="L188" i="1"/>
  <c r="L162" i="1" s="1"/>
  <c r="L136" i="1" s="1"/>
  <c r="L110" i="1" s="1"/>
  <c r="M188" i="1"/>
  <c r="M162" i="1" s="1"/>
  <c r="M136" i="1" s="1"/>
  <c r="M110" i="1" s="1"/>
  <c r="N188" i="1"/>
  <c r="N162" i="1" s="1"/>
  <c r="N136" i="1" s="1"/>
  <c r="N110" i="1" s="1"/>
  <c r="O188" i="1"/>
  <c r="O162" i="1" s="1"/>
  <c r="O136" i="1" s="1"/>
  <c r="O110" i="1" s="1"/>
  <c r="P188" i="1"/>
  <c r="P162" i="1" s="1"/>
  <c r="P136" i="1" s="1"/>
  <c r="P110" i="1" s="1"/>
  <c r="Q188" i="1"/>
  <c r="Q162" i="1" s="1"/>
  <c r="Q136" i="1" s="1"/>
  <c r="Q110" i="1" s="1"/>
  <c r="R188" i="1"/>
  <c r="R162" i="1" s="1"/>
  <c r="R136" i="1" s="1"/>
  <c r="R110" i="1" s="1"/>
  <c r="S188" i="1"/>
  <c r="S162" i="1" s="1"/>
  <c r="S136" i="1" s="1"/>
  <c r="S110" i="1" s="1"/>
  <c r="T188" i="1"/>
  <c r="T162" i="1" s="1"/>
  <c r="T136" i="1" s="1"/>
  <c r="T110" i="1" s="1"/>
  <c r="U188" i="1"/>
  <c r="U162" i="1" s="1"/>
  <c r="U136" i="1" s="1"/>
  <c r="U110" i="1" s="1"/>
  <c r="V188" i="1"/>
  <c r="V162" i="1" s="1"/>
  <c r="V136" i="1" s="1"/>
  <c r="V110" i="1" s="1"/>
  <c r="W188" i="1"/>
  <c r="W162" i="1" s="1"/>
  <c r="W136" i="1" s="1"/>
  <c r="W110" i="1" s="1"/>
  <c r="X188" i="1"/>
  <c r="X162" i="1" s="1"/>
  <c r="X136" i="1" s="1"/>
  <c r="X110" i="1" s="1"/>
  <c r="E188" i="1"/>
  <c r="E162" i="1" s="1"/>
  <c r="E136" i="1" s="1"/>
  <c r="E110" i="1" s="1"/>
  <c r="D188" i="1"/>
  <c r="D162" i="1" s="1"/>
  <c r="D136" i="1" s="1"/>
  <c r="D110" i="1" s="1"/>
  <c r="H187" i="1"/>
  <c r="H161" i="1" s="1"/>
  <c r="H135" i="1" s="1"/>
  <c r="H109" i="1" s="1"/>
  <c r="I187" i="1"/>
  <c r="I161" i="1" s="1"/>
  <c r="I135" i="1" s="1"/>
  <c r="I109" i="1" s="1"/>
  <c r="J187" i="1"/>
  <c r="J161" i="1" s="1"/>
  <c r="J135" i="1" s="1"/>
  <c r="J109" i="1" s="1"/>
  <c r="K187" i="1"/>
  <c r="K161" i="1" s="1"/>
  <c r="K135" i="1" s="1"/>
  <c r="K109" i="1" s="1"/>
  <c r="L187" i="1"/>
  <c r="L161" i="1" s="1"/>
  <c r="L135" i="1" s="1"/>
  <c r="L109" i="1" s="1"/>
  <c r="M187" i="1"/>
  <c r="M161" i="1" s="1"/>
  <c r="M135" i="1" s="1"/>
  <c r="M109" i="1" s="1"/>
  <c r="N187" i="1"/>
  <c r="N161" i="1" s="1"/>
  <c r="N135" i="1" s="1"/>
  <c r="N109" i="1" s="1"/>
  <c r="O187" i="1"/>
  <c r="O161" i="1" s="1"/>
  <c r="O135" i="1" s="1"/>
  <c r="O109" i="1" s="1"/>
  <c r="P187" i="1"/>
  <c r="P161" i="1" s="1"/>
  <c r="P135" i="1" s="1"/>
  <c r="P109" i="1" s="1"/>
  <c r="Q187" i="1"/>
  <c r="Q161" i="1" s="1"/>
  <c r="Q135" i="1" s="1"/>
  <c r="Q109" i="1" s="1"/>
  <c r="R187" i="1"/>
  <c r="R161" i="1" s="1"/>
  <c r="R135" i="1" s="1"/>
  <c r="R109" i="1" s="1"/>
  <c r="S187" i="1"/>
  <c r="S161" i="1" s="1"/>
  <c r="S135" i="1" s="1"/>
  <c r="S109" i="1" s="1"/>
  <c r="T187" i="1"/>
  <c r="T161" i="1" s="1"/>
  <c r="T135" i="1" s="1"/>
  <c r="T109" i="1" s="1"/>
  <c r="U187" i="1"/>
  <c r="U161" i="1" s="1"/>
  <c r="U135" i="1" s="1"/>
  <c r="U109" i="1" s="1"/>
  <c r="V187" i="1"/>
  <c r="V161" i="1" s="1"/>
  <c r="V135" i="1" s="1"/>
  <c r="V109" i="1" s="1"/>
  <c r="W187" i="1"/>
  <c r="W161" i="1" s="1"/>
  <c r="W135" i="1" s="1"/>
  <c r="W109" i="1" s="1"/>
  <c r="X187" i="1"/>
  <c r="X161" i="1" s="1"/>
  <c r="X135" i="1" s="1"/>
  <c r="X109" i="1" s="1"/>
  <c r="G187" i="1"/>
  <c r="G161" i="1" s="1"/>
  <c r="G135" i="1" s="1"/>
  <c r="G109" i="1" s="1"/>
  <c r="E187" i="1"/>
  <c r="E161" i="1" s="1"/>
  <c r="E135" i="1" s="1"/>
  <c r="E109" i="1" s="1"/>
  <c r="F187" i="1"/>
  <c r="F161" i="1" s="1"/>
  <c r="F135" i="1" s="1"/>
  <c r="F109" i="1" s="1"/>
  <c r="BG12" i="1"/>
  <c r="BG11" i="1"/>
  <c r="BG10" i="1"/>
  <c r="BG9" i="1"/>
  <c r="BG8" i="1"/>
  <c r="BG7" i="1"/>
  <c r="BG6" i="1"/>
  <c r="BG5" i="1"/>
  <c r="AZ12" i="1"/>
  <c r="AZ11" i="1"/>
  <c r="AZ10" i="1"/>
  <c r="AZ9" i="1"/>
  <c r="AZ8" i="1"/>
  <c r="AZ7" i="1"/>
  <c r="AZ6" i="1"/>
  <c r="AZ5" i="1"/>
  <c r="AS12" i="1"/>
  <c r="AS11" i="1"/>
  <c r="AS10" i="1"/>
  <c r="AS9" i="1"/>
  <c r="AS8" i="1"/>
  <c r="AS7" i="1"/>
  <c r="AS6" i="1"/>
  <c r="AS5" i="1"/>
  <c r="AL6" i="1"/>
  <c r="AL7" i="1"/>
  <c r="AL8" i="1"/>
  <c r="AL9" i="1"/>
  <c r="AL10" i="1"/>
  <c r="AL11" i="1"/>
  <c r="AL12" i="1"/>
  <c r="AL5" i="1"/>
  <c r="BE6" i="1"/>
  <c r="BE7" i="1"/>
  <c r="BE8" i="1"/>
  <c r="BE9" i="1"/>
  <c r="BE10" i="1"/>
  <c r="BE11" i="1"/>
  <c r="BE12" i="1"/>
  <c r="BE5" i="1"/>
  <c r="I201" i="1" l="1"/>
  <c r="I175" i="1" s="1"/>
  <c r="I149" i="1" s="1"/>
  <c r="I123" i="1" s="1"/>
  <c r="T200" i="1"/>
  <c r="T174" i="1" s="1"/>
  <c r="T148" i="1" s="1"/>
  <c r="T122" i="1" s="1"/>
  <c r="X199" i="1"/>
  <c r="X173" i="1" s="1"/>
  <c r="X147" i="1" s="1"/>
  <c r="X121" i="1" s="1"/>
  <c r="G199" i="1"/>
  <c r="G173" i="1" s="1"/>
  <c r="G147" i="1" s="1"/>
  <c r="G121" i="1" s="1"/>
  <c r="L198" i="1"/>
  <c r="L172" i="1" s="1"/>
  <c r="L146" i="1" s="1"/>
  <c r="L120" i="1" s="1"/>
  <c r="P197" i="1"/>
  <c r="P171" i="1" s="1"/>
  <c r="P145" i="1" s="1"/>
  <c r="P119" i="1" s="1"/>
  <c r="R196" i="1"/>
  <c r="R170" i="1" s="1"/>
  <c r="R144" i="1" s="1"/>
  <c r="R118" i="1" s="1"/>
  <c r="W195" i="1"/>
  <c r="W169" i="1" s="1"/>
  <c r="W143" i="1" s="1"/>
  <c r="W117" i="1" s="1"/>
  <c r="D195" i="1"/>
  <c r="D169" i="1" s="1"/>
  <c r="D143" i="1" s="1"/>
  <c r="D117" i="1" s="1"/>
  <c r="X193" i="1"/>
  <c r="X167" i="1" s="1"/>
  <c r="X141" i="1" s="1"/>
  <c r="X115" i="1" s="1"/>
  <c r="U192" i="1"/>
  <c r="U166" i="1" s="1"/>
  <c r="U140" i="1" s="1"/>
  <c r="U114" i="1" s="1"/>
  <c r="R191" i="1"/>
  <c r="R165" i="1" s="1"/>
  <c r="R139" i="1" s="1"/>
  <c r="R113" i="1" s="1"/>
  <c r="M190" i="1"/>
  <c r="M164" i="1" s="1"/>
  <c r="M138" i="1" s="1"/>
  <c r="M112" i="1" s="1"/>
  <c r="F189" i="1"/>
  <c r="F163" i="1" s="1"/>
  <c r="F137" i="1" s="1"/>
  <c r="F111" i="1" s="1"/>
  <c r="P191" i="1"/>
  <c r="P165" i="1" s="1"/>
  <c r="P139" i="1" s="1"/>
  <c r="P113" i="1" s="1"/>
  <c r="L190" i="1"/>
  <c r="L164" i="1" s="1"/>
  <c r="L138" i="1" s="1"/>
  <c r="L112" i="1" s="1"/>
  <c r="G190" i="1"/>
  <c r="G164" i="1" s="1"/>
  <c r="G138" i="1" s="1"/>
  <c r="G112" i="1" s="1"/>
  <c r="F203" i="1"/>
  <c r="F177" i="1" s="1"/>
  <c r="F151" i="1" s="1"/>
  <c r="F125" i="1" s="1"/>
  <c r="P202" i="1"/>
  <c r="P176" i="1" s="1"/>
  <c r="P150" i="1" s="1"/>
  <c r="P124" i="1" s="1"/>
  <c r="F202" i="1"/>
  <c r="F176" i="1" s="1"/>
  <c r="F150" i="1" s="1"/>
  <c r="F124" i="1" s="1"/>
  <c r="P201" i="1"/>
  <c r="P175" i="1" s="1"/>
  <c r="P149" i="1" s="1"/>
  <c r="P123" i="1" s="1"/>
  <c r="E201" i="1"/>
  <c r="E175" i="1" s="1"/>
  <c r="E149" i="1" s="1"/>
  <c r="E123" i="1" s="1"/>
  <c r="N200" i="1"/>
  <c r="N174" i="1" s="1"/>
  <c r="N148" i="1" s="1"/>
  <c r="N122" i="1" s="1"/>
  <c r="R199" i="1"/>
  <c r="R173" i="1" s="1"/>
  <c r="R147" i="1" s="1"/>
  <c r="R121" i="1" s="1"/>
  <c r="U198" i="1"/>
  <c r="U172" i="1" s="1"/>
  <c r="U146" i="1" s="1"/>
  <c r="U120" i="1" s="1"/>
  <c r="E198" i="1"/>
  <c r="E172" i="1" s="1"/>
  <c r="E146" i="1" s="1"/>
  <c r="E120" i="1" s="1"/>
  <c r="I197" i="1"/>
  <c r="I171" i="1" s="1"/>
  <c r="I145" i="1" s="1"/>
  <c r="I119" i="1" s="1"/>
  <c r="M196" i="1"/>
  <c r="M170" i="1" s="1"/>
  <c r="M144" i="1" s="1"/>
  <c r="M118" i="1" s="1"/>
  <c r="R195" i="1"/>
  <c r="R169" i="1" s="1"/>
  <c r="R143" i="1" s="1"/>
  <c r="R117" i="1" s="1"/>
  <c r="Q194" i="1"/>
  <c r="Q168" i="1" s="1"/>
  <c r="Q142" i="1" s="1"/>
  <c r="Q116" i="1" s="1"/>
  <c r="P193" i="1"/>
  <c r="P167" i="1" s="1"/>
  <c r="P141" i="1" s="1"/>
  <c r="P115" i="1" s="1"/>
  <c r="M192" i="1"/>
  <c r="M166" i="1" s="1"/>
  <c r="M140" i="1" s="1"/>
  <c r="M114" i="1" s="1"/>
  <c r="H191" i="1"/>
  <c r="H165" i="1" s="1"/>
  <c r="H139" i="1" s="1"/>
  <c r="H113" i="1" s="1"/>
  <c r="E190" i="1"/>
  <c r="E164" i="1" s="1"/>
  <c r="E138" i="1" s="1"/>
  <c r="E112" i="1" s="1"/>
  <c r="I189" i="1"/>
  <c r="I163" i="1" s="1"/>
  <c r="I137" i="1" s="1"/>
  <c r="I111" i="1" s="1"/>
  <c r="E204" i="1"/>
  <c r="E178" i="1" s="1"/>
  <c r="E152" i="1" s="1"/>
  <c r="E126" i="1" s="1"/>
  <c r="O203" i="1"/>
  <c r="O177" i="1" s="1"/>
  <c r="O151" i="1" s="1"/>
  <c r="O125" i="1" s="1"/>
  <c r="E203" i="1"/>
  <c r="E177" i="1" s="1"/>
  <c r="E151" i="1" s="1"/>
  <c r="E125" i="1" s="1"/>
  <c r="O202" i="1"/>
  <c r="O176" i="1" s="1"/>
  <c r="O150" i="1" s="1"/>
  <c r="O124" i="1" s="1"/>
  <c r="D202" i="1"/>
  <c r="D176" i="1" s="1"/>
  <c r="D150" i="1" s="1"/>
  <c r="D124" i="1" s="1"/>
  <c r="O201" i="1"/>
  <c r="O175" i="1" s="1"/>
  <c r="O149" i="1" s="1"/>
  <c r="O123" i="1" s="1"/>
  <c r="D201" i="1"/>
  <c r="D175" i="1" s="1"/>
  <c r="D149" i="1" s="1"/>
  <c r="D123" i="1" s="1"/>
  <c r="K200" i="1"/>
  <c r="K174" i="1" s="1"/>
  <c r="K148" i="1" s="1"/>
  <c r="K122" i="1" s="1"/>
  <c r="P199" i="1"/>
  <c r="P173" i="1" s="1"/>
  <c r="P147" i="1" s="1"/>
  <c r="P121" i="1" s="1"/>
  <c r="T198" i="1"/>
  <c r="T172" i="1" s="1"/>
  <c r="T146" i="1" s="1"/>
  <c r="T120" i="1" s="1"/>
  <c r="X197" i="1"/>
  <c r="X171" i="1" s="1"/>
  <c r="X145" i="1" s="1"/>
  <c r="X119" i="1" s="1"/>
  <c r="H197" i="1"/>
  <c r="H171" i="1" s="1"/>
  <c r="H145" i="1" s="1"/>
  <c r="H119" i="1" s="1"/>
  <c r="J196" i="1"/>
  <c r="J170" i="1" s="1"/>
  <c r="J144" i="1" s="1"/>
  <c r="J118" i="1" s="1"/>
  <c r="N195" i="1"/>
  <c r="N169" i="1" s="1"/>
  <c r="N143" i="1" s="1"/>
  <c r="N117" i="1" s="1"/>
  <c r="P194" i="1"/>
  <c r="P168" i="1" s="1"/>
  <c r="P142" i="1" s="1"/>
  <c r="P116" i="1" s="1"/>
  <c r="N193" i="1"/>
  <c r="N167" i="1" s="1"/>
  <c r="N141" i="1" s="1"/>
  <c r="N115" i="1" s="1"/>
  <c r="K192" i="1"/>
  <c r="K166" i="1" s="1"/>
  <c r="K140" i="1" s="1"/>
  <c r="K114" i="1" s="1"/>
  <c r="G191" i="1"/>
  <c r="G165" i="1" s="1"/>
  <c r="G139" i="1" s="1"/>
  <c r="G113" i="1" s="1"/>
  <c r="L189" i="1"/>
  <c r="L163" i="1" s="1"/>
  <c r="L137" i="1" s="1"/>
  <c r="L111" i="1" s="1"/>
  <c r="U189" i="1"/>
  <c r="U163" i="1" s="1"/>
  <c r="U137" i="1" s="1"/>
  <c r="U111" i="1" s="1"/>
  <c r="I206" i="1"/>
  <c r="I180" i="1" s="1"/>
  <c r="I154" i="1" s="1"/>
  <c r="I128" i="1" s="1"/>
  <c r="V205" i="1"/>
  <c r="V179" i="1" s="1"/>
  <c r="V153" i="1" s="1"/>
  <c r="V127" i="1" s="1"/>
  <c r="N205" i="1"/>
  <c r="N179" i="1" s="1"/>
  <c r="N153" i="1" s="1"/>
  <c r="N127" i="1" s="1"/>
  <c r="F205" i="1"/>
  <c r="F179" i="1" s="1"/>
  <c r="F153" i="1" s="1"/>
  <c r="F127" i="1" s="1"/>
  <c r="S204" i="1"/>
  <c r="S178" i="1" s="1"/>
  <c r="S152" i="1" s="1"/>
  <c r="S126" i="1" s="1"/>
  <c r="K204" i="1"/>
  <c r="K178" i="1" s="1"/>
  <c r="K152" i="1" s="1"/>
  <c r="K126" i="1" s="1"/>
  <c r="X203" i="1"/>
  <c r="X177" i="1" s="1"/>
  <c r="X151" i="1" s="1"/>
  <c r="X125" i="1" s="1"/>
  <c r="P203" i="1"/>
  <c r="P177" i="1" s="1"/>
  <c r="P151" i="1" s="1"/>
  <c r="P125" i="1" s="1"/>
  <c r="H203" i="1"/>
  <c r="H177" i="1" s="1"/>
  <c r="H151" i="1" s="1"/>
  <c r="H125" i="1" s="1"/>
  <c r="U202" i="1"/>
  <c r="U176" i="1" s="1"/>
  <c r="U150" i="1" s="1"/>
  <c r="U124" i="1" s="1"/>
  <c r="M202" i="1"/>
  <c r="M176" i="1" s="1"/>
  <c r="M150" i="1" s="1"/>
  <c r="M124" i="1" s="1"/>
  <c r="E202" i="1"/>
  <c r="E176" i="1" s="1"/>
  <c r="E150" i="1" s="1"/>
  <c r="E124" i="1" s="1"/>
  <c r="R201" i="1"/>
  <c r="R175" i="1" s="1"/>
  <c r="R149" i="1" s="1"/>
  <c r="R123" i="1" s="1"/>
  <c r="J201" i="1"/>
  <c r="J175" i="1" s="1"/>
  <c r="J149" i="1" s="1"/>
  <c r="J123" i="1" s="1"/>
  <c r="W200" i="1"/>
  <c r="W174" i="1" s="1"/>
  <c r="W148" i="1" s="1"/>
  <c r="W122" i="1" s="1"/>
  <c r="M200" i="1"/>
  <c r="M174" i="1" s="1"/>
  <c r="M148" i="1" s="1"/>
  <c r="M122" i="1" s="1"/>
  <c r="V199" i="1"/>
  <c r="V173" i="1" s="1"/>
  <c r="V147" i="1" s="1"/>
  <c r="V121" i="1" s="1"/>
  <c r="H199" i="1"/>
  <c r="H173" i="1" s="1"/>
  <c r="H147" i="1" s="1"/>
  <c r="H121" i="1" s="1"/>
  <c r="P198" i="1"/>
  <c r="P172" i="1" s="1"/>
  <c r="P146" i="1" s="1"/>
  <c r="P120" i="1" s="1"/>
  <c r="D198" i="1"/>
  <c r="D172" i="1" s="1"/>
  <c r="D146" i="1" s="1"/>
  <c r="D120" i="1" s="1"/>
  <c r="L197" i="1"/>
  <c r="L171" i="1" s="1"/>
  <c r="L145" i="1" s="1"/>
  <c r="L119" i="1" s="1"/>
  <c r="U196" i="1"/>
  <c r="U170" i="1" s="1"/>
  <c r="U144" i="1" s="1"/>
  <c r="U118" i="1" s="1"/>
  <c r="G196" i="1"/>
  <c r="G170" i="1" s="1"/>
  <c r="G144" i="1" s="1"/>
  <c r="G118" i="1" s="1"/>
  <c r="O195" i="1"/>
  <c r="O169" i="1" s="1"/>
  <c r="O143" i="1" s="1"/>
  <c r="O117" i="1" s="1"/>
  <c r="T194" i="1"/>
  <c r="T168" i="1" s="1"/>
  <c r="T142" i="1" s="1"/>
  <c r="T116" i="1" s="1"/>
  <c r="D194" i="1"/>
  <c r="D168" i="1" s="1"/>
  <c r="D142" i="1" s="1"/>
  <c r="D116" i="1" s="1"/>
  <c r="I193" i="1"/>
  <c r="I167" i="1" s="1"/>
  <c r="I141" i="1" s="1"/>
  <c r="I115" i="1" s="1"/>
  <c r="N192" i="1"/>
  <c r="N166" i="1" s="1"/>
  <c r="N140" i="1" s="1"/>
  <c r="N114" i="1" s="1"/>
  <c r="S191" i="1"/>
  <c r="S165" i="1" s="1"/>
  <c r="S139" i="1" s="1"/>
  <c r="S113" i="1" s="1"/>
  <c r="X190" i="1"/>
  <c r="X164" i="1" s="1"/>
  <c r="X138" i="1" s="1"/>
  <c r="X112" i="1" s="1"/>
  <c r="H190" i="1"/>
  <c r="H164" i="1" s="1"/>
  <c r="H138" i="1" s="1"/>
  <c r="H112" i="1" s="1"/>
  <c r="K189" i="1"/>
  <c r="K163" i="1" s="1"/>
  <c r="K137" i="1" s="1"/>
  <c r="K111" i="1" s="1"/>
  <c r="E193" i="1"/>
  <c r="E167" i="1" s="1"/>
  <c r="E141" i="1" s="1"/>
  <c r="E115" i="1" s="1"/>
  <c r="J192" i="1"/>
  <c r="J166" i="1" s="1"/>
  <c r="J140" i="1" s="1"/>
  <c r="J114" i="1" s="1"/>
  <c r="O191" i="1"/>
  <c r="O165" i="1" s="1"/>
  <c r="O139" i="1" s="1"/>
  <c r="O113" i="1" s="1"/>
  <c r="T190" i="1"/>
  <c r="T164" i="1" s="1"/>
  <c r="T138" i="1" s="1"/>
  <c r="T112" i="1" s="1"/>
  <c r="D190" i="1"/>
  <c r="D164" i="1" s="1"/>
  <c r="D138" i="1" s="1"/>
  <c r="D112" i="1" s="1"/>
  <c r="E206" i="1"/>
  <c r="E180" i="1" s="1"/>
  <c r="E154" i="1" s="1"/>
  <c r="E128" i="1" s="1"/>
  <c r="R205" i="1"/>
  <c r="R179" i="1" s="1"/>
  <c r="R153" i="1" s="1"/>
  <c r="R127" i="1" s="1"/>
  <c r="J205" i="1"/>
  <c r="J179" i="1" s="1"/>
  <c r="J153" i="1" s="1"/>
  <c r="J127" i="1" s="1"/>
  <c r="W204" i="1"/>
  <c r="W178" i="1" s="1"/>
  <c r="W152" i="1" s="1"/>
  <c r="W126" i="1" s="1"/>
  <c r="O204" i="1"/>
  <c r="O178" i="1" s="1"/>
  <c r="O152" i="1" s="1"/>
  <c r="O126" i="1" s="1"/>
  <c r="G204" i="1"/>
  <c r="G178" i="1" s="1"/>
  <c r="G152" i="1" s="1"/>
  <c r="G126" i="1" s="1"/>
  <c r="T203" i="1"/>
  <c r="T177" i="1" s="1"/>
  <c r="T151" i="1" s="1"/>
  <c r="T125" i="1" s="1"/>
  <c r="L203" i="1"/>
  <c r="L177" i="1" s="1"/>
  <c r="L151" i="1" s="1"/>
  <c r="L125" i="1" s="1"/>
  <c r="D203" i="1"/>
  <c r="D177" i="1" s="1"/>
  <c r="D151" i="1" s="1"/>
  <c r="D125" i="1" s="1"/>
  <c r="Q202" i="1"/>
  <c r="Q176" i="1" s="1"/>
  <c r="Q150" i="1" s="1"/>
  <c r="Q124" i="1" s="1"/>
  <c r="I202" i="1"/>
  <c r="I176" i="1" s="1"/>
  <c r="I150" i="1" s="1"/>
  <c r="I124" i="1" s="1"/>
  <c r="V201" i="1"/>
  <c r="V175" i="1" s="1"/>
  <c r="V149" i="1" s="1"/>
  <c r="V123" i="1" s="1"/>
  <c r="N201" i="1"/>
  <c r="N175" i="1" s="1"/>
  <c r="N149" i="1" s="1"/>
  <c r="N123" i="1" s="1"/>
  <c r="F201" i="1"/>
  <c r="F175" i="1" s="1"/>
  <c r="F149" i="1" s="1"/>
  <c r="F123" i="1" s="1"/>
  <c r="S200" i="1"/>
  <c r="S174" i="1" s="1"/>
  <c r="S148" i="1" s="1"/>
  <c r="S122" i="1" s="1"/>
  <c r="F200" i="1"/>
  <c r="F174" i="1" s="1"/>
  <c r="F148" i="1" s="1"/>
  <c r="F122" i="1" s="1"/>
  <c r="O199" i="1"/>
  <c r="O173" i="1" s="1"/>
  <c r="O147" i="1" s="1"/>
  <c r="O121" i="1" s="1"/>
  <c r="W198" i="1"/>
  <c r="W172" i="1" s="1"/>
  <c r="W146" i="1" s="1"/>
  <c r="W120" i="1" s="1"/>
  <c r="K198" i="1"/>
  <c r="K172" i="1" s="1"/>
  <c r="K146" i="1" s="1"/>
  <c r="K120" i="1" s="1"/>
  <c r="R197" i="1"/>
  <c r="R171" i="1" s="1"/>
  <c r="R145" i="1" s="1"/>
  <c r="R119" i="1" s="1"/>
  <c r="E197" i="1"/>
  <c r="E171" i="1" s="1"/>
  <c r="E145" i="1" s="1"/>
  <c r="E119" i="1" s="1"/>
  <c r="N196" i="1"/>
  <c r="N170" i="1" s="1"/>
  <c r="N144" i="1" s="1"/>
  <c r="N118" i="1" s="1"/>
  <c r="V195" i="1"/>
  <c r="V169" i="1" s="1"/>
  <c r="V143" i="1" s="1"/>
  <c r="V117" i="1" s="1"/>
  <c r="G195" i="1"/>
  <c r="G169" i="1" s="1"/>
  <c r="G143" i="1" s="1"/>
  <c r="G117" i="1" s="1"/>
  <c r="L194" i="1"/>
  <c r="L168" i="1" s="1"/>
  <c r="L142" i="1" s="1"/>
  <c r="L116" i="1" s="1"/>
  <c r="Q193" i="1"/>
  <c r="Q167" i="1" s="1"/>
  <c r="Q141" i="1" s="1"/>
  <c r="Q115" i="1" s="1"/>
  <c r="V192" i="1"/>
  <c r="V166" i="1" s="1"/>
  <c r="V140" i="1" s="1"/>
  <c r="V114" i="1" s="1"/>
  <c r="F192" i="1"/>
  <c r="F166" i="1" s="1"/>
  <c r="F140" i="1" s="1"/>
  <c r="F114" i="1" s="1"/>
  <c r="K191" i="1"/>
  <c r="K165" i="1" s="1"/>
  <c r="K139" i="1" s="1"/>
  <c r="K113" i="1" s="1"/>
  <c r="P190" i="1"/>
  <c r="P164" i="1" s="1"/>
  <c r="P138" i="1" s="1"/>
  <c r="P112" i="1" s="1"/>
  <c r="L200" i="1"/>
  <c r="L174" i="1" s="1"/>
  <c r="L148" i="1" s="1"/>
  <c r="L122" i="1" s="1"/>
  <c r="D200" i="1"/>
  <c r="D174" i="1" s="1"/>
  <c r="D148" i="1" s="1"/>
  <c r="D122" i="1" s="1"/>
  <c r="Q199" i="1"/>
  <c r="Q173" i="1" s="1"/>
  <c r="Q147" i="1" s="1"/>
  <c r="Q121" i="1" s="1"/>
  <c r="I199" i="1"/>
  <c r="I173" i="1" s="1"/>
  <c r="I147" i="1" s="1"/>
  <c r="I121" i="1" s="1"/>
  <c r="V198" i="1"/>
  <c r="V172" i="1" s="1"/>
  <c r="V146" i="1" s="1"/>
  <c r="V120" i="1" s="1"/>
  <c r="N198" i="1"/>
  <c r="N172" i="1" s="1"/>
  <c r="N146" i="1" s="1"/>
  <c r="N120" i="1" s="1"/>
  <c r="F198" i="1"/>
  <c r="F172" i="1" s="1"/>
  <c r="F146" i="1" s="1"/>
  <c r="F120" i="1" s="1"/>
  <c r="S197" i="1"/>
  <c r="S171" i="1" s="1"/>
  <c r="S145" i="1" s="1"/>
  <c r="S119" i="1" s="1"/>
  <c r="K197" i="1"/>
  <c r="K171" i="1" s="1"/>
  <c r="K145" i="1" s="1"/>
  <c r="K119" i="1" s="1"/>
  <c r="X196" i="1"/>
  <c r="X170" i="1" s="1"/>
  <c r="X144" i="1" s="1"/>
  <c r="X118" i="1" s="1"/>
  <c r="P196" i="1"/>
  <c r="P170" i="1" s="1"/>
  <c r="P144" i="1" s="1"/>
  <c r="P118" i="1" s="1"/>
  <c r="H196" i="1"/>
  <c r="H170" i="1" s="1"/>
  <c r="H144" i="1" s="1"/>
  <c r="H118" i="1" s="1"/>
  <c r="U195" i="1"/>
  <c r="U169" i="1" s="1"/>
  <c r="U143" i="1" s="1"/>
  <c r="U117" i="1" s="1"/>
  <c r="M195" i="1"/>
  <c r="M169" i="1" s="1"/>
  <c r="M143" i="1" s="1"/>
  <c r="M117" i="1" s="1"/>
  <c r="E195" i="1"/>
  <c r="E169" i="1" s="1"/>
  <c r="E143" i="1" s="1"/>
  <c r="E117" i="1" s="1"/>
  <c r="R194" i="1"/>
  <c r="R168" i="1" s="1"/>
  <c r="R142" i="1" s="1"/>
  <c r="R116" i="1" s="1"/>
  <c r="J194" i="1"/>
  <c r="J168" i="1" s="1"/>
  <c r="J142" i="1" s="1"/>
  <c r="J116" i="1" s="1"/>
  <c r="W193" i="1"/>
  <c r="W167" i="1" s="1"/>
  <c r="W141" i="1" s="1"/>
  <c r="W115" i="1" s="1"/>
  <c r="O193" i="1"/>
  <c r="O167" i="1" s="1"/>
  <c r="O141" i="1" s="1"/>
  <c r="O115" i="1" s="1"/>
  <c r="G193" i="1"/>
  <c r="G167" i="1" s="1"/>
  <c r="G141" i="1" s="1"/>
  <c r="G115" i="1" s="1"/>
  <c r="T192" i="1"/>
  <c r="T166" i="1" s="1"/>
  <c r="T140" i="1" s="1"/>
  <c r="T114" i="1" s="1"/>
  <c r="L192" i="1"/>
  <c r="L166" i="1" s="1"/>
  <c r="L140" i="1" s="1"/>
  <c r="L114" i="1" s="1"/>
  <c r="D192" i="1"/>
  <c r="D166" i="1" s="1"/>
  <c r="D140" i="1" s="1"/>
  <c r="D114" i="1" s="1"/>
  <c r="Q191" i="1"/>
  <c r="Q165" i="1" s="1"/>
  <c r="Q139" i="1" s="1"/>
  <c r="Q113" i="1" s="1"/>
  <c r="I191" i="1"/>
  <c r="I165" i="1" s="1"/>
  <c r="I139" i="1" s="1"/>
  <c r="I113" i="1" s="1"/>
  <c r="V190" i="1"/>
  <c r="V164" i="1" s="1"/>
  <c r="V138" i="1" s="1"/>
  <c r="V112" i="1" s="1"/>
  <c r="N190" i="1"/>
  <c r="N164" i="1" s="1"/>
  <c r="N138" i="1" s="1"/>
  <c r="N112" i="1" s="1"/>
  <c r="F190" i="1"/>
  <c r="F164" i="1" s="1"/>
  <c r="F138" i="1" s="1"/>
  <c r="F112" i="1" s="1"/>
  <c r="S189" i="1"/>
  <c r="S163" i="1" s="1"/>
  <c r="S137" i="1" s="1"/>
  <c r="S111" i="1" s="1"/>
  <c r="G189" i="1"/>
  <c r="G163" i="1" s="1"/>
  <c r="G137" i="1" s="1"/>
  <c r="G111" i="1" s="1"/>
  <c r="E189" i="1"/>
  <c r="E163" i="1" s="1"/>
  <c r="E137" i="1" s="1"/>
  <c r="E111" i="1" s="1"/>
  <c r="J195" i="1"/>
  <c r="J169" i="1" s="1"/>
  <c r="J143" i="1" s="1"/>
  <c r="J117" i="1" s="1"/>
  <c r="W194" i="1"/>
  <c r="W168" i="1" s="1"/>
  <c r="W142" i="1" s="1"/>
  <c r="W116" i="1" s="1"/>
  <c r="O194" i="1"/>
  <c r="O168" i="1" s="1"/>
  <c r="O142" i="1" s="1"/>
  <c r="O116" i="1" s="1"/>
  <c r="G194" i="1"/>
  <c r="G168" i="1" s="1"/>
  <c r="G142" i="1" s="1"/>
  <c r="G116" i="1" s="1"/>
  <c r="T193" i="1"/>
  <c r="T167" i="1" s="1"/>
  <c r="T141" i="1" s="1"/>
  <c r="T115" i="1" s="1"/>
  <c r="L193" i="1"/>
  <c r="L167" i="1" s="1"/>
  <c r="L141" i="1" s="1"/>
  <c r="L115" i="1" s="1"/>
  <c r="D193" i="1"/>
  <c r="D167" i="1" s="1"/>
  <c r="D141" i="1" s="1"/>
  <c r="D115" i="1" s="1"/>
  <c r="Q192" i="1"/>
  <c r="Q166" i="1" s="1"/>
  <c r="Q140" i="1" s="1"/>
  <c r="Q114" i="1" s="1"/>
  <c r="I192" i="1"/>
  <c r="I166" i="1" s="1"/>
  <c r="I140" i="1" s="1"/>
  <c r="I114" i="1" s="1"/>
  <c r="V191" i="1"/>
  <c r="V165" i="1" s="1"/>
  <c r="V139" i="1" s="1"/>
  <c r="V113" i="1" s="1"/>
  <c r="N191" i="1"/>
  <c r="N165" i="1" s="1"/>
  <c r="N139" i="1" s="1"/>
  <c r="N113" i="1" s="1"/>
  <c r="F191" i="1"/>
  <c r="F165" i="1" s="1"/>
  <c r="F139" i="1" s="1"/>
  <c r="F113" i="1" s="1"/>
  <c r="S190" i="1"/>
  <c r="S164" i="1" s="1"/>
  <c r="S138" i="1" s="1"/>
  <c r="S112" i="1" s="1"/>
  <c r="K190" i="1"/>
  <c r="K164" i="1" s="1"/>
  <c r="K138" i="1" s="1"/>
  <c r="K112" i="1" s="1"/>
  <c r="X189" i="1"/>
  <c r="X163" i="1" s="1"/>
  <c r="X137" i="1" s="1"/>
  <c r="X111" i="1" s="1"/>
  <c r="N189" i="1"/>
  <c r="N163" i="1" s="1"/>
  <c r="N137" i="1" s="1"/>
  <c r="N111" i="1" s="1"/>
  <c r="D187" i="1"/>
  <c r="D161" i="1" s="1"/>
  <c r="D135" i="1" s="1"/>
  <c r="D109" i="1" s="1"/>
  <c r="P200" i="1"/>
  <c r="P174" i="1" s="1"/>
  <c r="P148" i="1" s="1"/>
  <c r="P122" i="1" s="1"/>
  <c r="H200" i="1"/>
  <c r="H174" i="1" s="1"/>
  <c r="H148" i="1" s="1"/>
  <c r="H122" i="1" s="1"/>
  <c r="U199" i="1"/>
  <c r="U173" i="1" s="1"/>
  <c r="U147" i="1" s="1"/>
  <c r="U121" i="1" s="1"/>
  <c r="M199" i="1"/>
  <c r="M173" i="1" s="1"/>
  <c r="M147" i="1" s="1"/>
  <c r="M121" i="1" s="1"/>
  <c r="E199" i="1"/>
  <c r="E173" i="1" s="1"/>
  <c r="E147" i="1" s="1"/>
  <c r="E121" i="1" s="1"/>
  <c r="R198" i="1"/>
  <c r="R172" i="1" s="1"/>
  <c r="R146" i="1" s="1"/>
  <c r="R120" i="1" s="1"/>
  <c r="J198" i="1"/>
  <c r="J172" i="1" s="1"/>
  <c r="J146" i="1" s="1"/>
  <c r="J120" i="1" s="1"/>
  <c r="W197" i="1"/>
  <c r="W171" i="1" s="1"/>
  <c r="W145" i="1" s="1"/>
  <c r="W119" i="1" s="1"/>
  <c r="O197" i="1"/>
  <c r="O171" i="1" s="1"/>
  <c r="O145" i="1" s="1"/>
  <c r="O119" i="1" s="1"/>
  <c r="G197" i="1"/>
  <c r="G171" i="1" s="1"/>
  <c r="G145" i="1" s="1"/>
  <c r="G119" i="1" s="1"/>
  <c r="T196" i="1"/>
  <c r="T170" i="1" s="1"/>
  <c r="T144" i="1" s="1"/>
  <c r="T118" i="1" s="1"/>
  <c r="L196" i="1"/>
  <c r="L170" i="1" s="1"/>
  <c r="L144" i="1" s="1"/>
  <c r="L118" i="1" s="1"/>
  <c r="D196" i="1"/>
  <c r="D170" i="1" s="1"/>
  <c r="D144" i="1" s="1"/>
  <c r="D118" i="1" s="1"/>
  <c r="Q195" i="1"/>
  <c r="Q169" i="1" s="1"/>
  <c r="Q143" i="1" s="1"/>
  <c r="Q117" i="1" s="1"/>
  <c r="I195" i="1"/>
  <c r="I169" i="1" s="1"/>
  <c r="I143" i="1" s="1"/>
  <c r="I117" i="1" s="1"/>
  <c r="V194" i="1"/>
  <c r="V168" i="1" s="1"/>
  <c r="V142" i="1" s="1"/>
  <c r="V116" i="1" s="1"/>
  <c r="N194" i="1"/>
  <c r="N168" i="1" s="1"/>
  <c r="N142" i="1" s="1"/>
  <c r="N116" i="1" s="1"/>
  <c r="F194" i="1"/>
  <c r="F168" i="1" s="1"/>
  <c r="F142" i="1" s="1"/>
  <c r="F116" i="1" s="1"/>
  <c r="S193" i="1"/>
  <c r="S167" i="1" s="1"/>
  <c r="S141" i="1" s="1"/>
  <c r="S115" i="1" s="1"/>
  <c r="K193" i="1"/>
  <c r="K167" i="1" s="1"/>
  <c r="K141" i="1" s="1"/>
  <c r="K115" i="1" s="1"/>
  <c r="X192" i="1"/>
  <c r="X166" i="1" s="1"/>
  <c r="X140" i="1" s="1"/>
  <c r="X114" i="1" s="1"/>
  <c r="P192" i="1"/>
  <c r="P166" i="1" s="1"/>
  <c r="P140" i="1" s="1"/>
  <c r="P114" i="1" s="1"/>
  <c r="H192" i="1"/>
  <c r="H166" i="1" s="1"/>
  <c r="H140" i="1" s="1"/>
  <c r="H114" i="1" s="1"/>
  <c r="U191" i="1"/>
  <c r="U165" i="1" s="1"/>
  <c r="U139" i="1" s="1"/>
  <c r="U113" i="1" s="1"/>
  <c r="M191" i="1"/>
  <c r="M165" i="1" s="1"/>
  <c r="M139" i="1" s="1"/>
  <c r="M113" i="1" s="1"/>
  <c r="E191" i="1"/>
  <c r="E165" i="1" s="1"/>
  <c r="E139" i="1" s="1"/>
  <c r="E113" i="1" s="1"/>
  <c r="R190" i="1"/>
  <c r="R164" i="1" s="1"/>
  <c r="R138" i="1" s="1"/>
  <c r="R112" i="1" s="1"/>
  <c r="J190" i="1"/>
  <c r="J164" i="1" s="1"/>
  <c r="J138" i="1" s="1"/>
  <c r="J112" i="1" s="1"/>
  <c r="W189" i="1"/>
  <c r="W163" i="1" s="1"/>
  <c r="W137" i="1" s="1"/>
  <c r="W111" i="1" s="1"/>
  <c r="M189" i="1"/>
  <c r="M163" i="1" s="1"/>
  <c r="M137" i="1" s="1"/>
  <c r="M111" i="1" s="1"/>
  <c r="O200" i="1"/>
  <c r="O174" i="1" s="1"/>
  <c r="O148" i="1" s="1"/>
  <c r="O122" i="1" s="1"/>
  <c r="G200" i="1"/>
  <c r="G174" i="1" s="1"/>
  <c r="G148" i="1" s="1"/>
  <c r="G122" i="1" s="1"/>
  <c r="T199" i="1"/>
  <c r="T173" i="1" s="1"/>
  <c r="T147" i="1" s="1"/>
  <c r="T121" i="1" s="1"/>
  <c r="L199" i="1"/>
  <c r="L173" i="1" s="1"/>
  <c r="L147" i="1" s="1"/>
  <c r="L121" i="1" s="1"/>
  <c r="D199" i="1"/>
  <c r="D173" i="1" s="1"/>
  <c r="D147" i="1" s="1"/>
  <c r="D121" i="1" s="1"/>
  <c r="Q198" i="1"/>
  <c r="Q172" i="1" s="1"/>
  <c r="Q146" i="1" s="1"/>
  <c r="Q120" i="1" s="1"/>
  <c r="I198" i="1"/>
  <c r="I172" i="1" s="1"/>
  <c r="I146" i="1" s="1"/>
  <c r="I120" i="1" s="1"/>
  <c r="V197" i="1"/>
  <c r="V171" i="1" s="1"/>
  <c r="V145" i="1" s="1"/>
  <c r="V119" i="1" s="1"/>
  <c r="N197" i="1"/>
  <c r="N171" i="1" s="1"/>
  <c r="N145" i="1" s="1"/>
  <c r="N119" i="1" s="1"/>
  <c r="F197" i="1"/>
  <c r="F171" i="1" s="1"/>
  <c r="F145" i="1" s="1"/>
  <c r="F119" i="1" s="1"/>
  <c r="S196" i="1"/>
  <c r="S170" i="1" s="1"/>
  <c r="S144" i="1" s="1"/>
  <c r="S118" i="1" s="1"/>
  <c r="K196" i="1"/>
  <c r="K170" i="1" s="1"/>
  <c r="K144" i="1" s="1"/>
  <c r="K118" i="1" s="1"/>
  <c r="X195" i="1"/>
  <c r="X169" i="1" s="1"/>
  <c r="X143" i="1" s="1"/>
  <c r="X117" i="1" s="1"/>
  <c r="P195" i="1"/>
  <c r="P169" i="1" s="1"/>
  <c r="P143" i="1" s="1"/>
  <c r="P117" i="1" s="1"/>
  <c r="H195" i="1"/>
  <c r="H169" i="1" s="1"/>
  <c r="H143" i="1" s="1"/>
  <c r="H117" i="1" s="1"/>
  <c r="U194" i="1"/>
  <c r="U168" i="1" s="1"/>
  <c r="U142" i="1" s="1"/>
  <c r="U116" i="1" s="1"/>
  <c r="M194" i="1"/>
  <c r="M168" i="1" s="1"/>
  <c r="M142" i="1" s="1"/>
  <c r="M116" i="1" s="1"/>
  <c r="E194" i="1"/>
  <c r="E168" i="1" s="1"/>
  <c r="E142" i="1" s="1"/>
  <c r="E116" i="1" s="1"/>
  <c r="R193" i="1"/>
  <c r="R167" i="1" s="1"/>
  <c r="R141" i="1" s="1"/>
  <c r="R115" i="1" s="1"/>
  <c r="J193" i="1"/>
  <c r="J167" i="1" s="1"/>
  <c r="J141" i="1" s="1"/>
  <c r="J115" i="1" s="1"/>
  <c r="W192" i="1"/>
  <c r="W166" i="1" s="1"/>
  <c r="W140" i="1" s="1"/>
  <c r="W114" i="1" s="1"/>
  <c r="O192" i="1"/>
  <c r="O166" i="1" s="1"/>
  <c r="O140" i="1" s="1"/>
  <c r="O114" i="1" s="1"/>
  <c r="G192" i="1"/>
  <c r="G166" i="1" s="1"/>
  <c r="G140" i="1" s="1"/>
  <c r="G114" i="1" s="1"/>
  <c r="T191" i="1"/>
  <c r="T165" i="1" s="1"/>
  <c r="T139" i="1" s="1"/>
  <c r="T113" i="1" s="1"/>
  <c r="L191" i="1"/>
  <c r="L165" i="1" s="1"/>
  <c r="L139" i="1" s="1"/>
  <c r="L113" i="1" s="1"/>
  <c r="D191" i="1"/>
  <c r="D165" i="1" s="1"/>
  <c r="D139" i="1" s="1"/>
  <c r="D113" i="1" s="1"/>
  <c r="Q190" i="1"/>
  <c r="Q164" i="1" s="1"/>
  <c r="Q138" i="1" s="1"/>
  <c r="Q112" i="1" s="1"/>
  <c r="I190" i="1"/>
  <c r="I164" i="1" s="1"/>
  <c r="I138" i="1" s="1"/>
  <c r="I112" i="1" s="1"/>
  <c r="V189" i="1"/>
  <c r="V163" i="1" s="1"/>
  <c r="V137" i="1" s="1"/>
  <c r="V111" i="1" s="1"/>
  <c r="D189" i="1"/>
  <c r="D163" i="1" s="1"/>
  <c r="D137" i="1" s="1"/>
  <c r="D111" i="1" s="1"/>
  <c r="R189" i="1"/>
  <c r="R163" i="1" s="1"/>
  <c r="R137" i="1" s="1"/>
  <c r="R111" i="1" s="1"/>
  <c r="J189" i="1"/>
  <c r="J163" i="1" s="1"/>
  <c r="J137" i="1" s="1"/>
  <c r="J111" i="1" s="1"/>
  <c r="Q189" i="1"/>
  <c r="Q163" i="1" s="1"/>
  <c r="Q137" i="1" s="1"/>
  <c r="Q111" i="1" s="1"/>
  <c r="O137" i="1"/>
  <c r="O111" i="1" s="1"/>
  <c r="K142" i="1"/>
  <c r="K116" i="1" s="1"/>
  <c r="H141" i="1"/>
  <c r="H115" i="1" s="1"/>
  <c r="E140" i="1"/>
  <c r="E114" i="1" s="1"/>
  <c r="J139" i="1"/>
  <c r="J113" i="1" s="1"/>
  <c r="W138" i="1"/>
  <c r="W112" i="1" s="1"/>
  <c r="O138" i="1"/>
  <c r="O112" i="1" s="1"/>
  <c r="T137" i="1"/>
  <c r="T111" i="1" s="1"/>
  <c r="I6" i="1"/>
  <c r="I7" i="1"/>
  <c r="I8" i="1"/>
  <c r="I9" i="1"/>
  <c r="I10" i="1"/>
  <c r="I11" i="1"/>
  <c r="I12" i="1"/>
  <c r="H6" i="1"/>
  <c r="AJ6" i="1" s="1"/>
  <c r="H7" i="1"/>
  <c r="AJ7" i="1" s="1"/>
  <c r="H8" i="1"/>
  <c r="AJ8" i="1" s="1"/>
  <c r="H9" i="1"/>
  <c r="AJ9" i="1" s="1"/>
  <c r="H10" i="1"/>
  <c r="AJ10" i="1" s="1"/>
  <c r="H11" i="1"/>
  <c r="AJ11" i="1" s="1"/>
  <c r="H12" i="1"/>
  <c r="AJ12" i="1" s="1"/>
  <c r="H5" i="1"/>
  <c r="AJ5" i="1" s="1"/>
  <c r="G6" i="1"/>
  <c r="G7" i="1"/>
  <c r="G8" i="1"/>
  <c r="G9" i="1"/>
  <c r="G10" i="1"/>
  <c r="G11" i="1"/>
  <c r="G12" i="1"/>
  <c r="G5" i="1"/>
  <c r="I5" i="1"/>
  <c r="S5" i="1" l="1"/>
  <c r="U5" i="1" s="1"/>
  <c r="R5" i="1" s="1"/>
  <c r="T5" i="1" s="1"/>
  <c r="AX6" i="1"/>
  <c r="S6" i="1"/>
  <c r="U6" i="1" s="1"/>
  <c r="R6" i="1" s="1"/>
  <c r="T6" i="1" s="1"/>
  <c r="K6" i="1" s="1"/>
  <c r="AX5" i="1"/>
  <c r="AX12" i="1"/>
  <c r="S12" i="1"/>
  <c r="U12" i="1" s="1"/>
  <c r="AX7" i="1"/>
  <c r="S7" i="1"/>
  <c r="U7" i="1" s="1"/>
  <c r="AX11" i="1"/>
  <c r="S11" i="1"/>
  <c r="U11" i="1" s="1"/>
  <c r="AX10" i="1"/>
  <c r="S10" i="1"/>
  <c r="U10" i="1" s="1"/>
  <c r="AX9" i="1"/>
  <c r="S9" i="1"/>
  <c r="U9" i="1" s="1"/>
  <c r="AX8" i="1"/>
  <c r="S8" i="1"/>
  <c r="U8" i="1" s="1"/>
  <c r="AY8" i="1" l="1"/>
  <c r="AK8" i="1"/>
  <c r="R8" i="1"/>
  <c r="T8" i="1" s="1"/>
  <c r="AR8" i="1"/>
  <c r="Y8" i="1"/>
  <c r="BF8" i="1"/>
  <c r="BF7" i="1"/>
  <c r="Y7" i="1"/>
  <c r="AK7" i="1"/>
  <c r="AR7" i="1"/>
  <c r="AY7" i="1"/>
  <c r="R7" i="1"/>
  <c r="T7" i="1" s="1"/>
  <c r="K7" i="1" s="1"/>
  <c r="AK12" i="1"/>
  <c r="BF12" i="1"/>
  <c r="R12" i="1"/>
  <c r="T12" i="1" s="1"/>
  <c r="AY12" i="1"/>
  <c r="Y12" i="1"/>
  <c r="AR12" i="1"/>
  <c r="R10" i="1"/>
  <c r="T10" i="1" s="1"/>
  <c r="Y10" i="1"/>
  <c r="AK10" i="1"/>
  <c r="AY10" i="1"/>
  <c r="BF10" i="1"/>
  <c r="AR10" i="1"/>
  <c r="AR5" i="1"/>
  <c r="AK5" i="1"/>
  <c r="BF5" i="1"/>
  <c r="AY5" i="1"/>
  <c r="Y5" i="1"/>
  <c r="AR11" i="1"/>
  <c r="BF11" i="1"/>
  <c r="AY11" i="1"/>
  <c r="AK11" i="1"/>
  <c r="R11" i="1"/>
  <c r="T11" i="1" s="1"/>
  <c r="Y11" i="1"/>
  <c r="AR6" i="1"/>
  <c r="AK6" i="1"/>
  <c r="Y6" i="1"/>
  <c r="AY6" i="1"/>
  <c r="BF6" i="1"/>
  <c r="AK9" i="1"/>
  <c r="AR9" i="1"/>
  <c r="BF9" i="1"/>
  <c r="AY9" i="1"/>
  <c r="R9" i="1"/>
  <c r="T9" i="1" s="1"/>
  <c r="Y9" i="1"/>
  <c r="AA12" i="1" l="1"/>
  <c r="BH12" i="1"/>
  <c r="BB12" i="1"/>
  <c r="BA12" i="1"/>
  <c r="K12" i="1"/>
  <c r="M12" i="1" s="1"/>
  <c r="Z12" i="1"/>
  <c r="AM12" i="1"/>
  <c r="BI12" i="1"/>
  <c r="AT12" i="1"/>
  <c r="AE12" i="1"/>
  <c r="AU12" i="1"/>
  <c r="AF12" i="1"/>
  <c r="AN12" i="1"/>
  <c r="AU6" i="1"/>
  <c r="AN6" i="1"/>
  <c r="M6" i="1"/>
  <c r="AE6" i="1"/>
  <c r="BB6" i="1"/>
  <c r="AA6" i="1"/>
  <c r="BH6" i="1"/>
  <c r="Z6" i="1"/>
  <c r="AF6" i="1"/>
  <c r="BA6" i="1"/>
  <c r="AM6" i="1"/>
  <c r="BI6" i="1"/>
  <c r="AT6" i="1"/>
  <c r="BI5" i="1"/>
  <c r="AM5" i="1"/>
  <c r="K5" i="1"/>
  <c r="M5" i="1" s="1"/>
  <c r="AT5" i="1"/>
  <c r="BB5" i="1"/>
  <c r="BA5" i="1"/>
  <c r="AU5" i="1"/>
  <c r="Z5" i="1"/>
  <c r="AN5" i="1"/>
  <c r="AF5" i="1"/>
  <c r="AE5" i="1"/>
  <c r="AA5" i="1"/>
  <c r="BH5" i="1"/>
  <c r="AF7" i="1"/>
  <c r="BA7" i="1"/>
  <c r="AE7" i="1"/>
  <c r="AM7" i="1"/>
  <c r="BI7" i="1"/>
  <c r="AT7" i="1"/>
  <c r="Z7" i="1"/>
  <c r="BB7" i="1"/>
  <c r="M7" i="1"/>
  <c r="AU7" i="1"/>
  <c r="AN7" i="1"/>
  <c r="AA7" i="1"/>
  <c r="BH7" i="1"/>
  <c r="AA11" i="1"/>
  <c r="BH11" i="1"/>
  <c r="BA11" i="1"/>
  <c r="K11" i="1"/>
  <c r="M11" i="1" s="1"/>
  <c r="AM11" i="1"/>
  <c r="AN11" i="1"/>
  <c r="BI11" i="1"/>
  <c r="AT11" i="1"/>
  <c r="BB11" i="1"/>
  <c r="Z11" i="1"/>
  <c r="AU11" i="1"/>
  <c r="AF11" i="1"/>
  <c r="AE11" i="1"/>
  <c r="BI10" i="1"/>
  <c r="AT10" i="1"/>
  <c r="BB10" i="1"/>
  <c r="AN10" i="1"/>
  <c r="Z10" i="1"/>
  <c r="AU10" i="1"/>
  <c r="AF10" i="1"/>
  <c r="BH10" i="1"/>
  <c r="AE10" i="1"/>
  <c r="AA10" i="1"/>
  <c r="AM10" i="1"/>
  <c r="BA10" i="1"/>
  <c r="K10" i="1"/>
  <c r="M10" i="1" s="1"/>
  <c r="AA9" i="1"/>
  <c r="AF9" i="1"/>
  <c r="BH9" i="1"/>
  <c r="BA9" i="1"/>
  <c r="AN9" i="1"/>
  <c r="AT9" i="1"/>
  <c r="AE9" i="1"/>
  <c r="BI9" i="1"/>
  <c r="AM9" i="1"/>
  <c r="K9" i="1"/>
  <c r="M9" i="1" s="1"/>
  <c r="BB9" i="1"/>
  <c r="AU9" i="1"/>
  <c r="Z9" i="1"/>
  <c r="AF8" i="1"/>
  <c r="BA8" i="1"/>
  <c r="AM8" i="1"/>
  <c r="AE8" i="1"/>
  <c r="K8" i="1"/>
  <c r="M8" i="1" s="1"/>
  <c r="BI8" i="1"/>
  <c r="AT8" i="1"/>
  <c r="Z8" i="1"/>
  <c r="BH8" i="1"/>
  <c r="BB8" i="1"/>
  <c r="AN8" i="1"/>
  <c r="AU8" i="1"/>
  <c r="AA8" i="1"/>
  <c r="AW9" i="1" l="1"/>
  <c r="AW6" i="1"/>
  <c r="AW8" i="1"/>
  <c r="AI8" i="1"/>
  <c r="BD8" i="1"/>
  <c r="X11" i="1"/>
  <c r="AC12" i="1"/>
  <c r="AW12" i="1"/>
  <c r="X8" i="1"/>
  <c r="AI9" i="1"/>
  <c r="AC10" i="1"/>
  <c r="AC8" i="1"/>
  <c r="AP7" i="1"/>
  <c r="AW11" i="1"/>
  <c r="AC7" i="1"/>
  <c r="X12" i="1"/>
  <c r="BD6" i="1"/>
  <c r="AI12" i="1"/>
  <c r="X10" i="1"/>
  <c r="X7" i="1"/>
  <c r="X6" i="1"/>
  <c r="AP10" i="1"/>
  <c r="BD11" i="1"/>
  <c r="AW10" i="1"/>
  <c r="AC11" i="1"/>
  <c r="BD7" i="1"/>
  <c r="BD12" i="1"/>
  <c r="AC9" i="1"/>
  <c r="AP9" i="1"/>
  <c r="AP11" i="1"/>
  <c r="AC5" i="1"/>
  <c r="BD5" i="1"/>
  <c r="AI5" i="1"/>
  <c r="AP5" i="1"/>
  <c r="M14" i="1"/>
  <c r="AI10" i="1"/>
  <c r="X9" i="1"/>
  <c r="AI7" i="1"/>
  <c r="X5" i="1"/>
  <c r="AP6" i="1"/>
  <c r="AP8" i="1"/>
  <c r="BD9" i="1"/>
  <c r="BD10" i="1"/>
  <c r="AI11" i="1"/>
  <c r="AW7" i="1"/>
  <c r="AC6" i="1"/>
  <c r="AP12" i="1"/>
  <c r="AW5" i="1"/>
  <c r="AI6" i="1"/>
  <c r="Y14" i="1" l="1"/>
  <c r="AX14" i="1"/>
  <c r="BB14" i="1" s="1"/>
  <c r="AJ14" i="1"/>
  <c r="AQ14" i="1"/>
  <c r="BE14" i="1"/>
  <c r="BI14" i="1" s="1"/>
  <c r="AD14" i="1"/>
  <c r="AF14" i="1" s="1"/>
  <c r="AU14" i="1" l="1"/>
  <c r="AN14" i="1"/>
  <c r="AA14" i="1"/>
</calcChain>
</file>

<file path=xl/sharedStrings.xml><?xml version="1.0" encoding="utf-8"?>
<sst xmlns="http://schemas.openxmlformats.org/spreadsheetml/2006/main" count="152" uniqueCount="81">
  <si>
    <t>Input</t>
  </si>
  <si>
    <t>Hidden</t>
  </si>
  <si>
    <t>Output</t>
  </si>
  <si>
    <t>x1</t>
  </si>
  <si>
    <t>y</t>
  </si>
  <si>
    <t>Data</t>
  </si>
  <si>
    <t>x2</t>
  </si>
  <si>
    <t>Normalised Data</t>
  </si>
  <si>
    <t>w1</t>
  </si>
  <si>
    <t>w2</t>
  </si>
  <si>
    <t>w3</t>
  </si>
  <si>
    <t>b1</t>
  </si>
  <si>
    <t>b2</t>
  </si>
  <si>
    <t>b3</t>
  </si>
  <si>
    <t>a2</t>
  </si>
  <si>
    <t>z2</t>
  </si>
  <si>
    <t>z1</t>
  </si>
  <si>
    <t>a1</t>
  </si>
  <si>
    <t>Prediction</t>
  </si>
  <si>
    <t>dC/dw3</t>
  </si>
  <si>
    <t>da2/dz2</t>
  </si>
  <si>
    <t>Cost</t>
  </si>
  <si>
    <t>dC/db3</t>
  </si>
  <si>
    <t>dz2/db2</t>
  </si>
  <si>
    <t>C = \sum_{i=1}^{n} (a2_{i} - y_{i})^2</t>
  </si>
  <si>
    <t>.</t>
  </si>
  <si>
    <t xml:space="preserve">z2 = (a1 * w3) + b3 </t>
  </si>
  <si>
    <t>a2 = \sigma (z2)</t>
  </si>
  <si>
    <t xml:space="preserve">z1 = (x1 * w1) + b1 + (x2 * w2) + b2 </t>
  </si>
  <si>
    <t>\frac{da2}{dz2} = \sigma (z2). (1 - \sigma (z2))</t>
  </si>
  <si>
    <t>\frac{dC}{da2} = a(a2 - y)</t>
  </si>
  <si>
    <t>dz2/dw3</t>
  </si>
  <si>
    <t>\frac{dC}{dw3} = \frac{dz2}{dw3}.\frac{da2}{dz2}.\frac{dC}{da2}</t>
  </si>
  <si>
    <t>\frac{dz2}{dw3} = a1</t>
  </si>
  <si>
    <t>\frac{dC}{db3} = \frac{dz2}{db3}.\frac{da2}{dz2}.\frac{dC}{da2}</t>
  </si>
  <si>
    <t>\frac{dz2}{db3} = 1</t>
  </si>
  <si>
    <t>\frac{dC}{dw2} = \frac{dz1}{dw2}.\frac{da1}{dz1}.\frac{dz2}{da1}.\frac{da2}{dz2}.\frac{dC}{da2}</t>
  </si>
  <si>
    <t>\frac{dC}{db2} = \frac{dz1}{db2}.\frac{da1}{dz1}.\frac{dz2}{da1}.\frac{da2}{dz2}.\frac{dC}{da2}</t>
  </si>
  <si>
    <t>\frac{dC}{dw1} = \frac{dz1}{dw1}.\frac{da1}{dz1}.\frac{dz2}{da1}.\frac{da2}{dz2}.\frac{dC}{da2}</t>
  </si>
  <si>
    <t>\frac{dC}{db1} = \frac{dz1}{db1}.\frac{da1}{dz1}.\frac{dz2}{da1}.\frac{da2}{dz2}.\frac{dC}{da2}</t>
  </si>
  <si>
    <t>a1 = \sigma (z1)</t>
  </si>
  <si>
    <t>\sigma (z2) = \frac{1}{1 + e^{-z2}}</t>
  </si>
  <si>
    <t>\sigma (z1) = \frac{1}{1 + e^{-z1}}</t>
  </si>
  <si>
    <t>\frac{dz2}{da1} = w3</t>
  </si>
  <si>
    <t>\frac{da1}{dz1} = \sigma (z1). (1 - \sigma (z1))</t>
  </si>
  <si>
    <t>\frac{dz1}{dw2} = x2</t>
  </si>
  <si>
    <t>\frac{dz1}{db2} = 1</t>
  </si>
  <si>
    <t>\frac{dz1}{db1} = 1</t>
  </si>
  <si>
    <t>\frac{dz1}{dw1} = x1</t>
  </si>
  <si>
    <t>dz2/da1</t>
  </si>
  <si>
    <t>da1/dz1</t>
  </si>
  <si>
    <t>dz1/dw2</t>
  </si>
  <si>
    <t>dC/dw2</t>
  </si>
  <si>
    <t>dC/da2</t>
  </si>
  <si>
    <t>dz1/db2</t>
  </si>
  <si>
    <t>dC/db2</t>
  </si>
  <si>
    <t>dz1/dw1</t>
  </si>
  <si>
    <t>dC/dw1</t>
  </si>
  <si>
    <t>dz1/db1</t>
  </si>
  <si>
    <t>dC/db1</t>
  </si>
  <si>
    <t>Gradient:</t>
  </si>
  <si>
    <t>N.B./ Negative gradient means increase</t>
  </si>
  <si>
    <t>Learning Rate</t>
  </si>
  <si>
    <t>PREDICTION (a2)</t>
  </si>
  <si>
    <t>X1</t>
  </si>
  <si>
    <t>w3 iterations</t>
  </si>
  <si>
    <t>Weight</t>
  </si>
  <si>
    <t>Gradient</t>
  </si>
  <si>
    <t>b3 iterations</t>
  </si>
  <si>
    <t>w2 iterations</t>
  </si>
  <si>
    <t>b2 iterations</t>
  </si>
  <si>
    <t>w1 iterations</t>
  </si>
  <si>
    <t>b1 iterations</t>
  </si>
  <si>
    <t>Overall</t>
  </si>
  <si>
    <t>Bias</t>
  </si>
  <si>
    <t>Re-instantiate Model Weights</t>
  </si>
  <si>
    <t>Min Value</t>
  </si>
  <si>
    <t>Max Value</t>
  </si>
  <si>
    <t>Good Start</t>
  </si>
  <si>
    <t>Bad Start</t>
  </si>
  <si>
    <t>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</si>
</sst>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1"/>
      </right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0" fontId="1" fillId="0" borderId="0" xfId="0" applyFont="1"/>
    <xf numFmtId="0" fontId="0" fillId="0" borderId="4" xfId="0" applyBorder="1"/>
    <xf numFmtId="0" fontId="0" fillId="0" borderId="0" xfId="0" applyBorder="1"/>
    <xf numFmtId="0" fontId="0" fillId="0" borderId="5" xfId="0" applyBorder="1"/>
    <xf numFmtId="2" fontId="0" fillId="0" borderId="4" xfId="0" applyNumberFormat="1" applyBorder="1"/>
    <xf numFmtId="2" fontId="0" fillId="0" borderId="0" xfId="0" applyNumberFormat="1" applyBorder="1"/>
    <xf numFmtId="2" fontId="0" fillId="0" borderId="5" xfId="0" applyNumberFormat="1" applyBorder="1"/>
    <xf numFmtId="2" fontId="1" fillId="0" borderId="6" xfId="0" applyNumberFormat="1" applyFont="1" applyBorder="1"/>
    <xf numFmtId="0" fontId="0" fillId="0" borderId="7" xfId="0" applyBorder="1"/>
    <xf numFmtId="2" fontId="1" fillId="0" borderId="7" xfId="0" applyNumberFormat="1" applyFont="1" applyBorder="1" applyAlignment="1">
      <alignment horizontal="center"/>
    </xf>
    <xf numFmtId="0" fontId="1" fillId="0" borderId="7" xfId="0" applyFont="1" applyBorder="1"/>
    <xf numFmtId="2" fontId="1" fillId="0" borderId="7" xfId="0" applyNumberFormat="1" applyFont="1" applyBorder="1"/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 vertical="center"/>
    </xf>
    <xf numFmtId="0" fontId="0" fillId="0" borderId="9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165" fontId="4" fillId="0" borderId="17" xfId="0" applyNumberFormat="1" applyFont="1" applyBorder="1"/>
    <xf numFmtId="165" fontId="4" fillId="0" borderId="14" xfId="0" applyNumberFormat="1" applyFont="1" applyBorder="1"/>
    <xf numFmtId="165" fontId="4" fillId="0" borderId="15" xfId="0" applyNumberFormat="1" applyFont="1" applyBorder="1"/>
    <xf numFmtId="165" fontId="4" fillId="0" borderId="18" xfId="0" applyNumberFormat="1" applyFont="1" applyBorder="1"/>
    <xf numFmtId="165" fontId="4" fillId="0" borderId="0" xfId="0" applyNumberFormat="1" applyFont="1" applyBorder="1"/>
    <xf numFmtId="165" fontId="4" fillId="0" borderId="9" xfId="0" applyNumberFormat="1" applyFont="1" applyBorder="1"/>
    <xf numFmtId="165" fontId="4" fillId="0" borderId="19" xfId="0" applyNumberFormat="1" applyFont="1" applyBorder="1"/>
    <xf numFmtId="165" fontId="4" fillId="0" borderId="12" xfId="0" applyNumberFormat="1" applyFont="1" applyBorder="1"/>
    <xf numFmtId="165" fontId="4" fillId="0" borderId="13" xfId="0" applyNumberFormat="1" applyFont="1" applyBorder="1"/>
    <xf numFmtId="2" fontId="4" fillId="0" borderId="0" xfId="0" applyNumberFormat="1" applyFont="1" applyBorder="1"/>
    <xf numFmtId="2" fontId="4" fillId="0" borderId="14" xfId="0" applyNumberFormat="1" applyFont="1" applyBorder="1"/>
    <xf numFmtId="2" fontId="4" fillId="0" borderId="17" xfId="0" applyNumberFormat="1" applyFont="1" applyBorder="1"/>
    <xf numFmtId="2" fontId="4" fillId="0" borderId="15" xfId="0" applyNumberFormat="1" applyFont="1" applyBorder="1"/>
    <xf numFmtId="2" fontId="4" fillId="0" borderId="18" xfId="0" applyNumberFormat="1" applyFont="1" applyBorder="1"/>
    <xf numFmtId="2" fontId="4" fillId="0" borderId="9" xfId="0" applyNumberFormat="1" applyFont="1" applyBorder="1"/>
    <xf numFmtId="2" fontId="4" fillId="0" borderId="19" xfId="0" applyNumberFormat="1" applyFont="1" applyBorder="1"/>
    <xf numFmtId="2" fontId="4" fillId="0" borderId="12" xfId="0" applyNumberFormat="1" applyFont="1" applyBorder="1"/>
    <xf numFmtId="2" fontId="4" fillId="0" borderId="13" xfId="0" applyNumberFormat="1" applyFont="1" applyBorder="1"/>
    <xf numFmtId="2" fontId="1" fillId="0" borderId="3" xfId="0" applyNumberFormat="1" applyFont="1" applyBorder="1"/>
    <xf numFmtId="2" fontId="1" fillId="0" borderId="8" xfId="0" applyNumberFormat="1" applyFont="1" applyBorder="1"/>
    <xf numFmtId="2" fontId="1" fillId="0" borderId="5" xfId="0" applyNumberFormat="1" applyFont="1" applyBorder="1"/>
    <xf numFmtId="0" fontId="0" fillId="0" borderId="0" xfId="0" applyAlignment="1"/>
    <xf numFmtId="0" fontId="1" fillId="0" borderId="4" xfId="0" applyFont="1" applyBorder="1"/>
    <xf numFmtId="0" fontId="0" fillId="0" borderId="6" xfId="0" applyBorder="1"/>
    <xf numFmtId="2" fontId="0" fillId="0" borderId="8" xfId="0" applyNumberFormat="1" applyBorder="1"/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3" xfId="0" applyFont="1" applyBorder="1" applyAlignment="1"/>
    <xf numFmtId="0" fontId="0" fillId="0" borderId="4" xfId="0" applyFont="1" applyBorder="1"/>
    <xf numFmtId="0" fontId="0" fillId="0" borderId="6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25"/>
      <c:rotY val="3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1686639660913157E-2"/>
          <c:y val="9.6625275438948457E-2"/>
          <c:w val="0.85228397592545235"/>
          <c:h val="0.78334631809254918"/>
        </c:manualLayout>
      </c:layout>
      <c:surface3DChart>
        <c:wireframe val="0"/>
        <c:ser>
          <c:idx val="0"/>
          <c:order val="0"/>
          <c:spPr>
            <a:solidFill>
              <a:schemeClr val="accent4">
                <a:tint val="37000"/>
              </a:schemeClr>
            </a:solidFill>
            <a:ln/>
            <a:effectLst/>
            <a:sp3d prstMaterial="flat"/>
          </c:spPr>
          <c:val>
            <c:numRef>
              <c:f>'Main Page'!$D$109:$X$109</c:f>
              <c:numCache>
                <c:formatCode>0.00</c:formatCode>
                <c:ptCount val="21"/>
                <c:pt idx="0">
                  <c:v>0.10217778882520712</c:v>
                </c:pt>
                <c:pt idx="1">
                  <c:v>0.10314276865510509</c:v>
                </c:pt>
                <c:pt idx="2">
                  <c:v>0.10432058212348129</c:v>
                </c:pt>
                <c:pt idx="3">
                  <c:v>0.10575955324290309</c:v>
                </c:pt>
                <c:pt idx="4">
                  <c:v>0.1075195808619086</c:v>
                </c:pt>
                <c:pt idx="5">
                  <c:v>0.10967515229880002</c:v>
                </c:pt>
                <c:pt idx="6">
                  <c:v>0.11231922011116302</c:v>
                </c:pt>
                <c:pt idx="7">
                  <c:v>0.11556820015623906</c:v>
                </c:pt>
                <c:pt idx="8">
                  <c:v>0.11956841345965638</c:v>
                </c:pt>
                <c:pt idx="9">
                  <c:v>0.12450435477095299</c:v>
                </c:pt>
                <c:pt idx="10">
                  <c:v>0.13060919926373382</c:v>
                </c:pt>
                <c:pt idx="11">
                  <c:v>0.1381778950308786</c:v>
                </c:pt>
                <c:pt idx="12">
                  <c:v>0.14758291168666501</c:v>
                </c:pt>
                <c:pt idx="13">
                  <c:v>0.15929200050082679</c:v>
                </c:pt>
                <c:pt idx="14">
                  <c:v>0.17388579142047411</c:v>
                </c:pt>
                <c:pt idx="15">
                  <c:v>0.19207015486200665</c:v>
                </c:pt>
                <c:pt idx="16">
                  <c:v>0.21467339259398757</c:v>
                </c:pt>
                <c:pt idx="17">
                  <c:v>0.24261139671835208</c:v>
                </c:pt>
                <c:pt idx="18">
                  <c:v>0.27679673054885173</c:v>
                </c:pt>
                <c:pt idx="19">
                  <c:v>0.31796622632921623</c:v>
                </c:pt>
                <c:pt idx="20">
                  <c:v>0.36641828788595543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59-44E6-8147-7424CDB1CF7D}"/>
            </c:ext>
          </c:extLst>
        </c:ser>
        <c:ser>
          <c:idx val="1"/>
          <c:order val="1"/>
          <c:spPr>
            <a:solidFill>
              <a:schemeClr val="accent4">
                <a:tint val="43000"/>
              </a:schemeClr>
            </a:solidFill>
            <a:ln/>
            <a:effectLst/>
            <a:sp3d prstMaterial="flat"/>
          </c:spPr>
          <c:val>
            <c:numRef>
              <c:f>'Main Page'!$D$110:$X$110</c:f>
              <c:numCache>
                <c:formatCode>0.00</c:formatCode>
                <c:ptCount val="21"/>
                <c:pt idx="0">
                  <c:v>0.10315216157151424</c:v>
                </c:pt>
                <c:pt idx="1">
                  <c:v>0.10433205178637213</c:v>
                </c:pt>
                <c:pt idx="2">
                  <c:v>0.10577357340071956</c:v>
                </c:pt>
                <c:pt idx="3">
                  <c:v>0.10753673963701997</c:v>
                </c:pt>
                <c:pt idx="4">
                  <c:v>0.10969618226855329</c:v>
                </c:pt>
                <c:pt idx="5">
                  <c:v>0.11234503705787074</c:v>
                </c:pt>
                <c:pt idx="6">
                  <c:v>0.11559995304347477</c:v>
                </c:pt>
                <c:pt idx="7">
                  <c:v>0.11960754876722701</c:v>
                </c:pt>
                <c:pt idx="8">
                  <c:v>0.12455269877073186</c:v>
                </c:pt>
                <c:pt idx="9">
                  <c:v>0.13066906178314736</c:v>
                </c:pt>
                <c:pt idx="10">
                  <c:v>0.13825219697765712</c:v>
                </c:pt>
                <c:pt idx="11">
                  <c:v>0.14767533464443178</c:v>
                </c:pt>
                <c:pt idx="12">
                  <c:v>0.15940714746300436</c:v>
                </c:pt>
                <c:pt idx="13">
                  <c:v>0.17402932907668914</c:v>
                </c:pt>
                <c:pt idx="14">
                  <c:v>0.19224887431918986</c:v>
                </c:pt>
                <c:pt idx="15">
                  <c:v>0.21489507266487182</c:v>
                </c:pt>
                <c:pt idx="16">
                  <c:v>0.24288428667989029</c:v>
                </c:pt>
                <c:pt idx="17">
                  <c:v>0.27712841852743136</c:v>
                </c:pt>
                <c:pt idx="18">
                  <c:v>0.31836170541633552</c:v>
                </c:pt>
                <c:pt idx="19">
                  <c:v>0.36687730351563924</c:v>
                </c:pt>
                <c:pt idx="20">
                  <c:v>0.42221356646344282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59-44E6-8147-7424CDB1CF7D}"/>
            </c:ext>
          </c:extLst>
        </c:ser>
        <c:ser>
          <c:idx val="2"/>
          <c:order val="2"/>
          <c:spPr>
            <a:solidFill>
              <a:schemeClr val="accent4">
                <a:tint val="50000"/>
              </a:schemeClr>
            </a:solidFill>
            <a:ln/>
            <a:effectLst/>
            <a:sp3d prstMaterial="flat"/>
          </c:spPr>
          <c:val>
            <c:numRef>
              <c:f>'Main Page'!$D$111:$X$111</c:f>
              <c:numCache>
                <c:formatCode>0.00</c:formatCode>
                <c:ptCount val="21"/>
                <c:pt idx="0">
                  <c:v>0.10434354172151471</c:v>
                </c:pt>
                <c:pt idx="1">
                  <c:v>0.10578761847856362</c:v>
                </c:pt>
                <c:pt idx="2">
                  <c:v>0.10755392911125027</c:v>
                </c:pt>
                <c:pt idx="3">
                  <c:v>0.10971725014832993</c:v>
                </c:pt>
                <c:pt idx="4">
                  <c:v>0.11237090094479206</c:v>
                </c:pt>
                <c:pt idx="5">
                  <c:v>0.11563176421998796</c:v>
                </c:pt>
                <c:pt idx="6">
                  <c:v>0.11964675667370726</c:v>
                </c:pt>
                <c:pt idx="7">
                  <c:v>0.12460113345597258</c:v>
                </c:pt>
                <c:pt idx="8">
                  <c:v>0.13072903787074636</c:v>
                </c:pt>
                <c:pt idx="9">
                  <c:v>0.13832664140154366</c:v>
                </c:pt>
                <c:pt idx="10">
                  <c:v>0.1477679364095269</c:v>
                </c:pt>
                <c:pt idx="11">
                  <c:v>0.15952251838243242</c:v>
                </c:pt>
                <c:pt idx="12">
                  <c:v>0.17417314567751671</c:v>
                </c:pt>
                <c:pt idx="13">
                  <c:v>0.19242793742087871</c:v>
                </c:pt>
                <c:pt idx="14">
                  <c:v>0.21511716821382368</c:v>
                </c:pt>
                <c:pt idx="15">
                  <c:v>0.24315766414761211</c:v>
                </c:pt>
                <c:pt idx="16">
                  <c:v>0.27746065284959998</c:v>
                </c:pt>
                <c:pt idx="17">
                  <c:v>0.31875775578022703</c:v>
                </c:pt>
                <c:pt idx="18">
                  <c:v>0.36733685629142199</c:v>
                </c:pt>
                <c:pt idx="19">
                  <c:v>0.42272833155112483</c:v>
                </c:pt>
                <c:pt idx="20">
                  <c:v>0.48345829173205496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59-44E6-8147-7424CDB1CF7D}"/>
            </c:ext>
          </c:extLst>
        </c:ser>
        <c:ser>
          <c:idx val="3"/>
          <c:order val="3"/>
          <c:spPr>
            <a:solidFill>
              <a:schemeClr val="accent4">
                <a:tint val="56000"/>
              </a:schemeClr>
            </a:solidFill>
            <a:ln/>
            <a:effectLst/>
            <a:sp3d prstMaterial="flat"/>
          </c:spPr>
          <c:val>
            <c:numRef>
              <c:f>'Main Page'!$D$112:$X$112</c:f>
              <c:numCache>
                <c:formatCode>0.00</c:formatCode>
                <c:ptCount val="21"/>
                <c:pt idx="0">
                  <c:v>0.10580168852206741</c:v>
                </c:pt>
                <c:pt idx="1">
                  <c:v>0.10757114934143321</c:v>
                </c:pt>
                <c:pt idx="2">
                  <c:v>0.10973835600916915</c:v>
                </c:pt>
                <c:pt idx="3">
                  <c:v>0.11239681186104657</c:v>
                </c:pt>
                <c:pt idx="4">
                  <c:v>0.11566363379796908</c:v>
                </c:pt>
                <c:pt idx="5">
                  <c:v>0.11968603732074699</c:v>
                </c:pt>
                <c:pt idx="6">
                  <c:v>0.12464965900585287</c:v>
                </c:pt>
                <c:pt idx="7">
                  <c:v>0.13078912775317722</c:v>
                </c:pt>
                <c:pt idx="8">
                  <c:v>0.13840122858836373</c:v>
                </c:pt>
                <c:pt idx="9">
                  <c:v>0.14786071733963554</c:v>
                </c:pt>
                <c:pt idx="10">
                  <c:v>0.15963811370008546</c:v>
                </c:pt>
                <c:pt idx="11">
                  <c:v>0.17431724175259272</c:v>
                </c:pt>
                <c:pt idx="12">
                  <c:v>0.19260734477574565</c:v>
                </c:pt>
                <c:pt idx="13">
                  <c:v>0.21533967988957897</c:v>
                </c:pt>
                <c:pt idx="14">
                  <c:v>0.2434315297232196</c:v>
                </c:pt>
                <c:pt idx="15">
                  <c:v>0.27779343391879707</c:v>
                </c:pt>
                <c:pt idx="16">
                  <c:v>0.31915437741526392</c:v>
                </c:pt>
                <c:pt idx="17">
                  <c:v>0.3677969455791073</c:v>
                </c:pt>
                <c:pt idx="18">
                  <c:v>0.42324351870957361</c:v>
                </c:pt>
                <c:pt idx="19">
                  <c:v>0.4840108370097852</c:v>
                </c:pt>
                <c:pt idx="20">
                  <c:v>0.54760446191589596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59-44E6-8147-7424CDB1CF7D}"/>
            </c:ext>
          </c:extLst>
        </c:ser>
        <c:ser>
          <c:idx val="4"/>
          <c:order val="4"/>
          <c:spPr>
            <a:solidFill>
              <a:schemeClr val="accent4">
                <a:tint val="62000"/>
              </a:schemeClr>
            </a:solidFill>
            <a:ln/>
            <a:effectLst/>
            <a:sp3d prstMaterial="flat"/>
          </c:spPr>
          <c:val>
            <c:numRef>
              <c:f>'Main Page'!$D$113:$X$113</c:f>
              <c:numCache>
                <c:formatCode>0.00</c:formatCode>
                <c:ptCount val="21"/>
                <c:pt idx="0">
                  <c:v>0.10758840038451362</c:v>
                </c:pt>
                <c:pt idx="1">
                  <c:v>0.10975949992225113</c:v>
                </c:pt>
                <c:pt idx="2">
                  <c:v>0.11242276989593368</c:v>
                </c:pt>
                <c:pt idx="3">
                  <c:v>0.11569556188983847</c:v>
                </c:pt>
                <c:pt idx="4">
                  <c:v>0.11972539085028903</c:v>
                </c:pt>
                <c:pt idx="5">
                  <c:v>0.12469827559992272</c:v>
                </c:pt>
                <c:pt idx="6">
                  <c:v>0.13084933165755455</c:v>
                </c:pt>
                <c:pt idx="7">
                  <c:v>0.13847595882452055</c:v>
                </c:pt>
                <c:pt idx="8">
                  <c:v>0.14795367779313168</c:v>
                </c:pt>
                <c:pt idx="9">
                  <c:v>0.15975393385771039</c:v>
                </c:pt>
                <c:pt idx="10">
                  <c:v>0.17446161783232281</c:v>
                </c:pt>
                <c:pt idx="11">
                  <c:v>0.19278709699304264</c:v>
                </c:pt>
                <c:pt idx="12">
                  <c:v>0.21556260834092503</c:v>
                </c:pt>
                <c:pt idx="13">
                  <c:v>0.2437058840074271</c:v>
                </c:pt>
                <c:pt idx="14">
                  <c:v>0.27812676213584359</c:v>
                </c:pt>
                <c:pt idx="15">
                  <c:v>0.31955157031118309</c:v>
                </c:pt>
                <c:pt idx="16">
                  <c:v>0.36825757073817683</c:v>
                </c:pt>
                <c:pt idx="17">
                  <c:v>0.42375912655029568</c:v>
                </c:pt>
                <c:pt idx="18">
                  <c:v>0.48456360663239323</c:v>
                </c:pt>
                <c:pt idx="19">
                  <c:v>0.54816868127715923</c:v>
                </c:pt>
                <c:pt idx="20">
                  <c:v>0.61141956658254015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59-44E6-8147-7424CDB1CF7D}"/>
            </c:ext>
          </c:extLst>
        </c:ser>
        <c:ser>
          <c:idx val="5"/>
          <c:order val="5"/>
          <c:spPr>
            <a:solidFill>
              <a:schemeClr val="accent4">
                <a:tint val="69000"/>
              </a:schemeClr>
            </a:solidFill>
            <a:ln/>
            <a:effectLst/>
            <a:sp3d prstMaterial="flat"/>
          </c:spPr>
          <c:val>
            <c:numRef>
              <c:f>'Main Page'!$D$114:$X$114</c:f>
              <c:numCache>
                <c:formatCode>0.00</c:formatCode>
                <c:ptCount val="21"/>
                <c:pt idx="0">
                  <c:v>0.10978068195889759</c:v>
                </c:pt>
                <c:pt idx="1">
                  <c:v>0.11244877513893288</c:v>
                </c:pt>
                <c:pt idx="2">
                  <c:v>0.11572754860824641</c:v>
                </c:pt>
                <c:pt idx="3">
                  <c:v>0.11976481740456991</c:v>
                </c:pt>
                <c:pt idx="4">
                  <c:v>0.12474698341810533</c:v>
                </c:pt>
                <c:pt idx="5">
                  <c:v>0.13090964981146253</c:v>
                </c:pt>
                <c:pt idx="6">
                  <c:v>0.13855083239699642</c:v>
                </c:pt>
                <c:pt idx="7">
                  <c:v>0.14804681812907924</c:v>
                </c:pt>
                <c:pt idx="8">
                  <c:v>0.15986997929782704</c:v>
                </c:pt>
                <c:pt idx="9">
                  <c:v>0.17460627444788224</c:v>
                </c:pt>
                <c:pt idx="10">
                  <c:v>0.1929671946825984</c:v>
                </c:pt>
                <c:pt idx="11">
                  <c:v>0.21578595421669311</c:v>
                </c:pt>
                <c:pt idx="12">
                  <c:v>0.24398072759995063</c:v>
                </c:pt>
                <c:pt idx="13">
                  <c:v>0.27846063789892428</c:v>
                </c:pt>
                <c:pt idx="14">
                  <c:v>0.31994933445306872</c:v>
                </c:pt>
                <c:pt idx="15">
                  <c:v>0.36871873112178111</c:v>
                </c:pt>
                <c:pt idx="16">
                  <c:v>0.42427515367828167</c:v>
                </c:pt>
                <c:pt idx="17">
                  <c:v>0.48511659856833184</c:v>
                </c:pt>
                <c:pt idx="18">
                  <c:v>0.54873287314349217</c:v>
                </c:pt>
                <c:pt idx="19">
                  <c:v>0.61196605161407003</c:v>
                </c:pt>
                <c:pt idx="20">
                  <c:v>0.67166050578033609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59-44E6-8147-7424CDB1CF7D}"/>
            </c:ext>
          </c:extLst>
        </c:ser>
        <c:ser>
          <c:idx val="6"/>
          <c:order val="6"/>
          <c:spPr>
            <a:solidFill>
              <a:schemeClr val="accent4">
                <a:tint val="75000"/>
              </a:schemeClr>
            </a:solidFill>
            <a:ln/>
            <a:effectLst/>
            <a:sp3d prstMaterial="flat"/>
          </c:spPr>
          <c:val>
            <c:numRef>
              <c:f>'Main Page'!$D$115:$X$115</c:f>
              <c:numCache>
                <c:formatCode>0.00</c:formatCode>
                <c:ptCount val="21"/>
                <c:pt idx="0">
                  <c:v>0.11247482767970424</c:v>
                </c:pt>
                <c:pt idx="1">
                  <c:v>0.11575959406607386</c:v>
                </c:pt>
                <c:pt idx="2">
                  <c:v>0.11980431712612048</c:v>
                </c:pt>
                <c:pt idx="3">
                  <c:v>0.12479578264069781</c:v>
                </c:pt>
                <c:pt idx="4">
                  <c:v>0.13097008244295535</c:v>
                </c:pt>
                <c:pt idx="5">
                  <c:v>0.13862584959335356</c:v>
                </c:pt>
                <c:pt idx="6">
                  <c:v>0.14814013870723292</c:v>
                </c:pt>
                <c:pt idx="7">
                  <c:v>0.15998625046372858</c:v>
                </c:pt>
                <c:pt idx="8">
                  <c:v>0.17475121213121489</c:v>
                </c:pt>
                <c:pt idx="9">
                  <c:v>0.19314763845481608</c:v>
                </c:pt>
                <c:pt idx="10">
                  <c:v>0.21600971816575235</c:v>
                </c:pt>
                <c:pt idx="11">
                  <c:v>0.24425606109949544</c:v>
                </c:pt>
                <c:pt idx="12">
                  <c:v>0.27879506160357265</c:v>
                </c:pt>
                <c:pt idx="13">
                  <c:v>0.3203476698213325</c:v>
                </c:pt>
                <c:pt idx="14">
                  <c:v>0.36918042607672996</c:v>
                </c:pt>
                <c:pt idx="15">
                  <c:v>0.42479159869201527</c:v>
                </c:pt>
                <c:pt idx="16">
                  <c:v>0.48566981078177013</c:v>
                </c:pt>
                <c:pt idx="17">
                  <c:v>0.54929703522318651</c:v>
                </c:pt>
                <c:pt idx="18">
                  <c:v>0.61251225682003996</c:v>
                </c:pt>
                <c:pt idx="19">
                  <c:v>0.67216306385160274</c:v>
                </c:pt>
                <c:pt idx="20">
                  <c:v>0.7257740789332281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59-44E6-8147-7424CDB1CF7D}"/>
            </c:ext>
          </c:extLst>
        </c:ser>
        <c:ser>
          <c:idx val="7"/>
          <c:order val="7"/>
          <c:spPr>
            <a:solidFill>
              <a:schemeClr val="accent4">
                <a:tint val="81000"/>
              </a:schemeClr>
            </a:solidFill>
            <a:ln/>
            <a:effectLst/>
            <a:sp3d prstMaterial="flat"/>
          </c:spPr>
          <c:val>
            <c:numRef>
              <c:f>'Main Page'!$D$116:$X$116</c:f>
              <c:numCache>
                <c:formatCode>0.00</c:formatCode>
                <c:ptCount val="21"/>
                <c:pt idx="0">
                  <c:v>0.11579169837643273</c:v>
                </c:pt>
                <c:pt idx="1">
                  <c:v>0.11984389015776648</c:v>
                </c:pt>
                <c:pt idx="2">
                  <c:v>0.12484467344837182</c:v>
                </c:pt>
                <c:pt idx="3">
                  <c:v>0.13103062978055843</c:v>
                </c:pt>
                <c:pt idx="4">
                  <c:v>0.13870101070173507</c:v>
                </c:pt>
                <c:pt idx="5">
                  <c:v>0.14823363988803909</c:v>
                </c:pt>
                <c:pt idx="6">
                  <c:v>0.16010274779948194</c:v>
                </c:pt>
                <c:pt idx="7">
                  <c:v>0.17489643141503242</c:v>
                </c:pt>
                <c:pt idx="8">
                  <c:v>0.1933284289206694</c:v>
                </c:pt>
                <c:pt idx="9">
                  <c:v>0.21623390083700289</c:v>
                </c:pt>
                <c:pt idx="10">
                  <c:v>0.24453188510374402</c:v>
                </c:pt>
                <c:pt idx="11">
                  <c:v>0.27913003364265226</c:v>
                </c:pt>
                <c:pt idx="12">
                  <c:v>0.32074657639169762</c:v>
                </c:pt>
                <c:pt idx="13">
                  <c:v>0.36964265494348159</c:v>
                </c:pt>
                <c:pt idx="14">
                  <c:v>0.42530846018348206</c:v>
                </c:pt>
                <c:pt idx="15">
                  <c:v>0.48622324123262406</c:v>
                </c:pt>
                <c:pt idx="16">
                  <c:v>0.54986116522452144</c:v>
                </c:pt>
                <c:pt idx="17">
                  <c:v>0.61305818016803271</c:v>
                </c:pt>
                <c:pt idx="18">
                  <c:v>0.67266514491302654</c:v>
                </c:pt>
                <c:pt idx="19">
                  <c:v>0.72621495863537289</c:v>
                </c:pt>
                <c:pt idx="20">
                  <c:v>0.77231216971663397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F59-44E6-8147-7424CDB1CF7D}"/>
            </c:ext>
          </c:extLst>
        </c:ser>
        <c:ser>
          <c:idx val="8"/>
          <c:order val="8"/>
          <c:spPr>
            <a:solidFill>
              <a:schemeClr val="accent4">
                <a:tint val="88000"/>
              </a:schemeClr>
            </a:solidFill>
            <a:ln/>
            <a:effectLst/>
            <a:sp3d prstMaterial="flat"/>
          </c:spPr>
          <c:val>
            <c:numRef>
              <c:f>'Main Page'!$D$117:$X$117</c:f>
              <c:numCache>
                <c:formatCode>0.00</c:formatCode>
                <c:ptCount val="21"/>
                <c:pt idx="0">
                  <c:v>0.11988353664262912</c:v>
                </c:pt>
                <c:pt idx="1">
                  <c:v>0.12489365602217467</c:v>
                </c:pt>
                <c:pt idx="2">
                  <c:v>0.13109129205326939</c:v>
                </c:pt>
                <c:pt idx="3">
                  <c:v>0.13877631601086607</c:v>
                </c:pt>
                <c:pt idx="4">
                  <c:v>0.14832732203263682</c:v>
                </c:pt>
                <c:pt idx="5">
                  <c:v>0.16021947174992848</c:v>
                </c:pt>
                <c:pt idx="6">
                  <c:v>0.17504193283281388</c:v>
                </c:pt>
                <c:pt idx="7">
                  <c:v>0.19350956669170036</c:v>
                </c:pt>
                <c:pt idx="8">
                  <c:v>0.21645850287936888</c:v>
                </c:pt>
                <c:pt idx="9">
                  <c:v>0.24480820020934527</c:v>
                </c:pt>
                <c:pt idx="10">
                  <c:v>0.27946555440634124</c:v>
                </c:pt>
                <c:pt idx="11">
                  <c:v>0.32114605413518027</c:v>
                </c:pt>
                <c:pt idx="12">
                  <c:v>0.37010541705613437</c:v>
                </c:pt>
                <c:pt idx="13">
                  <c:v>0.42582573673817742</c:v>
                </c:pt>
                <c:pt idx="14">
                  <c:v>0.48677688787658885</c:v>
                </c:pt>
                <c:pt idx="15">
                  <c:v>0.55042526085580656</c:v>
                </c:pt>
                <c:pt idx="16">
                  <c:v>0.61360381963004196</c:v>
                </c:pt>
                <c:pt idx="17">
                  <c:v>0.67316674760360851</c:v>
                </c:pt>
                <c:pt idx="18">
                  <c:v>0.72665525152769594</c:v>
                </c:pt>
                <c:pt idx="19">
                  <c:v>0.77268388764348039</c:v>
                </c:pt>
                <c:pt idx="20">
                  <c:v>0.81094246654826407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59-44E6-8147-7424CDB1CF7D}"/>
            </c:ext>
          </c:extLst>
        </c:ser>
        <c:ser>
          <c:idx val="9"/>
          <c:order val="9"/>
          <c:spPr>
            <a:solidFill>
              <a:schemeClr val="accent4">
                <a:tint val="94000"/>
              </a:schemeClr>
            </a:solidFill>
            <a:ln/>
            <a:effectLst/>
            <a:sp3d prstMaterial="flat"/>
          </c:spPr>
          <c:val>
            <c:numRef>
              <c:f>'Main Page'!$D$118:$X$118</c:f>
              <c:numCache>
                <c:formatCode>0.00</c:formatCode>
                <c:ptCount val="21"/>
                <c:pt idx="0">
                  <c:v>0.12494273054352985</c:v>
                </c:pt>
                <c:pt idx="1">
                  <c:v>0.13115206949055866</c:v>
                </c:pt>
                <c:pt idx="2">
                  <c:v>0.13885176581005457</c:v>
                </c:pt>
                <c:pt idx="3">
                  <c:v>0.14842118550285871</c:v>
                </c:pt>
                <c:pt idx="4">
                  <c:v>0.16033642276068419</c:v>
                </c:pt>
                <c:pt idx="5">
                  <c:v>0.17518771691880483</c:v>
                </c:pt>
                <c:pt idx="6">
                  <c:v>0.19369105238001535</c:v>
                </c:pt>
                <c:pt idx="7">
                  <c:v>0.21668352494179152</c:v>
                </c:pt>
                <c:pt idx="8">
                  <c:v>0.24508500701190078</c:v>
                </c:pt>
                <c:pt idx="9">
                  <c:v>0.27980162428211491</c:v>
                </c:pt>
                <c:pt idx="10">
                  <c:v>0.32154610301807135</c:v>
                </c:pt>
                <c:pt idx="11">
                  <c:v>0.37056871174241562</c:v>
                </c:pt>
                <c:pt idx="12">
                  <c:v>0.42634342693511623</c:v>
                </c:pt>
                <c:pt idx="13">
                  <c:v>0.48733074866516635</c:v>
                </c:pt>
                <c:pt idx="14">
                  <c:v>0.5509893198254231</c:v>
                </c:pt>
                <c:pt idx="15">
                  <c:v>0.61414917318250684</c:v>
                </c:pt>
                <c:pt idx="16">
                  <c:v>0.67366787056926181</c:v>
                </c:pt>
                <c:pt idx="17">
                  <c:v>0.72709495705621241</c:v>
                </c:pt>
                <c:pt idx="18">
                  <c:v>0.77305499603988026</c:v>
                </c:pt>
                <c:pt idx="19">
                  <c:v>0.81124632790333906</c:v>
                </c:pt>
                <c:pt idx="20">
                  <c:v>0.84216630619817157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59-44E6-8147-7424CDB1CF7D}"/>
            </c:ext>
          </c:extLst>
        </c:ser>
        <c:ser>
          <c:idx val="10"/>
          <c:order val="10"/>
          <c:spPr>
            <a:solidFill>
              <a:schemeClr val="accent4"/>
            </a:solidFill>
            <a:ln/>
            <a:effectLst/>
            <a:sp3d prstMaterial="flat"/>
          </c:spPr>
          <c:val>
            <c:numRef>
              <c:f>'Main Page'!$D$119:$X$119</c:f>
              <c:numCache>
                <c:formatCode>0.00</c:formatCode>
                <c:ptCount val="21"/>
                <c:pt idx="0">
                  <c:v>0.13121296232237073</c:v>
                </c:pt>
                <c:pt idx="1">
                  <c:v>0.13892736038919262</c:v>
                </c:pt>
                <c:pt idx="2">
                  <c:v>0.14851523066123168</c:v>
                </c:pt>
                <c:pt idx="3">
                  <c:v>0.16045360127814018</c:v>
                </c:pt>
                <c:pt idx="4">
                  <c:v>0.17533378420801662</c:v>
                </c:pt>
                <c:pt idx="5">
                  <c:v>0.19387288659828342</c:v>
                </c:pt>
                <c:pt idx="6">
                  <c:v>0.21690896767322243</c:v>
                </c:pt>
                <c:pt idx="7">
                  <c:v>0.24536230610595408</c:v>
                </c:pt>
                <c:pt idx="8">
                  <c:v>0.28013824365472911</c:v>
                </c:pt>
                <c:pt idx="9">
                  <c:v>0.32194672300192068</c:v>
                </c:pt>
                <c:pt idx="10">
                  <c:v>0.37103253832367278</c:v>
                </c:pt>
                <c:pt idx="11">
                  <c:v>0.42686152934684174</c:v>
                </c:pt>
                <c:pt idx="12">
                  <c:v>0.48788482154569984</c:v>
                </c:pt>
                <c:pt idx="13">
                  <c:v>0.55155333984186472</c:v>
                </c:pt>
                <c:pt idx="14">
                  <c:v>0.61469423880634422</c:v>
                </c:pt>
                <c:pt idx="15">
                  <c:v>0.6741685124628235</c:v>
                </c:pt>
                <c:pt idx="16">
                  <c:v>0.72753407467373055</c:v>
                </c:pt>
                <c:pt idx="17">
                  <c:v>0.77342549503209779</c:v>
                </c:pt>
                <c:pt idx="18">
                  <c:v>0.81154962097076933</c:v>
                </c:pt>
                <c:pt idx="19">
                  <c:v>0.84240925509707643</c:v>
                </c:pt>
                <c:pt idx="20">
                  <c:v>0.8669463733468693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F59-44E6-8147-7424CDB1CF7D}"/>
            </c:ext>
          </c:extLst>
        </c:ser>
        <c:ser>
          <c:idx val="11"/>
          <c:order val="11"/>
          <c:spPr>
            <a:solidFill>
              <a:schemeClr val="accent4">
                <a:shade val="93000"/>
              </a:schemeClr>
            </a:solidFill>
            <a:ln/>
            <a:effectLst/>
            <a:sp3d prstMaterial="flat"/>
          </c:spPr>
          <c:val>
            <c:numRef>
              <c:f>'Main Page'!$D$120:$X$120</c:f>
              <c:numCache>
                <c:formatCode>0.00</c:formatCode>
                <c:ptCount val="21"/>
                <c:pt idx="0">
                  <c:v>0.13900310003875707</c:v>
                </c:pt>
                <c:pt idx="1">
                  <c:v>0.1486094578709781</c:v>
                </c:pt>
                <c:pt idx="2">
                  <c:v>0.16057100774946317</c:v>
                </c:pt>
                <c:pt idx="3">
                  <c:v>0.17548013523622549</c:v>
                </c:pt>
                <c:pt idx="4">
                  <c:v>0.19405506995973162</c:v>
                </c:pt>
                <c:pt idx="5">
                  <c:v>0.21713483172261686</c:v>
                </c:pt>
                <c:pt idx="6">
                  <c:v>0.24564009808497766</c:v>
                </c:pt>
                <c:pt idx="7">
                  <c:v>0.2804754129062027</c:v>
                </c:pt>
                <c:pt idx="8">
                  <c:v>0.32234791404351715</c:v>
                </c:pt>
                <c:pt idx="9">
                  <c:v>0.37149689611486481</c:v>
                </c:pt>
                <c:pt idx="10">
                  <c:v>0.42738004253943401</c:v>
                </c:pt>
                <c:pt idx="11">
                  <c:v>0.48843910446140132</c:v>
                </c:pt>
                <c:pt idx="12">
                  <c:v>0.55211731861378022</c:v>
                </c:pt>
                <c:pt idx="13">
                  <c:v>0.61523901448697982</c:v>
                </c:pt>
                <c:pt idx="14">
                  <c:v>0.67466867194406388</c:v>
                </c:pt>
                <c:pt idx="15">
                  <c:v>0.7279726038398423</c:v>
                </c:pt>
                <c:pt idx="16">
                  <c:v>0.77379538475129839</c:v>
                </c:pt>
                <c:pt idx="17">
                  <c:v>0.81185234630447944</c:v>
                </c:pt>
                <c:pt idx="18">
                  <c:v>0.84265171148440643</c:v>
                </c:pt>
                <c:pt idx="19">
                  <c:v>0.86713785742359983</c:v>
                </c:pt>
                <c:pt idx="20">
                  <c:v>0.88639464945321111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59-44E6-8147-7424CDB1CF7D}"/>
            </c:ext>
          </c:extLst>
        </c:ser>
        <c:ser>
          <c:idx val="12"/>
          <c:order val="12"/>
          <c:spPr>
            <a:solidFill>
              <a:schemeClr val="accent4">
                <a:shade val="87000"/>
              </a:schemeClr>
            </a:solidFill>
            <a:ln/>
            <a:effectLst/>
            <a:sp3d prstMaterial="flat"/>
          </c:spPr>
          <c:val>
            <c:numRef>
              <c:f>'Main Page'!$D$121:$X$121</c:f>
              <c:numCache>
                <c:formatCode>0.00</c:formatCode>
                <c:ptCount val="21"/>
                <c:pt idx="0">
                  <c:v>0.14870386749601652</c:v>
                </c:pt>
                <c:pt idx="1">
                  <c:v>0.16068864262259591</c:v>
                </c:pt>
                <c:pt idx="2">
                  <c:v>0.17562677053997208</c:v>
                </c:pt>
                <c:pt idx="3">
                  <c:v>0.19423760307814317</c:v>
                </c:pt>
                <c:pt idx="4">
                  <c:v>0.21736111773892602</c:v>
                </c:pt>
                <c:pt idx="5">
                  <c:v>0.24591838354136186</c:v>
                </c:pt>
                <c:pt idx="6">
                  <c:v>0.28081313241580114</c:v>
                </c:pt>
                <c:pt idx="7">
                  <c:v>0.32274967609487287</c:v>
                </c:pt>
                <c:pt idx="8">
                  <c:v>0.37196178442455191</c:v>
                </c:pt>
                <c:pt idx="9">
                  <c:v>0.42789896507252162</c:v>
                </c:pt>
                <c:pt idx="10">
                  <c:v>0.48899359535138437</c:v>
                </c:pt>
                <c:pt idx="11">
                  <c:v>0.55268125385001321</c:v>
                </c:pt>
                <c:pt idx="12">
                  <c:v>0.6157834982143815</c:v>
                </c:pt>
                <c:pt idx="13">
                  <c:v>0.67516834767969547</c:v>
                </c:pt>
                <c:pt idx="14">
                  <c:v>0.72841054402091243</c:v>
                </c:pt>
                <c:pt idx="15">
                  <c:v>0.77416466533352901</c:v>
                </c:pt>
                <c:pt idx="16">
                  <c:v>0.81215450446097215</c:v>
                </c:pt>
                <c:pt idx="17">
                  <c:v>0.8428936760971385</c:v>
                </c:pt>
                <c:pt idx="18">
                  <c:v>0.86732893521569687</c:v>
                </c:pt>
                <c:pt idx="19">
                  <c:v>0.88654438012169567</c:v>
                </c:pt>
                <c:pt idx="20">
                  <c:v>0.90157494628505608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59-44E6-8147-7424CDB1CF7D}"/>
            </c:ext>
          </c:extLst>
        </c:ser>
        <c:ser>
          <c:idx val="13"/>
          <c:order val="13"/>
          <c:spPr>
            <a:solidFill>
              <a:schemeClr val="accent4">
                <a:shade val="80000"/>
              </a:schemeClr>
            </a:solidFill>
            <a:ln/>
            <a:effectLst/>
            <a:sp3d prstMaterial="flat"/>
          </c:spPr>
          <c:val>
            <c:numRef>
              <c:f>'Main Page'!$D$122:$X$122</c:f>
              <c:numCache>
                <c:formatCode>0.00</c:formatCode>
                <c:ptCount val="21"/>
                <c:pt idx="0">
                  <c:v>0.16080650634625751</c:v>
                </c:pt>
                <c:pt idx="1">
                  <c:v>0.17577369065656046</c:v>
                </c:pt>
                <c:pt idx="2">
                  <c:v>0.19442048656785357</c:v>
                </c:pt>
                <c:pt idx="3">
                  <c:v>0.21758782637109073</c:v>
                </c:pt>
                <c:pt idx="4">
                  <c:v>0.24619716306640141</c:v>
                </c:pt>
                <c:pt idx="5">
                  <c:v>0.28115140256001947</c:v>
                </c:pt>
                <c:pt idx="6">
                  <c:v>0.32315200910320396</c:v>
                </c:pt>
                <c:pt idx="7">
                  <c:v>0.37242720255488704</c:v>
                </c:pt>
                <c:pt idx="8">
                  <c:v>0.428418295499289</c:v>
                </c:pt>
                <c:pt idx="9">
                  <c:v>0.48954829215069662</c:v>
                </c:pt>
                <c:pt idx="10">
                  <c:v>0.55324514325964524</c:v>
                </c:pt>
                <c:pt idx="11">
                  <c:v>0.61632768798309012</c:v>
                </c:pt>
                <c:pt idx="12">
                  <c:v>0.67566753834338311</c:v>
                </c:pt>
                <c:pt idx="13">
                  <c:v>0.7288478946900665</c:v>
                </c:pt>
                <c:pt idx="14">
                  <c:v>0.77453333691969972</c:v>
                </c:pt>
                <c:pt idx="15">
                  <c:v>0.81245609599930879</c:v>
                </c:pt>
                <c:pt idx="16">
                  <c:v>0.84313514967297143</c:v>
                </c:pt>
                <c:pt idx="17">
                  <c:v>0.86751960747242673</c:v>
                </c:pt>
                <c:pt idx="18">
                  <c:v>0.88669378628751339</c:v>
                </c:pt>
                <c:pt idx="19">
                  <c:v>0.90169167098293168</c:v>
                </c:pt>
                <c:pt idx="20">
                  <c:v>0.91340840812196233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59-44E6-8147-7424CDB1CF7D}"/>
            </c:ext>
          </c:extLst>
        </c:ser>
        <c:ser>
          <c:idx val="14"/>
          <c:order val="14"/>
          <c:spPr>
            <a:solidFill>
              <a:schemeClr val="accent4">
                <a:shade val="74000"/>
              </a:schemeClr>
            </a:solidFill>
            <a:ln/>
            <a:effectLst/>
            <a:sp3d prstMaterial="flat"/>
          </c:spPr>
          <c:val>
            <c:numRef>
              <c:f>'Main Page'!$D$123:$X$123</c:f>
              <c:numCache>
                <c:formatCode>0.00</c:formatCode>
                <c:ptCount val="21"/>
                <c:pt idx="0">
                  <c:v>0.17592089612405723</c:v>
                </c:pt>
                <c:pt idx="1">
                  <c:v>0.19460372104374768</c:v>
                </c:pt>
                <c:pt idx="2">
                  <c:v>0.21781495826803404</c:v>
                </c:pt>
                <c:pt idx="3">
                  <c:v>0.2464764372502842</c:v>
                </c:pt>
                <c:pt idx="4">
                  <c:v>0.28149022371256488</c:v>
                </c:pt>
                <c:pt idx="5">
                  <c:v>0.32355491301091494</c:v>
                </c:pt>
                <c:pt idx="6">
                  <c:v>0.37289314980160609</c:v>
                </c:pt>
                <c:pt idx="7">
                  <c:v>0.42893803236648781</c:v>
                </c:pt>
                <c:pt idx="8">
                  <c:v>0.49010319279034875</c:v>
                </c:pt>
                <c:pt idx="9">
                  <c:v>0.55380898455203675</c:v>
                </c:pt>
                <c:pt idx="10">
                  <c:v>0.61687158179225143</c:v>
                </c:pt>
                <c:pt idx="11">
                  <c:v>0.67616624261575353</c:v>
                </c:pt>
                <c:pt idx="12">
                  <c:v>0.7292846553271799</c:v>
                </c:pt>
                <c:pt idx="13">
                  <c:v>0.77490139965556049</c:v>
                </c:pt>
                <c:pt idx="14">
                  <c:v>0.81275712148109158</c:v>
                </c:pt>
                <c:pt idx="15">
                  <c:v>0.84337613295031433</c:v>
                </c:pt>
                <c:pt idx="16">
                  <c:v>0.86770987494265694</c:v>
                </c:pt>
                <c:pt idx="17">
                  <c:v>0.88684286862092443</c:v>
                </c:pt>
                <c:pt idx="18">
                  <c:v>0.90180814159426548</c:v>
                </c:pt>
                <c:pt idx="19">
                  <c:v>0.91349943828752522</c:v>
                </c:pt>
                <c:pt idx="20">
                  <c:v>0.92264726183889989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F59-44E6-8147-7424CDB1CF7D}"/>
            </c:ext>
          </c:extLst>
        </c:ser>
        <c:ser>
          <c:idx val="15"/>
          <c:order val="15"/>
          <c:spPr>
            <a:solidFill>
              <a:schemeClr val="accent4">
                <a:shade val="68000"/>
              </a:schemeClr>
            </a:solidFill>
            <a:ln/>
            <a:effectLst/>
            <a:sp3d prstMaterial="flat"/>
          </c:spPr>
          <c:val>
            <c:numRef>
              <c:f>'Main Page'!$D$124:$X$124</c:f>
              <c:numCache>
                <c:formatCode>0.00</c:formatCode>
                <c:ptCount val="21"/>
                <c:pt idx="0">
                  <c:v>0.19478730712125664</c:v>
                </c:pt>
                <c:pt idx="1">
                  <c:v>0.21804251407865455</c:v>
                </c:pt>
                <c:pt idx="2">
                  <c:v>0.24675620668207862</c:v>
                </c:pt>
                <c:pt idx="3">
                  <c:v>0.28182959624434017</c:v>
                </c:pt>
                <c:pt idx="4">
                  <c:v>0.32395838775557939</c:v>
                </c:pt>
                <c:pt idx="5">
                  <c:v>0.37335962545402063</c:v>
                </c:pt>
                <c:pt idx="6">
                  <c:v>0.42945817421444632</c:v>
                </c:pt>
                <c:pt idx="7">
                  <c:v>0.4906582951973481</c:v>
                </c:pt>
                <c:pt idx="8">
                  <c:v>0.55437277543686914</c:v>
                </c:pt>
                <c:pt idx="9">
                  <c:v>0.61741517764564879</c:v>
                </c:pt>
                <c:pt idx="10">
                  <c:v>0.67666445918440177</c:v>
                </c:pt>
                <c:pt idx="11">
                  <c:v>0.72972082541886718</c:v>
                </c:pt>
                <c:pt idx="12">
                  <c:v>0.7752688536916833</c:v>
                </c:pt>
                <c:pt idx="13">
                  <c:v>0.81305758147044382</c:v>
                </c:pt>
                <c:pt idx="14">
                  <c:v>0.84361662666827275</c:v>
                </c:pt>
                <c:pt idx="15">
                  <c:v>0.86789973837485057</c:v>
                </c:pt>
                <c:pt idx="16">
                  <c:v>0.88699162779128649</c:v>
                </c:pt>
                <c:pt idx="17">
                  <c:v>0.90192435867673904</c:v>
                </c:pt>
                <c:pt idx="18">
                  <c:v>0.91359027165449569</c:v>
                </c:pt>
                <c:pt idx="19">
                  <c:v>0.92271844205922815</c:v>
                </c:pt>
                <c:pt idx="20">
                  <c:v>0.92988462219269929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59-44E6-8147-7424CDB1CF7D}"/>
            </c:ext>
          </c:extLst>
        </c:ser>
        <c:ser>
          <c:idx val="16"/>
          <c:order val="16"/>
          <c:spPr>
            <a:solidFill>
              <a:schemeClr val="accent4">
                <a:shade val="61000"/>
              </a:schemeClr>
            </a:solidFill>
            <a:ln/>
            <a:effectLst/>
            <a:sp3d prstMaterial="flat"/>
          </c:spPr>
          <c:val>
            <c:numRef>
              <c:f>'Main Page'!$D$125:$X$125</c:f>
              <c:numCache>
                <c:formatCode>0.00</c:formatCode>
                <c:ptCount val="21"/>
                <c:pt idx="0">
                  <c:v>0.21827049445181848</c:v>
                </c:pt>
                <c:pt idx="1">
                  <c:v>0.24703647194972111</c:v>
                </c:pt>
                <c:pt idx="2">
                  <c:v>0.28216952052342631</c:v>
                </c:pt>
                <c:pt idx="3">
                  <c:v>0.32436243326992359</c:v>
                </c:pt>
                <c:pt idx="4">
                  <c:v>0.37382662879500733</c:v>
                </c:pt>
                <c:pt idx="5">
                  <c:v>0.42997871957708084</c:v>
                </c:pt>
                <c:pt idx="6">
                  <c:v>0.4912135972947298</c:v>
                </c:pt>
                <c:pt idx="7">
                  <c:v>0.55493651362418472</c:v>
                </c:pt>
                <c:pt idx="8">
                  <c:v>0.61795847355173328</c:v>
                </c:pt>
                <c:pt idx="9">
                  <c:v>0.67716218674390383</c:v>
                </c:pt>
                <c:pt idx="10">
                  <c:v>0.73015640445846963</c:v>
                </c:pt>
                <c:pt idx="11">
                  <c:v>0.77563569918344033</c:v>
                </c:pt>
                <c:pt idx="12">
                  <c:v>0.81335747653399149</c:v>
                </c:pt>
                <c:pt idx="13">
                  <c:v>0.84385663156663715</c:v>
                </c:pt>
                <c:pt idx="14">
                  <c:v>0.86808919851705846</c:v>
                </c:pt>
                <c:pt idx="15">
                  <c:v>0.8871400644670504</c:v>
                </c:pt>
                <c:pt idx="16">
                  <c:v>0.90204032278701496</c:v>
                </c:pt>
                <c:pt idx="17">
                  <c:v>0.91368090866733309</c:v>
                </c:pt>
                <c:pt idx="18">
                  <c:v>0.92278947054070648</c:v>
                </c:pt>
                <c:pt idx="19">
                  <c:v>0.92994050316766541</c:v>
                </c:pt>
                <c:pt idx="20">
                  <c:v>0.93557877885464125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F59-44E6-8147-7424CDB1CF7D}"/>
            </c:ext>
          </c:extLst>
        </c:ser>
        <c:ser>
          <c:idx val="17"/>
          <c:order val="17"/>
          <c:spPr>
            <a:solidFill>
              <a:schemeClr val="accent4">
                <a:shade val="55000"/>
              </a:schemeClr>
            </a:solidFill>
            <a:ln/>
            <a:effectLst/>
            <a:sp3d prstMaterial="flat"/>
          </c:spPr>
          <c:val>
            <c:numRef>
              <c:f>'Main Page'!$D$126:$X$126</c:f>
              <c:numCache>
                <c:formatCode>0.00</c:formatCode>
                <c:ptCount val="21"/>
                <c:pt idx="0">
                  <c:v>0.24731723364000388</c:v>
                </c:pt>
                <c:pt idx="1">
                  <c:v>0.2825099969150654</c:v>
                </c:pt>
                <c:pt idx="2">
                  <c:v>0.32476704948180862</c:v>
                </c:pt>
                <c:pt idx="3">
                  <c:v>0.37429415910100056</c:v>
                </c:pt>
                <c:pt idx="4">
                  <c:v>0.43049966698190439</c:v>
                </c:pt>
                <c:pt idx="5">
                  <c:v>0.4917690970015885</c:v>
                </c:pt>
                <c:pt idx="6">
                  <c:v>0.5555001968244293</c:v>
                </c:pt>
                <c:pt idx="7">
                  <c:v>0.61850146752365531</c:v>
                </c:pt>
                <c:pt idx="8">
                  <c:v>0.67765942399582169</c:v>
                </c:pt>
                <c:pt idx="9">
                  <c:v>0.73059139194604461</c:v>
                </c:pt>
                <c:pt idx="10">
                  <c:v>0.77600193629098424</c:v>
                </c:pt>
                <c:pt idx="11">
                  <c:v>0.81365680724084344</c:v>
                </c:pt>
                <c:pt idx="12">
                  <c:v>0.84409614838586811</c:v>
                </c:pt>
                <c:pt idx="13">
                  <c:v>0.86827825611691256</c:v>
                </c:pt>
                <c:pt idx="14">
                  <c:v>0.88728817931576021</c:v>
                </c:pt>
                <c:pt idx="15">
                  <c:v>0.90215603448073578</c:v>
                </c:pt>
                <c:pt idx="16">
                  <c:v>0.91377134976955732</c:v>
                </c:pt>
                <c:pt idx="17">
                  <c:v>0.92286034762873614</c:v>
                </c:pt>
                <c:pt idx="18">
                  <c:v>0.92999626716755113</c:v>
                </c:pt>
                <c:pt idx="19">
                  <c:v>0.9356228529897227</c:v>
                </c:pt>
                <c:pt idx="20">
                  <c:v>0.94008016723775312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F59-44E6-8147-7424CDB1CF7D}"/>
            </c:ext>
          </c:extLst>
        </c:ser>
        <c:ser>
          <c:idx val="18"/>
          <c:order val="18"/>
          <c:spPr>
            <a:solidFill>
              <a:schemeClr val="accent4">
                <a:shade val="49000"/>
              </a:schemeClr>
            </a:solidFill>
            <a:ln/>
            <a:effectLst/>
            <a:sp3d prstMaterial="flat"/>
          </c:spPr>
          <c:val>
            <c:numRef>
              <c:f>'Main Page'!$D$127:$X$127</c:f>
              <c:numCache>
                <c:formatCode>0.00</c:formatCode>
                <c:ptCount val="21"/>
                <c:pt idx="0">
                  <c:v>0.28285102578164345</c:v>
                </c:pt>
                <c:pt idx="1">
                  <c:v>0.32517223631421288</c:v>
                </c:pt>
                <c:pt idx="2">
                  <c:v>0.37476221564198364</c:v>
                </c:pt>
                <c:pt idx="3">
                  <c:v>0.43102101495003886</c:v>
                </c:pt>
                <c:pt idx="4">
                  <c:v>0.49232479223311065</c:v>
                </c:pt>
                <c:pt idx="5">
                  <c:v>0.55606382274849409</c:v>
                </c:pt>
                <c:pt idx="6">
                  <c:v>0.61904415757929498</c:v>
                </c:pt>
                <c:pt idx="7">
                  <c:v>0.67815616964871361</c:v>
                </c:pt>
                <c:pt idx="8">
                  <c:v>0.73102578738835244</c:v>
                </c:pt>
                <c:pt idx="9">
                  <c:v>0.77636756517922778</c:v>
                </c:pt>
                <c:pt idx="10">
                  <c:v>0.81395557416257258</c:v>
                </c:pt>
                <c:pt idx="11">
                  <c:v>0.84433517786708512</c:v>
                </c:pt>
                <c:pt idx="12">
                  <c:v>0.86846691192162051</c:v>
                </c:pt>
                <c:pt idx="13">
                  <c:v>0.88743597300404853</c:v>
                </c:pt>
                <c:pt idx="14">
                  <c:v>0.90227149431252562</c:v>
                </c:pt>
                <c:pt idx="15">
                  <c:v>0.91386159540375045</c:v>
                </c:pt>
                <c:pt idx="16">
                  <c:v>0.92293107366793237</c:v>
                </c:pt>
                <c:pt idx="17">
                  <c:v>0.93005191445712898</c:v>
                </c:pt>
                <c:pt idx="18">
                  <c:v>0.93566683670897499</c:v>
                </c:pt>
                <c:pt idx="19">
                  <c:v>0.94011509725855213</c:v>
                </c:pt>
                <c:pt idx="20">
                  <c:v>0.9436557170145119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F59-44E6-8147-7424CDB1CF7D}"/>
            </c:ext>
          </c:extLst>
        </c:ser>
        <c:ser>
          <c:idx val="19"/>
          <c:order val="19"/>
          <c:spPr>
            <a:solidFill>
              <a:schemeClr val="accent4">
                <a:shade val="42000"/>
              </a:schemeClr>
            </a:solidFill>
            <a:ln/>
            <a:effectLst/>
            <a:sp3d prstMaterial="flat"/>
          </c:spPr>
          <c:val>
            <c:numRef>
              <c:f>'Main Page'!$D$128:$X$128</c:f>
              <c:numCache>
                <c:formatCode>0.00</c:formatCode>
                <c:ptCount val="21"/>
                <c:pt idx="0">
                  <c:v>0.32557799368521489</c:v>
                </c:pt>
                <c:pt idx="1">
                  <c:v>0.37523079768148032</c:v>
                </c:pt>
                <c:pt idx="2">
                  <c:v>0.43154276199622565</c:v>
                </c:pt>
                <c:pt idx="3">
                  <c:v>0.49288068090060699</c:v>
                </c:pt>
                <c:pt idx="4">
                  <c:v>0.55662738910775611</c:v>
                </c:pt>
                <c:pt idx="5">
                  <c:v>0.61958654174129535</c:v>
                </c:pt>
                <c:pt idx="6">
                  <c:v>0.67865242241814128</c:v>
                </c:pt>
                <c:pt idx="7">
                  <c:v>0.73145959029884622</c:v>
                </c:pt>
                <c:pt idx="8">
                  <c:v>0.77673258601782336</c:v>
                </c:pt>
                <c:pt idx="9">
                  <c:v>0.81425377787319919</c:v>
                </c:pt>
                <c:pt idx="10">
                  <c:v>0.84457372075205295</c:v>
                </c:pt>
                <c:pt idx="11">
                  <c:v>0.86865516667795761</c:v>
                </c:pt>
                <c:pt idx="12">
                  <c:v>0.88758344619763607</c:v>
                </c:pt>
                <c:pt idx="13">
                  <c:v>0.90238670283598976</c:v>
                </c:pt>
                <c:pt idx="14">
                  <c:v>0.91395164601155765</c:v>
                </c:pt>
                <c:pt idx="15">
                  <c:v>0.923001649002126</c:v>
                </c:pt>
                <c:pt idx="16">
                  <c:v>0.93010744530054723</c:v>
                </c:pt>
                <c:pt idx="17">
                  <c:v>0.93571073021414741</c:v>
                </c:pt>
                <c:pt idx="18">
                  <c:v>0.9401499570855244</c:v>
                </c:pt>
                <c:pt idx="19">
                  <c:v>0.94368353051976606</c:v>
                </c:pt>
                <c:pt idx="20">
                  <c:v>0.94650885585256472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F59-44E6-8147-7424CDB1CF7D}"/>
            </c:ext>
          </c:extLst>
        </c:ser>
        <c:ser>
          <c:idx val="20"/>
          <c:order val="20"/>
          <c:spPr>
            <a:solidFill>
              <a:schemeClr val="accent4">
                <a:shade val="36000"/>
              </a:schemeClr>
            </a:solidFill>
            <a:ln/>
            <a:effectLst/>
            <a:sp3d prstMaterial="flat"/>
          </c:spPr>
          <c:val>
            <c:numRef>
              <c:f>'Main Page'!$D$129:$X$129</c:f>
              <c:numCache>
                <c:formatCode>0.00</c:formatCode>
                <c:ptCount val="21"/>
                <c:pt idx="0">
                  <c:v>0.37569990447654672</c:v>
                </c:pt>
                <c:pt idx="1">
                  <c:v>0.43206490662883656</c:v>
                </c:pt>
                <c:pt idx="2">
                  <c:v>0.49343676091154492</c:v>
                </c:pt>
                <c:pt idx="3">
                  <c:v>0.55719089361412055</c:v>
                </c:pt>
                <c:pt idx="4">
                  <c:v>0.62012861803708941</c:v>
                </c:pt>
                <c:pt idx="5">
                  <c:v>0.67914818102667851</c:v>
                </c:pt>
                <c:pt idx="6">
                  <c:v>0.73189280019765812</c:v>
                </c:pt>
                <c:pt idx="7">
                  <c:v>0.77709699898114204</c:v>
                </c:pt>
                <c:pt idx="8">
                  <c:v>0.81455141894916905</c:v>
                </c:pt>
                <c:pt idx="9">
                  <c:v>0.84481177778316996</c:v>
                </c:pt>
                <c:pt idx="10">
                  <c:v>0.86884302113226097</c:v>
                </c:pt>
                <c:pt idx="11">
                  <c:v>0.88773059956132838</c:v>
                </c:pt>
                <c:pt idx="12">
                  <c:v>0.90250166060371395</c:v>
                </c:pt>
                <c:pt idx="13">
                  <c:v>0.91404150203368806</c:v>
                </c:pt>
                <c:pt idx="14">
                  <c:v>0.92307207397436475</c:v>
                </c:pt>
                <c:pt idx="15">
                  <c:v>0.93016285996133208</c:v>
                </c:pt>
                <c:pt idx="16">
                  <c:v>0.93575453370650885</c:v>
                </c:pt>
                <c:pt idx="17">
                  <c:v>0.94018474687226139</c:v>
                </c:pt>
                <c:pt idx="18">
                  <c:v>0.94371128924081382</c:v>
                </c:pt>
                <c:pt idx="19">
                  <c:v>0.94653110025071385</c:v>
                </c:pt>
                <c:pt idx="20">
                  <c:v>0.94879513817230732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F59-44E6-8147-7424CDB1CF7D}"/>
            </c:ext>
          </c:extLst>
        </c:ser>
        <c:bandFmts>
          <c:bandFmt>
            <c:idx val="0"/>
            <c:spPr>
              <a:solidFill>
                <a:schemeClr val="accent4">
                  <a:tint val="43000"/>
                </a:schemeClr>
              </a:solidFill>
              <a:ln/>
              <a:effectLst/>
              <a:sp3d prstMaterial="flat"/>
            </c:spPr>
          </c:bandFmt>
          <c:bandFmt>
            <c:idx val="1"/>
            <c:spPr>
              <a:solidFill>
                <a:schemeClr val="accent4">
                  <a:tint val="56000"/>
                </a:schemeClr>
              </a:solidFill>
              <a:ln/>
              <a:effectLst/>
              <a:sp3d prstMaterial="flat"/>
            </c:spPr>
          </c:bandFmt>
          <c:bandFmt>
            <c:idx val="2"/>
            <c:spPr>
              <a:solidFill>
                <a:schemeClr val="accent4">
                  <a:tint val="69000"/>
                </a:schemeClr>
              </a:solidFill>
              <a:ln/>
              <a:effectLst/>
              <a:sp3d prstMaterial="flat"/>
            </c:spPr>
          </c:bandFmt>
          <c:bandFmt>
            <c:idx val="3"/>
            <c:spPr>
              <a:solidFill>
                <a:schemeClr val="accent4">
                  <a:tint val="81000"/>
                </a:schemeClr>
              </a:solidFill>
              <a:ln/>
              <a:effectLst/>
              <a:sp3d prstMaterial="flat"/>
            </c:spPr>
          </c:bandFmt>
          <c:bandFmt>
            <c:idx val="4"/>
            <c:spPr>
              <a:solidFill>
                <a:schemeClr val="accent4">
                  <a:tint val="94000"/>
                </a:schemeClr>
              </a:solidFill>
              <a:ln/>
              <a:effectLst/>
              <a:sp3d prstMaterial="flat"/>
            </c:spPr>
          </c:bandFmt>
          <c:bandFmt>
            <c:idx val="5"/>
            <c:spPr>
              <a:solidFill>
                <a:schemeClr val="accent4">
                  <a:shade val="93000"/>
                </a:schemeClr>
              </a:solidFill>
              <a:ln/>
              <a:effectLst/>
              <a:sp3d prstMaterial="flat"/>
            </c:spPr>
          </c:bandFmt>
          <c:bandFmt>
            <c:idx val="6"/>
            <c:spPr>
              <a:solidFill>
                <a:schemeClr val="accent4">
                  <a:shade val="80000"/>
                </a:schemeClr>
              </a:solidFill>
              <a:ln/>
              <a:effectLst/>
              <a:sp3d prstMaterial="flat"/>
            </c:spPr>
          </c:bandFmt>
          <c:bandFmt>
            <c:idx val="7"/>
            <c:spPr>
              <a:solidFill>
                <a:schemeClr val="accent4">
                  <a:shade val="68000"/>
                </a:schemeClr>
              </a:solidFill>
              <a:ln/>
              <a:effectLst/>
              <a:sp3d prstMaterial="flat"/>
            </c:spPr>
          </c:bandFmt>
          <c:bandFmt>
            <c:idx val="8"/>
            <c:spPr>
              <a:solidFill>
                <a:schemeClr val="accent4">
                  <a:shade val="55000"/>
                </a:schemeClr>
              </a:solidFill>
              <a:ln/>
              <a:effectLst/>
              <a:sp3d prstMaterial="flat"/>
            </c:spPr>
          </c:bandFmt>
          <c:bandFmt>
            <c:idx val="9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0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1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2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3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4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</c:bandFmts>
        <c:axId val="312658688"/>
        <c:axId val="312669504"/>
        <c:axId val="2126312496"/>
      </c:surface3DChart>
      <c:catAx>
        <c:axId val="3126586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69504"/>
        <c:crosses val="autoZero"/>
        <c:auto val="1"/>
        <c:lblAlgn val="ctr"/>
        <c:lblOffset val="100"/>
        <c:noMultiLvlLbl val="0"/>
      </c:catAx>
      <c:valAx>
        <c:axId val="31266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58688"/>
        <c:crosses val="autoZero"/>
        <c:crossBetween val="midCat"/>
      </c:valAx>
      <c:serAx>
        <c:axId val="2126312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695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w3 weight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Data'!$C$3:$C$1000</c:f>
              <c:numCache>
                <c:formatCode>0.00</c:formatCode>
                <c:ptCount val="998"/>
                <c:pt idx="0">
                  <c:v>1.0178093774601931</c:v>
                </c:pt>
                <c:pt idx="1">
                  <c:v>1.0540836210050453</c:v>
                </c:pt>
                <c:pt idx="2">
                  <c:v>1.0967810420007389</c:v>
                </c:pt>
                <c:pt idx="3">
                  <c:v>1.145857603127874</c:v>
                </c:pt>
                <c:pt idx="4">
                  <c:v>1.2013360568348204</c:v>
                </c:pt>
                <c:pt idx="5">
                  <c:v>1.2634206903578065</c:v>
                </c:pt>
                <c:pt idx="6">
                  <c:v>1.3325005694074288</c:v>
                </c:pt>
                <c:pt idx="7">
                  <c:v>1.4091600111107616</c:v>
                </c:pt>
                <c:pt idx="8">
                  <c:v>1.4941908320670847</c:v>
                </c:pt>
                <c:pt idx="9">
                  <c:v>1.5885985877820572</c:v>
                </c:pt>
                <c:pt idx="10">
                  <c:v>1.6935873914420259</c:v>
                </c:pt>
                <c:pt idx="11">
                  <c:v>1.8104957940027702</c:v>
                </c:pt>
                <c:pt idx="12">
                  <c:v>1.9406423478894332</c:v>
                </c:pt>
                <c:pt idx="13">
                  <c:v>2.0850378154496636</c:v>
                </c:pt>
                <c:pt idx="14">
                  <c:v>2.2439633304350735</c:v>
                </c:pt>
                <c:pt idx="15">
                  <c:v>2.416528530459777</c:v>
                </c:pt>
                <c:pt idx="16">
                  <c:v>2.6004572999833924</c:v>
                </c:pt>
                <c:pt idx="17">
                  <c:v>2.7923265961024062</c:v>
                </c:pt>
                <c:pt idx="18">
                  <c:v>2.9882125146857463</c:v>
                </c:pt>
                <c:pt idx="19">
                  <c:v>3.1844085894699896</c:v>
                </c:pt>
                <c:pt idx="20">
                  <c:v>3.377888391523904</c:v>
                </c:pt>
                <c:pt idx="21">
                  <c:v>3.5664366784272454</c:v>
                </c:pt>
                <c:pt idx="22">
                  <c:v>3.7485688615547557</c:v>
                </c:pt>
                <c:pt idx="23">
                  <c:v>3.9233787479277389</c:v>
                </c:pt>
                <c:pt idx="24">
                  <c:v>4.0903923083730369</c:v>
                </c:pt>
                <c:pt idx="25">
                  <c:v>4.2494507965696799</c:v>
                </c:pt>
                <c:pt idx="26">
                  <c:v>4.4006213959392024</c:v>
                </c:pt>
                <c:pt idx="27">
                  <c:v>4.5441280915712277</c:v>
                </c:pt>
                <c:pt idx="28">
                  <c:v>4.6802974458499076</c:v>
                </c:pt>
                <c:pt idx="29">
                  <c:v>4.8095165169121534</c:v>
                </c:pt>
                <c:pt idx="30">
                  <c:v>4.9322013148428914</c:v>
                </c:pt>
                <c:pt idx="31">
                  <c:v>5.0487743081359708</c:v>
                </c:pt>
                <c:pt idx="32">
                  <c:v>5.159649325372631</c:v>
                </c:pt>
                <c:pt idx="33">
                  <c:v>5.2652221518641413</c:v>
                </c:pt>
                <c:pt idx="34">
                  <c:v>5.3658652696770437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1.96846399442027</c:v>
                </c:pt>
                <c:pt idx="1">
                  <c:v>1.95999624288271</c:v>
                </c:pt>
                <c:pt idx="2">
                  <c:v>1.951013454345389</c:v>
                </c:pt>
                <c:pt idx="3">
                  <c:v>1.9411857973433539</c:v>
                </c:pt>
                <c:pt idx="4">
                  <c:v>1.9301513996310589</c:v>
                </c:pt>
                <c:pt idx="5">
                  <c:v>1.9174810809093892</c:v>
                </c:pt>
                <c:pt idx="6">
                  <c:v>1.9026427104773349</c:v>
                </c:pt>
                <c:pt idx="7">
                  <c:v>1.8849591640521259</c:v>
                </c:pt>
                <c:pt idx="8">
                  <c:v>1.8635604004084279</c:v>
                </c:pt>
                <c:pt idx="9">
                  <c:v>1.837336036528411</c:v>
                </c:pt>
                <c:pt idx="10">
                  <c:v>1.8049076534262141</c:v>
                </c:pt>
                <c:pt idx="11">
                  <c:v>1.7646628972965148</c:v>
                </c:pt>
                <c:pt idx="12">
                  <c:v>1.714921090496063</c:v>
                </c:pt>
                <c:pt idx="13">
                  <c:v>1.6543008867221936</c:v>
                </c:pt>
                <c:pt idx="14">
                  <c:v>1.582268684545491</c:v>
                </c:pt>
                <c:pt idx="15">
                  <c:v>1.4996415811139907</c:v>
                </c:pt>
                <c:pt idx="16">
                  <c:v>1.4086883448187411</c:v>
                </c:pt>
                <c:pt idx="17">
                  <c:v>1.3126861894783972</c:v>
                </c:pt>
                <c:pt idx="18">
                  <c:v>1.2151890790081443</c:v>
                </c:pt>
                <c:pt idx="19">
                  <c:v>1.119386413166807</c:v>
                </c:pt>
                <c:pt idx="20">
                  <c:v>1.0277457876348048</c:v>
                </c:pt>
                <c:pt idx="21">
                  <c:v>0.94192367598563398</c:v>
                </c:pt>
                <c:pt idx="22">
                  <c:v>0.86284014189078651</c:v>
                </c:pt>
                <c:pt idx="23">
                  <c:v>0.79082529597887075</c:v>
                </c:pt>
                <c:pt idx="24">
                  <c:v>0.72578271537268979</c:v>
                </c:pt>
                <c:pt idx="25">
                  <c:v>0.66734037378105859</c:v>
                </c:pt>
                <c:pt idx="26">
                  <c:v>0.61497373154580315</c:v>
                </c:pt>
                <c:pt idx="27">
                  <c:v>0.56809573352423803</c:v>
                </c:pt>
                <c:pt idx="28">
                  <c:v>0.52611593335853069</c:v>
                </c:pt>
                <c:pt idx="29">
                  <c:v>0.48847503114161273</c:v>
                </c:pt>
                <c:pt idx="30">
                  <c:v>0.45466205602837167</c:v>
                </c:pt>
                <c:pt idx="31">
                  <c:v>0.42422047526037548</c:v>
                </c:pt>
                <c:pt idx="32">
                  <c:v>0.39674788571626746</c:v>
                </c:pt>
                <c:pt idx="33">
                  <c:v>0.37189238523572832</c:v>
                </c:pt>
                <c:pt idx="34">
                  <c:v>0.34934751810291897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D9-48B7-B0BB-62BB3F1A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b3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Data'!$F$3:$F$1000</c:f>
              <c:numCache>
                <c:formatCode>0.00</c:formatCode>
                <c:ptCount val="998"/>
                <c:pt idx="0">
                  <c:v>-0.23870176422359873</c:v>
                </c:pt>
                <c:pt idx="1">
                  <c:v>-0.23835977039415435</c:v>
                </c:pt>
                <c:pt idx="2">
                  <c:v>-0.24138083040290337</c:v>
                </c:pt>
                <c:pt idx="3">
                  <c:v>-0.24730190019296194</c:v>
                </c:pt>
                <c:pt idx="4">
                  <c:v>-0.25627632494184388</c:v>
                </c:pt>
                <c:pt idx="5">
                  <c:v>-0.26862611088800936</c:v>
                </c:pt>
                <c:pt idx="6">
                  <c:v>-0.28486978964393672</c:v>
                </c:pt>
                <c:pt idx="7">
                  <c:v>-0.30575676453580519</c:v>
                </c:pt>
                <c:pt idx="8">
                  <c:v>-0.33231034789085834</c:v>
                </c:pt>
                <c:pt idx="9">
                  <c:v>-0.36586564674679134</c:v>
                </c:pt>
                <c:pt idx="10">
                  <c:v>-0.408068314470176</c:v>
                </c:pt>
                <c:pt idx="11">
                  <c:v>-0.46076417667989045</c:v>
                </c:pt>
                <c:pt idx="12">
                  <c:v>-0.52566812828302756</c:v>
                </c:pt>
                <c:pt idx="13">
                  <c:v>-0.6037138642512172</c:v>
                </c:pt>
                <c:pt idx="14">
                  <c:v>-0.69418654379471978</c:v>
                </c:pt>
                <c:pt idx="15">
                  <c:v>-0.7941721760874394</c:v>
                </c:pt>
                <c:pt idx="16">
                  <c:v>-0.89906507823094384</c:v>
                </c:pt>
                <c:pt idx="17">
                  <c:v>-1.0041369947873986</c:v>
                </c:pt>
                <c:pt idx="18">
                  <c:v>-1.1060419262763908</c:v>
                </c:pt>
                <c:pt idx="19">
                  <c:v>-1.2032414930936064</c:v>
                </c:pt>
                <c:pt idx="20">
                  <c:v>-1.2954977398349092</c:v>
                </c:pt>
                <c:pt idx="21">
                  <c:v>-1.3831601724635538</c:v>
                </c:pt>
                <c:pt idx="22">
                  <c:v>-1.466689231368808</c:v>
                </c:pt>
                <c:pt idx="23">
                  <c:v>-1.546458904846711</c:v>
                </c:pt>
                <c:pt idx="24">
                  <c:v>-1.6227259413271664</c:v>
                </c:pt>
                <c:pt idx="25">
                  <c:v>-1.6956625040144779</c:v>
                </c:pt>
                <c:pt idx="26">
                  <c:v>-1.7653970538901973</c:v>
                </c:pt>
                <c:pt idx="27">
                  <c:v>-1.8320437764178623</c:v>
                </c:pt>
                <c:pt idx="28">
                  <c:v>-1.8957183351535376</c:v>
                </c:pt>
                <c:pt idx="29">
                  <c:v>-1.9565436554844775</c:v>
                </c:pt>
                <c:pt idx="30">
                  <c:v>-2.0146500255294133</c:v>
                </c:pt>
                <c:pt idx="31">
                  <c:v>-2.0701726586752858</c:v>
                </c:pt>
                <c:pt idx="32">
                  <c:v>-2.1232485780747066</c:v>
                </c:pt>
                <c:pt idx="33">
                  <c:v>-2.174013743549092</c:v>
                </c:pt>
                <c:pt idx="34">
                  <c:v>-2.2226007744057288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1.96846399442027</c:v>
                </c:pt>
                <c:pt idx="1">
                  <c:v>1.95999624288271</c:v>
                </c:pt>
                <c:pt idx="2">
                  <c:v>1.951013454345389</c:v>
                </c:pt>
                <c:pt idx="3">
                  <c:v>1.9411857973433539</c:v>
                </c:pt>
                <c:pt idx="4">
                  <c:v>1.9301513996310589</c:v>
                </c:pt>
                <c:pt idx="5">
                  <c:v>1.9174810809093892</c:v>
                </c:pt>
                <c:pt idx="6">
                  <c:v>1.9026427104773349</c:v>
                </c:pt>
                <c:pt idx="7">
                  <c:v>1.8849591640521259</c:v>
                </c:pt>
                <c:pt idx="8">
                  <c:v>1.8635604004084279</c:v>
                </c:pt>
                <c:pt idx="9">
                  <c:v>1.837336036528411</c:v>
                </c:pt>
                <c:pt idx="10">
                  <c:v>1.8049076534262141</c:v>
                </c:pt>
                <c:pt idx="11">
                  <c:v>1.7646628972965148</c:v>
                </c:pt>
                <c:pt idx="12">
                  <c:v>1.714921090496063</c:v>
                </c:pt>
                <c:pt idx="13">
                  <c:v>1.6543008867221936</c:v>
                </c:pt>
                <c:pt idx="14">
                  <c:v>1.582268684545491</c:v>
                </c:pt>
                <c:pt idx="15">
                  <c:v>1.4996415811139907</c:v>
                </c:pt>
                <c:pt idx="16">
                  <c:v>1.4086883448187411</c:v>
                </c:pt>
                <c:pt idx="17">
                  <c:v>1.3126861894783972</c:v>
                </c:pt>
                <c:pt idx="18">
                  <c:v>1.2151890790081443</c:v>
                </c:pt>
                <c:pt idx="19">
                  <c:v>1.119386413166807</c:v>
                </c:pt>
                <c:pt idx="20">
                  <c:v>1.0277457876348048</c:v>
                </c:pt>
                <c:pt idx="21">
                  <c:v>0.94192367598563398</c:v>
                </c:pt>
                <c:pt idx="22">
                  <c:v>0.86284014189078651</c:v>
                </c:pt>
                <c:pt idx="23">
                  <c:v>0.79082529597887075</c:v>
                </c:pt>
                <c:pt idx="24">
                  <c:v>0.72578271537268979</c:v>
                </c:pt>
                <c:pt idx="25">
                  <c:v>0.66734037378105859</c:v>
                </c:pt>
                <c:pt idx="26">
                  <c:v>0.61497373154580315</c:v>
                </c:pt>
                <c:pt idx="27">
                  <c:v>0.56809573352423803</c:v>
                </c:pt>
                <c:pt idx="28">
                  <c:v>0.52611593335853069</c:v>
                </c:pt>
                <c:pt idx="29">
                  <c:v>0.48847503114161273</c:v>
                </c:pt>
                <c:pt idx="30">
                  <c:v>0.45466205602837167</c:v>
                </c:pt>
                <c:pt idx="31">
                  <c:v>0.42422047526037548</c:v>
                </c:pt>
                <c:pt idx="32">
                  <c:v>0.39674788571626746</c:v>
                </c:pt>
                <c:pt idx="33">
                  <c:v>0.37189238523572832</c:v>
                </c:pt>
                <c:pt idx="34">
                  <c:v>0.34934751810291897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22-4B51-B77A-F62604309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w2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Data'!$I$3:$I$1000</c:f>
              <c:numCache>
                <c:formatCode>0.00</c:formatCode>
                <c:ptCount val="998"/>
                <c:pt idx="0">
                  <c:v>-1.5740094414890893</c:v>
                </c:pt>
                <c:pt idx="1">
                  <c:v>-1.6394239910906188</c:v>
                </c:pt>
                <c:pt idx="2">
                  <c:v>-1.7024886882672412</c:v>
                </c:pt>
                <c:pt idx="3">
                  <c:v>-1.7636812161497157</c:v>
                </c:pt>
                <c:pt idx="4">
                  <c:v>-1.8234634559978407</c:v>
                </c:pt>
                <c:pt idx="5">
                  <c:v>-1.8822463875967013</c:v>
                </c:pt>
                <c:pt idx="6">
                  <c:v>-1.9404111336866625</c:v>
                </c:pt>
                <c:pt idx="7">
                  <c:v>-1.9983284801166021</c:v>
                </c:pt>
                <c:pt idx="8">
                  <c:v>-2.0563798411752878</c:v>
                </c:pt>
                <c:pt idx="9">
                  <c:v>-2.1149825391077726</c:v>
                </c:pt>
                <c:pt idx="10">
                  <c:v>-2.174622988485051</c:v>
                </c:pt>
                <c:pt idx="11">
                  <c:v>-2.2359006828708337</c:v>
                </c:pt>
                <c:pt idx="12">
                  <c:v>-2.2995795905765264</c:v>
                </c:pt>
                <c:pt idx="13">
                  <c:v>-2.3666230965129174</c:v>
                </c:pt>
                <c:pt idx="14">
                  <c:v>-2.4381480456663822</c:v>
                </c:pt>
                <c:pt idx="15">
                  <c:v>-2.515201681422143</c:v>
                </c:pt>
                <c:pt idx="16">
                  <c:v>-2.5983367243095157</c:v>
                </c:pt>
                <c:pt idx="17">
                  <c:v>-2.6871785304142572</c:v>
                </c:pt>
                <c:pt idx="18">
                  <c:v>-2.7803155828530031</c:v>
                </c:pt>
                <c:pt idx="19">
                  <c:v>-2.8756350618415349</c:v>
                </c:pt>
                <c:pt idx="20">
                  <c:v>-2.9708806432971531</c:v>
                </c:pt>
                <c:pt idx="21">
                  <c:v>-3.0641197669734233</c:v>
                </c:pt>
                <c:pt idx="22">
                  <c:v>-3.1539715349786639</c:v>
                </c:pt>
                <c:pt idx="23">
                  <c:v>-3.239622667085464</c:v>
                </c:pt>
                <c:pt idx="24">
                  <c:v>-3.3207254652138389</c:v>
                </c:pt>
                <c:pt idx="25">
                  <c:v>-3.3972593339140458</c:v>
                </c:pt>
                <c:pt idx="26">
                  <c:v>-3.4694034908799267</c:v>
                </c:pt>
                <c:pt idx="27">
                  <c:v>-3.5374401431452638</c:v>
                </c:pt>
                <c:pt idx="28">
                  <c:v>-3.6016900795563482</c:v>
                </c:pt>
                <c:pt idx="29">
                  <c:v>-3.6624746381905831</c:v>
                </c:pt>
                <c:pt idx="30">
                  <c:v>-3.7200960575170865</c:v>
                </c:pt>
                <c:pt idx="31">
                  <c:v>-3.7748292547173206</c:v>
                </c:pt>
                <c:pt idx="32">
                  <c:v>-3.8269200183522032</c:v>
                </c:pt>
                <c:pt idx="33">
                  <c:v>-3.876586413187932</c:v>
                </c:pt>
                <c:pt idx="34">
                  <c:v>-3.924021532562818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1.96846399442027</c:v>
                </c:pt>
                <c:pt idx="1">
                  <c:v>1.95999624288271</c:v>
                </c:pt>
                <c:pt idx="2">
                  <c:v>1.951013454345389</c:v>
                </c:pt>
                <c:pt idx="3">
                  <c:v>1.9411857973433539</c:v>
                </c:pt>
                <c:pt idx="4">
                  <c:v>1.9301513996310589</c:v>
                </c:pt>
                <c:pt idx="5">
                  <c:v>1.9174810809093892</c:v>
                </c:pt>
                <c:pt idx="6">
                  <c:v>1.9026427104773349</c:v>
                </c:pt>
                <c:pt idx="7">
                  <c:v>1.8849591640521259</c:v>
                </c:pt>
                <c:pt idx="8">
                  <c:v>1.8635604004084279</c:v>
                </c:pt>
                <c:pt idx="9">
                  <c:v>1.837336036528411</c:v>
                </c:pt>
                <c:pt idx="10">
                  <c:v>1.8049076534262141</c:v>
                </c:pt>
                <c:pt idx="11">
                  <c:v>1.7646628972965148</c:v>
                </c:pt>
                <c:pt idx="12">
                  <c:v>1.714921090496063</c:v>
                </c:pt>
                <c:pt idx="13">
                  <c:v>1.6543008867221936</c:v>
                </c:pt>
                <c:pt idx="14">
                  <c:v>1.582268684545491</c:v>
                </c:pt>
                <c:pt idx="15">
                  <c:v>1.4996415811139907</c:v>
                </c:pt>
                <c:pt idx="16">
                  <c:v>1.4086883448187411</c:v>
                </c:pt>
                <c:pt idx="17">
                  <c:v>1.3126861894783972</c:v>
                </c:pt>
                <c:pt idx="18">
                  <c:v>1.2151890790081443</c:v>
                </c:pt>
                <c:pt idx="19">
                  <c:v>1.119386413166807</c:v>
                </c:pt>
                <c:pt idx="20">
                  <c:v>1.0277457876348048</c:v>
                </c:pt>
                <c:pt idx="21">
                  <c:v>0.94192367598563398</c:v>
                </c:pt>
                <c:pt idx="22">
                  <c:v>0.86284014189078651</c:v>
                </c:pt>
                <c:pt idx="23">
                  <c:v>0.79082529597887075</c:v>
                </c:pt>
                <c:pt idx="24">
                  <c:v>0.72578271537268979</c:v>
                </c:pt>
                <c:pt idx="25">
                  <c:v>0.66734037378105859</c:v>
                </c:pt>
                <c:pt idx="26">
                  <c:v>0.61497373154580315</c:v>
                </c:pt>
                <c:pt idx="27">
                  <c:v>0.56809573352423803</c:v>
                </c:pt>
                <c:pt idx="28">
                  <c:v>0.52611593335853069</c:v>
                </c:pt>
                <c:pt idx="29">
                  <c:v>0.48847503114161273</c:v>
                </c:pt>
                <c:pt idx="30">
                  <c:v>0.45466205602837167</c:v>
                </c:pt>
                <c:pt idx="31">
                  <c:v>0.42422047526037548</c:v>
                </c:pt>
                <c:pt idx="32">
                  <c:v>0.39674788571626746</c:v>
                </c:pt>
                <c:pt idx="33">
                  <c:v>0.37189238523572832</c:v>
                </c:pt>
                <c:pt idx="34">
                  <c:v>0.34934751810291897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ED-42A9-88AE-EEC989D0B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b2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Data'!$L$3:$L$1000</c:f>
              <c:numCache>
                <c:formatCode>0.00</c:formatCode>
                <c:ptCount val="998"/>
                <c:pt idx="0">
                  <c:v>0.47804121429920043</c:v>
                </c:pt>
                <c:pt idx="1">
                  <c:v>0.4120969380370158</c:v>
                </c:pt>
                <c:pt idx="2">
                  <c:v>0.34780226345172249</c:v>
                </c:pt>
                <c:pt idx="3">
                  <c:v>0.28469656545819899</c:v>
                </c:pt>
                <c:pt idx="4">
                  <c:v>0.22230726941518825</c:v>
                </c:pt>
                <c:pt idx="5">
                  <c:v>0.16016632464511257</c:v>
                </c:pt>
                <c:pt idx="6">
                  <c:v>9.778234654558822E-2</c:v>
                </c:pt>
                <c:pt idx="7">
                  <c:v>3.4607781335406526E-2</c:v>
                </c:pt>
                <c:pt idx="8">
                  <c:v>-3.0003086532539566E-2</c:v>
                </c:pt>
                <c:pt idx="9">
                  <c:v>-9.6848795702073207E-2</c:v>
                </c:pt>
                <c:pt idx="10">
                  <c:v>-0.1669481218662725</c:v>
                </c:pt>
                <c:pt idx="11">
                  <c:v>-0.24160717094212666</c:v>
                </c:pt>
                <c:pt idx="12">
                  <c:v>-0.3224391254720731</c:v>
                </c:pt>
                <c:pt idx="13">
                  <c:v>-0.41123024655376217</c:v>
                </c:pt>
                <c:pt idx="14">
                  <c:v>-0.50950858933889309</c:v>
                </c:pt>
                <c:pt idx="15">
                  <c:v>-0.61780660277354349</c:v>
                </c:pt>
                <c:pt idx="16">
                  <c:v>-0.73499815164479632</c:v>
                </c:pt>
                <c:pt idx="17">
                  <c:v>-0.85832220614616295</c:v>
                </c:pt>
                <c:pt idx="18">
                  <c:v>-0.98421396074191181</c:v>
                </c:pt>
                <c:pt idx="19">
                  <c:v>-1.1093389169404484</c:v>
                </c:pt>
                <c:pt idx="20">
                  <c:v>-1.2312150230803465</c:v>
                </c:pt>
                <c:pt idx="21">
                  <c:v>-1.3483195305579758</c:v>
                </c:pt>
                <c:pt idx="22">
                  <c:v>-1.4599030082089686</c:v>
                </c:pt>
                <c:pt idx="23">
                  <c:v>-1.5657339797773417</c:v>
                </c:pt>
                <c:pt idx="24">
                  <c:v>-1.6658857589448779</c:v>
                </c:pt>
                <c:pt idx="25">
                  <c:v>-1.7605917786836363</c:v>
                </c:pt>
                <c:pt idx="26">
                  <c:v>-1.8501584987860944</c:v>
                </c:pt>
                <c:pt idx="27">
                  <c:v>-1.9349169689556973</c:v>
                </c:pt>
                <c:pt idx="28">
                  <c:v>-2.0151974440916338</c:v>
                </c:pt>
                <c:pt idx="29">
                  <c:v>-2.0913168386377992</c:v>
                </c:pt>
                <c:pt idx="30">
                  <c:v>-2.1635730622635263</c:v>
                </c:pt>
                <c:pt idx="31">
                  <c:v>-2.2322429669173678</c:v>
                </c:pt>
                <c:pt idx="32">
                  <c:v>-2.2975821604746853</c:v>
                </c:pt>
                <c:pt idx="33">
                  <c:v>-2.3598257629992592</c:v>
                </c:pt>
                <c:pt idx="34">
                  <c:v>-2.4191896140629363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1.96846399442027</c:v>
                </c:pt>
                <c:pt idx="1">
                  <c:v>1.95999624288271</c:v>
                </c:pt>
                <c:pt idx="2">
                  <c:v>1.951013454345389</c:v>
                </c:pt>
                <c:pt idx="3">
                  <c:v>1.9411857973433539</c:v>
                </c:pt>
                <c:pt idx="4">
                  <c:v>1.9301513996310589</c:v>
                </c:pt>
                <c:pt idx="5">
                  <c:v>1.9174810809093892</c:v>
                </c:pt>
                <c:pt idx="6">
                  <c:v>1.9026427104773349</c:v>
                </c:pt>
                <c:pt idx="7">
                  <c:v>1.8849591640521259</c:v>
                </c:pt>
                <c:pt idx="8">
                  <c:v>1.8635604004084279</c:v>
                </c:pt>
                <c:pt idx="9">
                  <c:v>1.837336036528411</c:v>
                </c:pt>
                <c:pt idx="10">
                  <c:v>1.8049076534262141</c:v>
                </c:pt>
                <c:pt idx="11">
                  <c:v>1.7646628972965148</c:v>
                </c:pt>
                <c:pt idx="12">
                  <c:v>1.714921090496063</c:v>
                </c:pt>
                <c:pt idx="13">
                  <c:v>1.6543008867221936</c:v>
                </c:pt>
                <c:pt idx="14">
                  <c:v>1.582268684545491</c:v>
                </c:pt>
                <c:pt idx="15">
                  <c:v>1.4996415811139907</c:v>
                </c:pt>
                <c:pt idx="16">
                  <c:v>1.4086883448187411</c:v>
                </c:pt>
                <c:pt idx="17">
                  <c:v>1.3126861894783972</c:v>
                </c:pt>
                <c:pt idx="18">
                  <c:v>1.2151890790081443</c:v>
                </c:pt>
                <c:pt idx="19">
                  <c:v>1.119386413166807</c:v>
                </c:pt>
                <c:pt idx="20">
                  <c:v>1.0277457876348048</c:v>
                </c:pt>
                <c:pt idx="21">
                  <c:v>0.94192367598563398</c:v>
                </c:pt>
                <c:pt idx="22">
                  <c:v>0.86284014189078651</c:v>
                </c:pt>
                <c:pt idx="23">
                  <c:v>0.79082529597887075</c:v>
                </c:pt>
                <c:pt idx="24">
                  <c:v>0.72578271537268979</c:v>
                </c:pt>
                <c:pt idx="25">
                  <c:v>0.66734037378105859</c:v>
                </c:pt>
                <c:pt idx="26">
                  <c:v>0.61497373154580315</c:v>
                </c:pt>
                <c:pt idx="27">
                  <c:v>0.56809573352423803</c:v>
                </c:pt>
                <c:pt idx="28">
                  <c:v>0.52611593335853069</c:v>
                </c:pt>
                <c:pt idx="29">
                  <c:v>0.48847503114161273</c:v>
                </c:pt>
                <c:pt idx="30">
                  <c:v>0.45466205602837167</c:v>
                </c:pt>
                <c:pt idx="31">
                  <c:v>0.42422047526037548</c:v>
                </c:pt>
                <c:pt idx="32">
                  <c:v>0.39674788571626746</c:v>
                </c:pt>
                <c:pt idx="33">
                  <c:v>0.37189238523572832</c:v>
                </c:pt>
                <c:pt idx="34">
                  <c:v>0.34934751810291897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4A-435F-A87E-33AAD026C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w1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Data'!$O$3:$O$1000</c:f>
              <c:numCache>
                <c:formatCode>0.00</c:formatCode>
                <c:ptCount val="998"/>
                <c:pt idx="0">
                  <c:v>-1.4939236443586075</c:v>
                </c:pt>
                <c:pt idx="1">
                  <c:v>-1.4318917168359824</c:v>
                </c:pt>
                <c:pt idx="2">
                  <c:v>-1.3667582316453935</c:v>
                </c:pt>
                <c:pt idx="3">
                  <c:v>-1.2977380072834999</c:v>
                </c:pt>
                <c:pt idx="4">
                  <c:v>-1.2240119901277393</c:v>
                </c:pt>
                <c:pt idx="5">
                  <c:v>-1.1446565138619695</c:v>
                </c:pt>
                <c:pt idx="6">
                  <c:v>-1.0586080678657246</c:v>
                </c:pt>
                <c:pt idx="7">
                  <c:v>-0.9646259864887905</c:v>
                </c:pt>
                <c:pt idx="8">
                  <c:v>-0.86125703642238371</c:v>
                </c:pt>
                <c:pt idx="9">
                  <c:v>-0.7468110039526118</c:v>
                </c:pt>
                <c:pt idx="10">
                  <c:v>-0.61936672518573899</c:v>
                </c:pt>
                <c:pt idx="11">
                  <c:v>-0.47684441139464095</c:v>
                </c:pt>
                <c:pt idx="12">
                  <c:v>-0.31719951350618519</c:v>
                </c:pt>
                <c:pt idx="13">
                  <c:v>-0.13879823222871238</c:v>
                </c:pt>
                <c:pt idx="14">
                  <c:v>5.9017372633200643E-2</c:v>
                </c:pt>
                <c:pt idx="15">
                  <c:v>0.27531960537984979</c:v>
                </c:pt>
                <c:pt idx="16">
                  <c:v>0.50727601465848715</c:v>
                </c:pt>
                <c:pt idx="17">
                  <c:v>0.75043531003346331</c:v>
                </c:pt>
                <c:pt idx="18">
                  <c:v>0.99955220774113651</c:v>
                </c:pt>
                <c:pt idx="19">
                  <c:v>1.2494986106659414</c:v>
                </c:pt>
                <c:pt idx="20">
                  <c:v>1.4958638632197154</c:v>
                </c:pt>
                <c:pt idx="21">
                  <c:v>1.7351927468864652</c:v>
                </c:pt>
                <c:pt idx="22">
                  <c:v>1.9650098973029624</c:v>
                </c:pt>
                <c:pt idx="23">
                  <c:v>2.1837487850487878</c:v>
                </c:pt>
                <c:pt idx="24">
                  <c:v>2.3906253802050146</c:v>
                </c:pt>
                <c:pt idx="25">
                  <c:v>2.5854731919542546</c:v>
                </c:pt>
                <c:pt idx="26">
                  <c:v>2.7685649839889863</c:v>
                </c:pt>
                <c:pt idx="27">
                  <c:v>2.9404494877291865</c:v>
                </c:pt>
                <c:pt idx="28">
                  <c:v>3.1018216188168823</c:v>
                </c:pt>
                <c:pt idx="29">
                  <c:v>3.2534311551051474</c:v>
                </c:pt>
                <c:pt idx="30">
                  <c:v>3.3960252571428677</c:v>
                </c:pt>
                <c:pt idx="31">
                  <c:v>3.5303163137423272</c:v>
                </c:pt>
                <c:pt idx="32">
                  <c:v>3.6569666538280483</c:v>
                </c:pt>
                <c:pt idx="33">
                  <c:v>3.7765834652763037</c:v>
                </c:pt>
                <c:pt idx="34">
                  <c:v>3.8897193411131679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1.96846399442027</c:v>
                </c:pt>
                <c:pt idx="1">
                  <c:v>1.95999624288271</c:v>
                </c:pt>
                <c:pt idx="2">
                  <c:v>1.951013454345389</c:v>
                </c:pt>
                <c:pt idx="3">
                  <c:v>1.9411857973433539</c:v>
                </c:pt>
                <c:pt idx="4">
                  <c:v>1.9301513996310589</c:v>
                </c:pt>
                <c:pt idx="5">
                  <c:v>1.9174810809093892</c:v>
                </c:pt>
                <c:pt idx="6">
                  <c:v>1.9026427104773349</c:v>
                </c:pt>
                <c:pt idx="7">
                  <c:v>1.8849591640521259</c:v>
                </c:pt>
                <c:pt idx="8">
                  <c:v>1.8635604004084279</c:v>
                </c:pt>
                <c:pt idx="9">
                  <c:v>1.837336036528411</c:v>
                </c:pt>
                <c:pt idx="10">
                  <c:v>1.8049076534262141</c:v>
                </c:pt>
                <c:pt idx="11">
                  <c:v>1.7646628972965148</c:v>
                </c:pt>
                <c:pt idx="12">
                  <c:v>1.714921090496063</c:v>
                </c:pt>
                <c:pt idx="13">
                  <c:v>1.6543008867221936</c:v>
                </c:pt>
                <c:pt idx="14">
                  <c:v>1.582268684545491</c:v>
                </c:pt>
                <c:pt idx="15">
                  <c:v>1.4996415811139907</c:v>
                </c:pt>
                <c:pt idx="16">
                  <c:v>1.4086883448187411</c:v>
                </c:pt>
                <c:pt idx="17">
                  <c:v>1.3126861894783972</c:v>
                </c:pt>
                <c:pt idx="18">
                  <c:v>1.2151890790081443</c:v>
                </c:pt>
                <c:pt idx="19">
                  <c:v>1.119386413166807</c:v>
                </c:pt>
                <c:pt idx="20">
                  <c:v>1.0277457876348048</c:v>
                </c:pt>
                <c:pt idx="21">
                  <c:v>0.94192367598563398</c:v>
                </c:pt>
                <c:pt idx="22">
                  <c:v>0.86284014189078651</c:v>
                </c:pt>
                <c:pt idx="23">
                  <c:v>0.79082529597887075</c:v>
                </c:pt>
                <c:pt idx="24">
                  <c:v>0.72578271537268979</c:v>
                </c:pt>
                <c:pt idx="25">
                  <c:v>0.66734037378105859</c:v>
                </c:pt>
                <c:pt idx="26">
                  <c:v>0.61497373154580315</c:v>
                </c:pt>
                <c:pt idx="27">
                  <c:v>0.56809573352423803</c:v>
                </c:pt>
                <c:pt idx="28">
                  <c:v>0.52611593335853069</c:v>
                </c:pt>
                <c:pt idx="29">
                  <c:v>0.48847503114161273</c:v>
                </c:pt>
                <c:pt idx="30">
                  <c:v>0.45466205602837167</c:v>
                </c:pt>
                <c:pt idx="31">
                  <c:v>0.42422047526037548</c:v>
                </c:pt>
                <c:pt idx="32">
                  <c:v>0.39674788571626746</c:v>
                </c:pt>
                <c:pt idx="33">
                  <c:v>0.37189238523572832</c:v>
                </c:pt>
                <c:pt idx="34">
                  <c:v>0.34934751810291897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36-4C79-B379-A56ACE3A6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b1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Data'!$R$3:$R$1000</c:f>
              <c:numCache>
                <c:formatCode>0.00</c:formatCode>
                <c:ptCount val="998"/>
                <c:pt idx="0">
                  <c:v>-9.625942306813029E-2</c:v>
                </c:pt>
                <c:pt idx="1">
                  <c:v>-7.9462529710451757E-2</c:v>
                </c:pt>
                <c:pt idx="2">
                  <c:v>-5.7641078487100178E-2</c:v>
                </c:pt>
                <c:pt idx="3">
                  <c:v>-3.0323043590844763E-2</c:v>
                </c:pt>
                <c:pt idx="4">
                  <c:v>2.964545000096401E-3</c:v>
                </c:pt>
                <c:pt idx="5">
                  <c:v>4.2793221809033812E-2</c:v>
                </c:pt>
                <c:pt idx="6">
                  <c:v>8.9834351618677005E-2</c:v>
                </c:pt>
                <c:pt idx="7">
                  <c:v>0.14484946266773879</c:v>
                </c:pt>
                <c:pt idx="8">
                  <c:v>0.20865533304758277</c:v>
                </c:pt>
                <c:pt idx="9">
                  <c:v>0.28204074767108667</c:v>
                </c:pt>
                <c:pt idx="10">
                  <c:v>0.36559818382050657</c:v>
                </c:pt>
                <c:pt idx="11">
                  <c:v>0.45942302412443209</c:v>
                </c:pt>
                <c:pt idx="12">
                  <c:v>0.56264887720048695</c:v>
                </c:pt>
                <c:pt idx="13">
                  <c:v>0.67288230589406195</c:v>
                </c:pt>
                <c:pt idx="14">
                  <c:v>0.78582262666703029</c:v>
                </c:pt>
                <c:pt idx="15">
                  <c:v>0.89559050387886763</c:v>
                </c:pt>
                <c:pt idx="16">
                  <c:v>0.99610849784356059</c:v>
                </c:pt>
                <c:pt idx="17">
                  <c:v>1.0830037664827081</c:v>
                </c:pt>
                <c:pt idx="18">
                  <c:v>1.154794905238945</c:v>
                </c:pt>
                <c:pt idx="19">
                  <c:v>1.2126886433844242</c:v>
                </c:pt>
                <c:pt idx="20">
                  <c:v>1.259465773369473</c:v>
                </c:pt>
                <c:pt idx="21">
                  <c:v>1.2983108998790798</c:v>
                </c:pt>
                <c:pt idx="22">
                  <c:v>1.3320482298623406</c:v>
                </c:pt>
                <c:pt idx="23">
                  <c:v>1.3628155111531028</c:v>
                </c:pt>
                <c:pt idx="24">
                  <c:v>1.3920355742956765</c:v>
                </c:pt>
                <c:pt idx="25">
                  <c:v>1.4205385993705011</c:v>
                </c:pt>
                <c:pt idx="26">
                  <c:v>1.4487311399404135</c:v>
                </c:pt>
                <c:pt idx="27">
                  <c:v>1.4767528332400921</c:v>
                </c:pt>
                <c:pt idx="28">
                  <c:v>1.5045962734250451</c:v>
                </c:pt>
                <c:pt idx="29">
                  <c:v>1.532187106408633</c:v>
                </c:pt>
                <c:pt idx="30">
                  <c:v>1.5594315810265849</c:v>
                </c:pt>
                <c:pt idx="31">
                  <c:v>1.5862413601971175</c:v>
                </c:pt>
                <c:pt idx="32">
                  <c:v>1.6125441911967155</c:v>
                </c:pt>
                <c:pt idx="33">
                  <c:v>1.6382866652714934</c:v>
                </c:pt>
                <c:pt idx="34">
                  <c:v>1.6634330629395568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1.96846399442027</c:v>
                </c:pt>
                <c:pt idx="1">
                  <c:v>1.95999624288271</c:v>
                </c:pt>
                <c:pt idx="2">
                  <c:v>1.951013454345389</c:v>
                </c:pt>
                <c:pt idx="3">
                  <c:v>1.9411857973433539</c:v>
                </c:pt>
                <c:pt idx="4">
                  <c:v>1.9301513996310589</c:v>
                </c:pt>
                <c:pt idx="5">
                  <c:v>1.9174810809093892</c:v>
                </c:pt>
                <c:pt idx="6">
                  <c:v>1.9026427104773349</c:v>
                </c:pt>
                <c:pt idx="7">
                  <c:v>1.8849591640521259</c:v>
                </c:pt>
                <c:pt idx="8">
                  <c:v>1.8635604004084279</c:v>
                </c:pt>
                <c:pt idx="9">
                  <c:v>1.837336036528411</c:v>
                </c:pt>
                <c:pt idx="10">
                  <c:v>1.8049076534262141</c:v>
                </c:pt>
                <c:pt idx="11">
                  <c:v>1.7646628972965148</c:v>
                </c:pt>
                <c:pt idx="12">
                  <c:v>1.714921090496063</c:v>
                </c:pt>
                <c:pt idx="13">
                  <c:v>1.6543008867221936</c:v>
                </c:pt>
                <c:pt idx="14">
                  <c:v>1.582268684545491</c:v>
                </c:pt>
                <c:pt idx="15">
                  <c:v>1.4996415811139907</c:v>
                </c:pt>
                <c:pt idx="16">
                  <c:v>1.4086883448187411</c:v>
                </c:pt>
                <c:pt idx="17">
                  <c:v>1.3126861894783972</c:v>
                </c:pt>
                <c:pt idx="18">
                  <c:v>1.2151890790081443</c:v>
                </c:pt>
                <c:pt idx="19">
                  <c:v>1.119386413166807</c:v>
                </c:pt>
                <c:pt idx="20">
                  <c:v>1.0277457876348048</c:v>
                </c:pt>
                <c:pt idx="21">
                  <c:v>0.94192367598563398</c:v>
                </c:pt>
                <c:pt idx="22">
                  <c:v>0.86284014189078651</c:v>
                </c:pt>
                <c:pt idx="23">
                  <c:v>0.79082529597887075</c:v>
                </c:pt>
                <c:pt idx="24">
                  <c:v>0.72578271537268979</c:v>
                </c:pt>
                <c:pt idx="25">
                  <c:v>0.66734037378105859</c:v>
                </c:pt>
                <c:pt idx="26">
                  <c:v>0.61497373154580315</c:v>
                </c:pt>
                <c:pt idx="27">
                  <c:v>0.56809573352423803</c:v>
                </c:pt>
                <c:pt idx="28">
                  <c:v>0.52611593335853069</c:v>
                </c:pt>
                <c:pt idx="29">
                  <c:v>0.48847503114161273</c:v>
                </c:pt>
                <c:pt idx="30">
                  <c:v>0.45466205602837167</c:v>
                </c:pt>
                <c:pt idx="31">
                  <c:v>0.42422047526037548</c:v>
                </c:pt>
                <c:pt idx="32">
                  <c:v>0.39674788571626746</c:v>
                </c:pt>
                <c:pt idx="33">
                  <c:v>0.37189238523572832</c:v>
                </c:pt>
                <c:pt idx="34">
                  <c:v>0.34934751810291897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B0-4916-872D-904AA14BF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>
                <a:solidFill>
                  <a:schemeClr val="tx1"/>
                </a:solidFill>
              </a:rPr>
              <a:t>Classification</a:t>
            </a:r>
            <a:r>
              <a:rPr lang="en-GB" sz="1600" b="1" baseline="0">
                <a:solidFill>
                  <a:schemeClr val="tx1"/>
                </a:solidFill>
              </a:rPr>
              <a:t> Prediction</a:t>
            </a:r>
            <a:endParaRPr lang="en-GB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777777777777776E-2"/>
          <c:y val="7.5009471786415191E-2"/>
          <c:w val="0.85436567206596636"/>
          <c:h val="0.81986803370068861"/>
        </c:manualLayout>
      </c:layout>
      <c:surfaceChart>
        <c:wireframe val="0"/>
        <c:ser>
          <c:idx val="0"/>
          <c:order val="0"/>
          <c:tx>
            <c:v>1</c:v>
          </c:tx>
          <c:spPr>
            <a:solidFill>
              <a:schemeClr val="accent1">
                <a:tint val="37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Page'!$D$109:$X$109</c:f>
              <c:numCache>
                <c:formatCode>0.00</c:formatCode>
                <c:ptCount val="21"/>
                <c:pt idx="0">
                  <c:v>0.10217778882520712</c:v>
                </c:pt>
                <c:pt idx="1">
                  <c:v>0.10314276865510509</c:v>
                </c:pt>
                <c:pt idx="2">
                  <c:v>0.10432058212348129</c:v>
                </c:pt>
                <c:pt idx="3">
                  <c:v>0.10575955324290309</c:v>
                </c:pt>
                <c:pt idx="4">
                  <c:v>0.1075195808619086</c:v>
                </c:pt>
                <c:pt idx="5">
                  <c:v>0.10967515229880002</c:v>
                </c:pt>
                <c:pt idx="6">
                  <c:v>0.11231922011116302</c:v>
                </c:pt>
                <c:pt idx="7">
                  <c:v>0.11556820015623906</c:v>
                </c:pt>
                <c:pt idx="8">
                  <c:v>0.11956841345965638</c:v>
                </c:pt>
                <c:pt idx="9">
                  <c:v>0.12450435477095299</c:v>
                </c:pt>
                <c:pt idx="10">
                  <c:v>0.13060919926373382</c:v>
                </c:pt>
                <c:pt idx="11">
                  <c:v>0.1381778950308786</c:v>
                </c:pt>
                <c:pt idx="12">
                  <c:v>0.14758291168666501</c:v>
                </c:pt>
                <c:pt idx="13">
                  <c:v>0.15929200050082679</c:v>
                </c:pt>
                <c:pt idx="14">
                  <c:v>0.17388579142047411</c:v>
                </c:pt>
                <c:pt idx="15">
                  <c:v>0.19207015486200665</c:v>
                </c:pt>
                <c:pt idx="16">
                  <c:v>0.21467339259398757</c:v>
                </c:pt>
                <c:pt idx="17">
                  <c:v>0.24261139671835208</c:v>
                </c:pt>
                <c:pt idx="18">
                  <c:v>0.27679673054885173</c:v>
                </c:pt>
                <c:pt idx="19">
                  <c:v>0.31796622632921623</c:v>
                </c:pt>
                <c:pt idx="20">
                  <c:v>0.36641828788595543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A-409E-ACA0-35967F0E06E2}"/>
            </c:ext>
          </c:extLst>
        </c:ser>
        <c:ser>
          <c:idx val="1"/>
          <c:order val="1"/>
          <c:tx>
            <c:v>0.95</c:v>
          </c:tx>
          <c:spPr>
            <a:solidFill>
              <a:schemeClr val="accent1">
                <a:tint val="43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Page'!$D$110:$X$110</c:f>
              <c:numCache>
                <c:formatCode>0.00</c:formatCode>
                <c:ptCount val="21"/>
                <c:pt idx="0">
                  <c:v>0.10315216157151424</c:v>
                </c:pt>
                <c:pt idx="1">
                  <c:v>0.10433205178637213</c:v>
                </c:pt>
                <c:pt idx="2">
                  <c:v>0.10577357340071956</c:v>
                </c:pt>
                <c:pt idx="3">
                  <c:v>0.10753673963701997</c:v>
                </c:pt>
                <c:pt idx="4">
                  <c:v>0.10969618226855329</c:v>
                </c:pt>
                <c:pt idx="5">
                  <c:v>0.11234503705787074</c:v>
                </c:pt>
                <c:pt idx="6">
                  <c:v>0.11559995304347477</c:v>
                </c:pt>
                <c:pt idx="7">
                  <c:v>0.11960754876722701</c:v>
                </c:pt>
                <c:pt idx="8">
                  <c:v>0.12455269877073186</c:v>
                </c:pt>
                <c:pt idx="9">
                  <c:v>0.13066906178314736</c:v>
                </c:pt>
                <c:pt idx="10">
                  <c:v>0.13825219697765712</c:v>
                </c:pt>
                <c:pt idx="11">
                  <c:v>0.14767533464443178</c:v>
                </c:pt>
                <c:pt idx="12">
                  <c:v>0.15940714746300436</c:v>
                </c:pt>
                <c:pt idx="13">
                  <c:v>0.17402932907668914</c:v>
                </c:pt>
                <c:pt idx="14">
                  <c:v>0.19224887431918986</c:v>
                </c:pt>
                <c:pt idx="15">
                  <c:v>0.21489507266487182</c:v>
                </c:pt>
                <c:pt idx="16">
                  <c:v>0.24288428667989029</c:v>
                </c:pt>
                <c:pt idx="17">
                  <c:v>0.27712841852743136</c:v>
                </c:pt>
                <c:pt idx="18">
                  <c:v>0.31836170541633552</c:v>
                </c:pt>
                <c:pt idx="19">
                  <c:v>0.36687730351563924</c:v>
                </c:pt>
                <c:pt idx="20">
                  <c:v>0.42221356646344282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A-409E-ACA0-35967F0E06E2}"/>
            </c:ext>
          </c:extLst>
        </c:ser>
        <c:ser>
          <c:idx val="2"/>
          <c:order val="2"/>
          <c:tx>
            <c:v>0.9</c:v>
          </c:tx>
          <c:spPr>
            <a:solidFill>
              <a:schemeClr val="accent1">
                <a:tint val="50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Page'!$D$111:$X$111</c:f>
              <c:numCache>
                <c:formatCode>0.00</c:formatCode>
                <c:ptCount val="21"/>
                <c:pt idx="0">
                  <c:v>0.10434354172151471</c:v>
                </c:pt>
                <c:pt idx="1">
                  <c:v>0.10578761847856362</c:v>
                </c:pt>
                <c:pt idx="2">
                  <c:v>0.10755392911125027</c:v>
                </c:pt>
                <c:pt idx="3">
                  <c:v>0.10971725014832993</c:v>
                </c:pt>
                <c:pt idx="4">
                  <c:v>0.11237090094479206</c:v>
                </c:pt>
                <c:pt idx="5">
                  <c:v>0.11563176421998796</c:v>
                </c:pt>
                <c:pt idx="6">
                  <c:v>0.11964675667370726</c:v>
                </c:pt>
                <c:pt idx="7">
                  <c:v>0.12460113345597258</c:v>
                </c:pt>
                <c:pt idx="8">
                  <c:v>0.13072903787074636</c:v>
                </c:pt>
                <c:pt idx="9">
                  <c:v>0.13832664140154366</c:v>
                </c:pt>
                <c:pt idx="10">
                  <c:v>0.1477679364095269</c:v>
                </c:pt>
                <c:pt idx="11">
                  <c:v>0.15952251838243242</c:v>
                </c:pt>
                <c:pt idx="12">
                  <c:v>0.17417314567751671</c:v>
                </c:pt>
                <c:pt idx="13">
                  <c:v>0.19242793742087871</c:v>
                </c:pt>
                <c:pt idx="14">
                  <c:v>0.21511716821382368</c:v>
                </c:pt>
                <c:pt idx="15">
                  <c:v>0.24315766414761211</c:v>
                </c:pt>
                <c:pt idx="16">
                  <c:v>0.27746065284959998</c:v>
                </c:pt>
                <c:pt idx="17">
                  <c:v>0.31875775578022703</c:v>
                </c:pt>
                <c:pt idx="18">
                  <c:v>0.36733685629142199</c:v>
                </c:pt>
                <c:pt idx="19">
                  <c:v>0.42272833155112483</c:v>
                </c:pt>
                <c:pt idx="20">
                  <c:v>0.48345829173205496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A-409E-ACA0-35967F0E06E2}"/>
            </c:ext>
          </c:extLst>
        </c:ser>
        <c:ser>
          <c:idx val="3"/>
          <c:order val="3"/>
          <c:tx>
            <c:v>0.85</c:v>
          </c:tx>
          <c:spPr>
            <a:solidFill>
              <a:schemeClr val="accent1">
                <a:tint val="56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Page'!$D$112:$X$112</c:f>
              <c:numCache>
                <c:formatCode>0.00</c:formatCode>
                <c:ptCount val="21"/>
                <c:pt idx="0">
                  <c:v>0.10580168852206741</c:v>
                </c:pt>
                <c:pt idx="1">
                  <c:v>0.10757114934143321</c:v>
                </c:pt>
                <c:pt idx="2">
                  <c:v>0.10973835600916915</c:v>
                </c:pt>
                <c:pt idx="3">
                  <c:v>0.11239681186104657</c:v>
                </c:pt>
                <c:pt idx="4">
                  <c:v>0.11566363379796908</c:v>
                </c:pt>
                <c:pt idx="5">
                  <c:v>0.11968603732074699</c:v>
                </c:pt>
                <c:pt idx="6">
                  <c:v>0.12464965900585287</c:v>
                </c:pt>
                <c:pt idx="7">
                  <c:v>0.13078912775317722</c:v>
                </c:pt>
                <c:pt idx="8">
                  <c:v>0.13840122858836373</c:v>
                </c:pt>
                <c:pt idx="9">
                  <c:v>0.14786071733963554</c:v>
                </c:pt>
                <c:pt idx="10">
                  <c:v>0.15963811370008546</c:v>
                </c:pt>
                <c:pt idx="11">
                  <c:v>0.17431724175259272</c:v>
                </c:pt>
                <c:pt idx="12">
                  <c:v>0.19260734477574565</c:v>
                </c:pt>
                <c:pt idx="13">
                  <c:v>0.21533967988957897</c:v>
                </c:pt>
                <c:pt idx="14">
                  <c:v>0.2434315297232196</c:v>
                </c:pt>
                <c:pt idx="15">
                  <c:v>0.27779343391879707</c:v>
                </c:pt>
                <c:pt idx="16">
                  <c:v>0.31915437741526392</c:v>
                </c:pt>
                <c:pt idx="17">
                  <c:v>0.3677969455791073</c:v>
                </c:pt>
                <c:pt idx="18">
                  <c:v>0.42324351870957361</c:v>
                </c:pt>
                <c:pt idx="19">
                  <c:v>0.4840108370097852</c:v>
                </c:pt>
                <c:pt idx="20">
                  <c:v>0.54760446191589596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A-409E-ACA0-35967F0E06E2}"/>
            </c:ext>
          </c:extLst>
        </c:ser>
        <c:ser>
          <c:idx val="4"/>
          <c:order val="4"/>
          <c:tx>
            <c:v>0.8</c:v>
          </c:tx>
          <c:spPr>
            <a:solidFill>
              <a:schemeClr val="accent1">
                <a:tint val="62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Page'!$D$113:$X$113</c:f>
              <c:numCache>
                <c:formatCode>0.00</c:formatCode>
                <c:ptCount val="21"/>
                <c:pt idx="0">
                  <c:v>0.10758840038451362</c:v>
                </c:pt>
                <c:pt idx="1">
                  <c:v>0.10975949992225113</c:v>
                </c:pt>
                <c:pt idx="2">
                  <c:v>0.11242276989593368</c:v>
                </c:pt>
                <c:pt idx="3">
                  <c:v>0.11569556188983847</c:v>
                </c:pt>
                <c:pt idx="4">
                  <c:v>0.11972539085028903</c:v>
                </c:pt>
                <c:pt idx="5">
                  <c:v>0.12469827559992272</c:v>
                </c:pt>
                <c:pt idx="6">
                  <c:v>0.13084933165755455</c:v>
                </c:pt>
                <c:pt idx="7">
                  <c:v>0.13847595882452055</c:v>
                </c:pt>
                <c:pt idx="8">
                  <c:v>0.14795367779313168</c:v>
                </c:pt>
                <c:pt idx="9">
                  <c:v>0.15975393385771039</c:v>
                </c:pt>
                <c:pt idx="10">
                  <c:v>0.17446161783232281</c:v>
                </c:pt>
                <c:pt idx="11">
                  <c:v>0.19278709699304264</c:v>
                </c:pt>
                <c:pt idx="12">
                  <c:v>0.21556260834092503</c:v>
                </c:pt>
                <c:pt idx="13">
                  <c:v>0.2437058840074271</c:v>
                </c:pt>
                <c:pt idx="14">
                  <c:v>0.27812676213584359</c:v>
                </c:pt>
                <c:pt idx="15">
                  <c:v>0.31955157031118309</c:v>
                </c:pt>
                <c:pt idx="16">
                  <c:v>0.36825757073817683</c:v>
                </c:pt>
                <c:pt idx="17">
                  <c:v>0.42375912655029568</c:v>
                </c:pt>
                <c:pt idx="18">
                  <c:v>0.48456360663239323</c:v>
                </c:pt>
                <c:pt idx="19">
                  <c:v>0.54816868127715923</c:v>
                </c:pt>
                <c:pt idx="20">
                  <c:v>0.61141956658254015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A-409E-ACA0-35967F0E06E2}"/>
            </c:ext>
          </c:extLst>
        </c:ser>
        <c:ser>
          <c:idx val="5"/>
          <c:order val="5"/>
          <c:tx>
            <c:v>0.75</c:v>
          </c:tx>
          <c:spPr>
            <a:solidFill>
              <a:schemeClr val="accent1">
                <a:tint val="69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Page'!$D$114:$X$114</c:f>
              <c:numCache>
                <c:formatCode>0.00</c:formatCode>
                <c:ptCount val="21"/>
                <c:pt idx="0">
                  <c:v>0.10978068195889759</c:v>
                </c:pt>
                <c:pt idx="1">
                  <c:v>0.11244877513893288</c:v>
                </c:pt>
                <c:pt idx="2">
                  <c:v>0.11572754860824641</c:v>
                </c:pt>
                <c:pt idx="3">
                  <c:v>0.11976481740456991</c:v>
                </c:pt>
                <c:pt idx="4">
                  <c:v>0.12474698341810533</c:v>
                </c:pt>
                <c:pt idx="5">
                  <c:v>0.13090964981146253</c:v>
                </c:pt>
                <c:pt idx="6">
                  <c:v>0.13855083239699642</c:v>
                </c:pt>
                <c:pt idx="7">
                  <c:v>0.14804681812907924</c:v>
                </c:pt>
                <c:pt idx="8">
                  <c:v>0.15986997929782704</c:v>
                </c:pt>
                <c:pt idx="9">
                  <c:v>0.17460627444788224</c:v>
                </c:pt>
                <c:pt idx="10">
                  <c:v>0.1929671946825984</c:v>
                </c:pt>
                <c:pt idx="11">
                  <c:v>0.21578595421669311</c:v>
                </c:pt>
                <c:pt idx="12">
                  <c:v>0.24398072759995063</c:v>
                </c:pt>
                <c:pt idx="13">
                  <c:v>0.27846063789892428</c:v>
                </c:pt>
                <c:pt idx="14">
                  <c:v>0.31994933445306872</c:v>
                </c:pt>
                <c:pt idx="15">
                  <c:v>0.36871873112178111</c:v>
                </c:pt>
                <c:pt idx="16">
                  <c:v>0.42427515367828167</c:v>
                </c:pt>
                <c:pt idx="17">
                  <c:v>0.48511659856833184</c:v>
                </c:pt>
                <c:pt idx="18">
                  <c:v>0.54873287314349217</c:v>
                </c:pt>
                <c:pt idx="19">
                  <c:v>0.61196605161407003</c:v>
                </c:pt>
                <c:pt idx="20">
                  <c:v>0.67166050578033609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A-409E-ACA0-35967F0E06E2}"/>
            </c:ext>
          </c:extLst>
        </c:ser>
        <c:ser>
          <c:idx val="6"/>
          <c:order val="6"/>
          <c:tx>
            <c:v>0.7</c:v>
          </c:tx>
          <c:spPr>
            <a:solidFill>
              <a:schemeClr val="accent1">
                <a:tint val="75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Page'!$D$115:$X$115</c:f>
              <c:numCache>
                <c:formatCode>0.00</c:formatCode>
                <c:ptCount val="21"/>
                <c:pt idx="0">
                  <c:v>0.11247482767970424</c:v>
                </c:pt>
                <c:pt idx="1">
                  <c:v>0.11575959406607386</c:v>
                </c:pt>
                <c:pt idx="2">
                  <c:v>0.11980431712612048</c:v>
                </c:pt>
                <c:pt idx="3">
                  <c:v>0.12479578264069781</c:v>
                </c:pt>
                <c:pt idx="4">
                  <c:v>0.13097008244295535</c:v>
                </c:pt>
                <c:pt idx="5">
                  <c:v>0.13862584959335356</c:v>
                </c:pt>
                <c:pt idx="6">
                  <c:v>0.14814013870723292</c:v>
                </c:pt>
                <c:pt idx="7">
                  <c:v>0.15998625046372858</c:v>
                </c:pt>
                <c:pt idx="8">
                  <c:v>0.17475121213121489</c:v>
                </c:pt>
                <c:pt idx="9">
                  <c:v>0.19314763845481608</c:v>
                </c:pt>
                <c:pt idx="10">
                  <c:v>0.21600971816575235</c:v>
                </c:pt>
                <c:pt idx="11">
                  <c:v>0.24425606109949544</c:v>
                </c:pt>
                <c:pt idx="12">
                  <c:v>0.27879506160357265</c:v>
                </c:pt>
                <c:pt idx="13">
                  <c:v>0.3203476698213325</c:v>
                </c:pt>
                <c:pt idx="14">
                  <c:v>0.36918042607672996</c:v>
                </c:pt>
                <c:pt idx="15">
                  <c:v>0.42479159869201527</c:v>
                </c:pt>
                <c:pt idx="16">
                  <c:v>0.48566981078177013</c:v>
                </c:pt>
                <c:pt idx="17">
                  <c:v>0.54929703522318651</c:v>
                </c:pt>
                <c:pt idx="18">
                  <c:v>0.61251225682003996</c:v>
                </c:pt>
                <c:pt idx="19">
                  <c:v>0.67216306385160274</c:v>
                </c:pt>
                <c:pt idx="20">
                  <c:v>0.7257740789332281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BA-409E-ACA0-35967F0E06E2}"/>
            </c:ext>
          </c:extLst>
        </c:ser>
        <c:ser>
          <c:idx val="7"/>
          <c:order val="7"/>
          <c:tx>
            <c:v>0.65</c:v>
          </c:tx>
          <c:spPr>
            <a:solidFill>
              <a:schemeClr val="accent1">
                <a:tint val="81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Page'!$D$116:$X$116</c:f>
              <c:numCache>
                <c:formatCode>0.00</c:formatCode>
                <c:ptCount val="21"/>
                <c:pt idx="0">
                  <c:v>0.11579169837643273</c:v>
                </c:pt>
                <c:pt idx="1">
                  <c:v>0.11984389015776648</c:v>
                </c:pt>
                <c:pt idx="2">
                  <c:v>0.12484467344837182</c:v>
                </c:pt>
                <c:pt idx="3">
                  <c:v>0.13103062978055843</c:v>
                </c:pt>
                <c:pt idx="4">
                  <c:v>0.13870101070173507</c:v>
                </c:pt>
                <c:pt idx="5">
                  <c:v>0.14823363988803909</c:v>
                </c:pt>
                <c:pt idx="6">
                  <c:v>0.16010274779948194</c:v>
                </c:pt>
                <c:pt idx="7">
                  <c:v>0.17489643141503242</c:v>
                </c:pt>
                <c:pt idx="8">
                  <c:v>0.1933284289206694</c:v>
                </c:pt>
                <c:pt idx="9">
                  <c:v>0.21623390083700289</c:v>
                </c:pt>
                <c:pt idx="10">
                  <c:v>0.24453188510374402</c:v>
                </c:pt>
                <c:pt idx="11">
                  <c:v>0.27913003364265226</c:v>
                </c:pt>
                <c:pt idx="12">
                  <c:v>0.32074657639169762</c:v>
                </c:pt>
                <c:pt idx="13">
                  <c:v>0.36964265494348159</c:v>
                </c:pt>
                <c:pt idx="14">
                  <c:v>0.42530846018348206</c:v>
                </c:pt>
                <c:pt idx="15">
                  <c:v>0.48622324123262406</c:v>
                </c:pt>
                <c:pt idx="16">
                  <c:v>0.54986116522452144</c:v>
                </c:pt>
                <c:pt idx="17">
                  <c:v>0.61305818016803271</c:v>
                </c:pt>
                <c:pt idx="18">
                  <c:v>0.67266514491302654</c:v>
                </c:pt>
                <c:pt idx="19">
                  <c:v>0.72621495863537289</c:v>
                </c:pt>
                <c:pt idx="20">
                  <c:v>0.77231216971663397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BA-409E-ACA0-35967F0E06E2}"/>
            </c:ext>
          </c:extLst>
        </c:ser>
        <c:ser>
          <c:idx val="8"/>
          <c:order val="8"/>
          <c:tx>
            <c:v>0.6</c:v>
          </c:tx>
          <c:spPr>
            <a:solidFill>
              <a:schemeClr val="accent1">
                <a:tint val="88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Page'!$D$117:$X$117</c:f>
              <c:numCache>
                <c:formatCode>0.00</c:formatCode>
                <c:ptCount val="21"/>
                <c:pt idx="0">
                  <c:v>0.11988353664262912</c:v>
                </c:pt>
                <c:pt idx="1">
                  <c:v>0.12489365602217467</c:v>
                </c:pt>
                <c:pt idx="2">
                  <c:v>0.13109129205326939</c:v>
                </c:pt>
                <c:pt idx="3">
                  <c:v>0.13877631601086607</c:v>
                </c:pt>
                <c:pt idx="4">
                  <c:v>0.14832732203263682</c:v>
                </c:pt>
                <c:pt idx="5">
                  <c:v>0.16021947174992848</c:v>
                </c:pt>
                <c:pt idx="6">
                  <c:v>0.17504193283281388</c:v>
                </c:pt>
                <c:pt idx="7">
                  <c:v>0.19350956669170036</c:v>
                </c:pt>
                <c:pt idx="8">
                  <c:v>0.21645850287936888</c:v>
                </c:pt>
                <c:pt idx="9">
                  <c:v>0.24480820020934527</c:v>
                </c:pt>
                <c:pt idx="10">
                  <c:v>0.27946555440634124</c:v>
                </c:pt>
                <c:pt idx="11">
                  <c:v>0.32114605413518027</c:v>
                </c:pt>
                <c:pt idx="12">
                  <c:v>0.37010541705613437</c:v>
                </c:pt>
                <c:pt idx="13">
                  <c:v>0.42582573673817742</c:v>
                </c:pt>
                <c:pt idx="14">
                  <c:v>0.48677688787658885</c:v>
                </c:pt>
                <c:pt idx="15">
                  <c:v>0.55042526085580656</c:v>
                </c:pt>
                <c:pt idx="16">
                  <c:v>0.61360381963004196</c:v>
                </c:pt>
                <c:pt idx="17">
                  <c:v>0.67316674760360851</c:v>
                </c:pt>
                <c:pt idx="18">
                  <c:v>0.72665525152769594</c:v>
                </c:pt>
                <c:pt idx="19">
                  <c:v>0.77268388764348039</c:v>
                </c:pt>
                <c:pt idx="20">
                  <c:v>0.81094246654826407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BA-409E-ACA0-35967F0E06E2}"/>
            </c:ext>
          </c:extLst>
        </c:ser>
        <c:ser>
          <c:idx val="9"/>
          <c:order val="9"/>
          <c:tx>
            <c:v>0.55</c:v>
          </c:tx>
          <c:spPr>
            <a:solidFill>
              <a:schemeClr val="accent1">
                <a:tint val="94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Page'!$D$118:$X$118</c:f>
              <c:numCache>
                <c:formatCode>0.00</c:formatCode>
                <c:ptCount val="21"/>
                <c:pt idx="0">
                  <c:v>0.12494273054352985</c:v>
                </c:pt>
                <c:pt idx="1">
                  <c:v>0.13115206949055866</c:v>
                </c:pt>
                <c:pt idx="2">
                  <c:v>0.13885176581005457</c:v>
                </c:pt>
                <c:pt idx="3">
                  <c:v>0.14842118550285871</c:v>
                </c:pt>
                <c:pt idx="4">
                  <c:v>0.16033642276068419</c:v>
                </c:pt>
                <c:pt idx="5">
                  <c:v>0.17518771691880483</c:v>
                </c:pt>
                <c:pt idx="6">
                  <c:v>0.19369105238001535</c:v>
                </c:pt>
                <c:pt idx="7">
                  <c:v>0.21668352494179152</c:v>
                </c:pt>
                <c:pt idx="8">
                  <c:v>0.24508500701190078</c:v>
                </c:pt>
                <c:pt idx="9">
                  <c:v>0.27980162428211491</c:v>
                </c:pt>
                <c:pt idx="10">
                  <c:v>0.32154610301807135</c:v>
                </c:pt>
                <c:pt idx="11">
                  <c:v>0.37056871174241562</c:v>
                </c:pt>
                <c:pt idx="12">
                  <c:v>0.42634342693511623</c:v>
                </c:pt>
                <c:pt idx="13">
                  <c:v>0.48733074866516635</c:v>
                </c:pt>
                <c:pt idx="14">
                  <c:v>0.5509893198254231</c:v>
                </c:pt>
                <c:pt idx="15">
                  <c:v>0.61414917318250684</c:v>
                </c:pt>
                <c:pt idx="16">
                  <c:v>0.67366787056926181</c:v>
                </c:pt>
                <c:pt idx="17">
                  <c:v>0.72709495705621241</c:v>
                </c:pt>
                <c:pt idx="18">
                  <c:v>0.77305499603988026</c:v>
                </c:pt>
                <c:pt idx="19">
                  <c:v>0.81124632790333906</c:v>
                </c:pt>
                <c:pt idx="20">
                  <c:v>0.84216630619817157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7BA-409E-ACA0-35967F0E06E2}"/>
            </c:ext>
          </c:extLst>
        </c:ser>
        <c:ser>
          <c:idx val="10"/>
          <c:order val="10"/>
          <c:tx>
            <c:v>0.5</c:v>
          </c:tx>
          <c:spPr>
            <a:solidFill>
              <a:schemeClr val="accent1"/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Page'!$D$119:$X$119</c:f>
              <c:numCache>
                <c:formatCode>0.00</c:formatCode>
                <c:ptCount val="21"/>
                <c:pt idx="0">
                  <c:v>0.13121296232237073</c:v>
                </c:pt>
                <c:pt idx="1">
                  <c:v>0.13892736038919262</c:v>
                </c:pt>
                <c:pt idx="2">
                  <c:v>0.14851523066123168</c:v>
                </c:pt>
                <c:pt idx="3">
                  <c:v>0.16045360127814018</c:v>
                </c:pt>
                <c:pt idx="4">
                  <c:v>0.17533378420801662</c:v>
                </c:pt>
                <c:pt idx="5">
                  <c:v>0.19387288659828342</c:v>
                </c:pt>
                <c:pt idx="6">
                  <c:v>0.21690896767322243</c:v>
                </c:pt>
                <c:pt idx="7">
                  <c:v>0.24536230610595408</c:v>
                </c:pt>
                <c:pt idx="8">
                  <c:v>0.28013824365472911</c:v>
                </c:pt>
                <c:pt idx="9">
                  <c:v>0.32194672300192068</c:v>
                </c:pt>
                <c:pt idx="10">
                  <c:v>0.37103253832367278</c:v>
                </c:pt>
                <c:pt idx="11">
                  <c:v>0.42686152934684174</c:v>
                </c:pt>
                <c:pt idx="12">
                  <c:v>0.48788482154569984</c:v>
                </c:pt>
                <c:pt idx="13">
                  <c:v>0.55155333984186472</c:v>
                </c:pt>
                <c:pt idx="14">
                  <c:v>0.61469423880634422</c:v>
                </c:pt>
                <c:pt idx="15">
                  <c:v>0.6741685124628235</c:v>
                </c:pt>
                <c:pt idx="16">
                  <c:v>0.72753407467373055</c:v>
                </c:pt>
                <c:pt idx="17">
                  <c:v>0.77342549503209779</c:v>
                </c:pt>
                <c:pt idx="18">
                  <c:v>0.81154962097076933</c:v>
                </c:pt>
                <c:pt idx="19">
                  <c:v>0.84240925509707643</c:v>
                </c:pt>
                <c:pt idx="20">
                  <c:v>0.8669463733468693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BA-409E-ACA0-35967F0E06E2}"/>
            </c:ext>
          </c:extLst>
        </c:ser>
        <c:ser>
          <c:idx val="11"/>
          <c:order val="11"/>
          <c:tx>
            <c:v>0.45</c:v>
          </c:tx>
          <c:spPr>
            <a:solidFill>
              <a:schemeClr val="accent1">
                <a:shade val="93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Page'!$D$120:$X$120</c:f>
              <c:numCache>
                <c:formatCode>0.00</c:formatCode>
                <c:ptCount val="21"/>
                <c:pt idx="0">
                  <c:v>0.13900310003875707</c:v>
                </c:pt>
                <c:pt idx="1">
                  <c:v>0.1486094578709781</c:v>
                </c:pt>
                <c:pt idx="2">
                  <c:v>0.16057100774946317</c:v>
                </c:pt>
                <c:pt idx="3">
                  <c:v>0.17548013523622549</c:v>
                </c:pt>
                <c:pt idx="4">
                  <c:v>0.19405506995973162</c:v>
                </c:pt>
                <c:pt idx="5">
                  <c:v>0.21713483172261686</c:v>
                </c:pt>
                <c:pt idx="6">
                  <c:v>0.24564009808497766</c:v>
                </c:pt>
                <c:pt idx="7">
                  <c:v>0.2804754129062027</c:v>
                </c:pt>
                <c:pt idx="8">
                  <c:v>0.32234791404351715</c:v>
                </c:pt>
                <c:pt idx="9">
                  <c:v>0.37149689611486481</c:v>
                </c:pt>
                <c:pt idx="10">
                  <c:v>0.42738004253943401</c:v>
                </c:pt>
                <c:pt idx="11">
                  <c:v>0.48843910446140132</c:v>
                </c:pt>
                <c:pt idx="12">
                  <c:v>0.55211731861378022</c:v>
                </c:pt>
                <c:pt idx="13">
                  <c:v>0.61523901448697982</c:v>
                </c:pt>
                <c:pt idx="14">
                  <c:v>0.67466867194406388</c:v>
                </c:pt>
                <c:pt idx="15">
                  <c:v>0.7279726038398423</c:v>
                </c:pt>
                <c:pt idx="16">
                  <c:v>0.77379538475129839</c:v>
                </c:pt>
                <c:pt idx="17">
                  <c:v>0.81185234630447944</c:v>
                </c:pt>
                <c:pt idx="18">
                  <c:v>0.84265171148440643</c:v>
                </c:pt>
                <c:pt idx="19">
                  <c:v>0.86713785742359983</c:v>
                </c:pt>
                <c:pt idx="20">
                  <c:v>0.88639464945321111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7BA-409E-ACA0-35967F0E06E2}"/>
            </c:ext>
          </c:extLst>
        </c:ser>
        <c:ser>
          <c:idx val="12"/>
          <c:order val="12"/>
          <c:tx>
            <c:v>0.4</c:v>
          </c:tx>
          <c:spPr>
            <a:solidFill>
              <a:schemeClr val="accent1">
                <a:shade val="87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Page'!$D$121:$X$121</c:f>
              <c:numCache>
                <c:formatCode>0.00</c:formatCode>
                <c:ptCount val="21"/>
                <c:pt idx="0">
                  <c:v>0.14870386749601652</c:v>
                </c:pt>
                <c:pt idx="1">
                  <c:v>0.16068864262259591</c:v>
                </c:pt>
                <c:pt idx="2">
                  <c:v>0.17562677053997208</c:v>
                </c:pt>
                <c:pt idx="3">
                  <c:v>0.19423760307814317</c:v>
                </c:pt>
                <c:pt idx="4">
                  <c:v>0.21736111773892602</c:v>
                </c:pt>
                <c:pt idx="5">
                  <c:v>0.24591838354136186</c:v>
                </c:pt>
                <c:pt idx="6">
                  <c:v>0.28081313241580114</c:v>
                </c:pt>
                <c:pt idx="7">
                  <c:v>0.32274967609487287</c:v>
                </c:pt>
                <c:pt idx="8">
                  <c:v>0.37196178442455191</c:v>
                </c:pt>
                <c:pt idx="9">
                  <c:v>0.42789896507252162</c:v>
                </c:pt>
                <c:pt idx="10">
                  <c:v>0.48899359535138437</c:v>
                </c:pt>
                <c:pt idx="11">
                  <c:v>0.55268125385001321</c:v>
                </c:pt>
                <c:pt idx="12">
                  <c:v>0.6157834982143815</c:v>
                </c:pt>
                <c:pt idx="13">
                  <c:v>0.67516834767969547</c:v>
                </c:pt>
                <c:pt idx="14">
                  <c:v>0.72841054402091243</c:v>
                </c:pt>
                <c:pt idx="15">
                  <c:v>0.77416466533352901</c:v>
                </c:pt>
                <c:pt idx="16">
                  <c:v>0.81215450446097215</c:v>
                </c:pt>
                <c:pt idx="17">
                  <c:v>0.8428936760971385</c:v>
                </c:pt>
                <c:pt idx="18">
                  <c:v>0.86732893521569687</c:v>
                </c:pt>
                <c:pt idx="19">
                  <c:v>0.88654438012169567</c:v>
                </c:pt>
                <c:pt idx="20">
                  <c:v>0.90157494628505608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7BA-409E-ACA0-35967F0E06E2}"/>
            </c:ext>
          </c:extLst>
        </c:ser>
        <c:ser>
          <c:idx val="13"/>
          <c:order val="13"/>
          <c:tx>
            <c:v>0.35</c:v>
          </c:tx>
          <c:spPr>
            <a:solidFill>
              <a:schemeClr val="accent1">
                <a:shade val="80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Page'!$D$122:$X$122</c:f>
              <c:numCache>
                <c:formatCode>0.00</c:formatCode>
                <c:ptCount val="21"/>
                <c:pt idx="0">
                  <c:v>0.16080650634625751</c:v>
                </c:pt>
                <c:pt idx="1">
                  <c:v>0.17577369065656046</c:v>
                </c:pt>
                <c:pt idx="2">
                  <c:v>0.19442048656785357</c:v>
                </c:pt>
                <c:pt idx="3">
                  <c:v>0.21758782637109073</c:v>
                </c:pt>
                <c:pt idx="4">
                  <c:v>0.24619716306640141</c:v>
                </c:pt>
                <c:pt idx="5">
                  <c:v>0.28115140256001947</c:v>
                </c:pt>
                <c:pt idx="6">
                  <c:v>0.32315200910320396</c:v>
                </c:pt>
                <c:pt idx="7">
                  <c:v>0.37242720255488704</c:v>
                </c:pt>
                <c:pt idx="8">
                  <c:v>0.428418295499289</c:v>
                </c:pt>
                <c:pt idx="9">
                  <c:v>0.48954829215069662</c:v>
                </c:pt>
                <c:pt idx="10">
                  <c:v>0.55324514325964524</c:v>
                </c:pt>
                <c:pt idx="11">
                  <c:v>0.61632768798309012</c:v>
                </c:pt>
                <c:pt idx="12">
                  <c:v>0.67566753834338311</c:v>
                </c:pt>
                <c:pt idx="13">
                  <c:v>0.7288478946900665</c:v>
                </c:pt>
                <c:pt idx="14">
                  <c:v>0.77453333691969972</c:v>
                </c:pt>
                <c:pt idx="15">
                  <c:v>0.81245609599930879</c:v>
                </c:pt>
                <c:pt idx="16">
                  <c:v>0.84313514967297143</c:v>
                </c:pt>
                <c:pt idx="17">
                  <c:v>0.86751960747242673</c:v>
                </c:pt>
                <c:pt idx="18">
                  <c:v>0.88669378628751339</c:v>
                </c:pt>
                <c:pt idx="19">
                  <c:v>0.90169167098293168</c:v>
                </c:pt>
                <c:pt idx="20">
                  <c:v>0.91340840812196233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7BA-409E-ACA0-35967F0E06E2}"/>
            </c:ext>
          </c:extLst>
        </c:ser>
        <c:ser>
          <c:idx val="14"/>
          <c:order val="14"/>
          <c:tx>
            <c:v>0.3</c:v>
          </c:tx>
          <c:spPr>
            <a:solidFill>
              <a:schemeClr val="accent1">
                <a:shade val="74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Page'!$D$123:$X$123</c:f>
              <c:numCache>
                <c:formatCode>0.00</c:formatCode>
                <c:ptCount val="21"/>
                <c:pt idx="0">
                  <c:v>0.17592089612405723</c:v>
                </c:pt>
                <c:pt idx="1">
                  <c:v>0.19460372104374768</c:v>
                </c:pt>
                <c:pt idx="2">
                  <c:v>0.21781495826803404</c:v>
                </c:pt>
                <c:pt idx="3">
                  <c:v>0.2464764372502842</c:v>
                </c:pt>
                <c:pt idx="4">
                  <c:v>0.28149022371256488</c:v>
                </c:pt>
                <c:pt idx="5">
                  <c:v>0.32355491301091494</c:v>
                </c:pt>
                <c:pt idx="6">
                  <c:v>0.37289314980160609</c:v>
                </c:pt>
                <c:pt idx="7">
                  <c:v>0.42893803236648781</c:v>
                </c:pt>
                <c:pt idx="8">
                  <c:v>0.49010319279034875</c:v>
                </c:pt>
                <c:pt idx="9">
                  <c:v>0.55380898455203675</c:v>
                </c:pt>
                <c:pt idx="10">
                  <c:v>0.61687158179225143</c:v>
                </c:pt>
                <c:pt idx="11">
                  <c:v>0.67616624261575353</c:v>
                </c:pt>
                <c:pt idx="12">
                  <c:v>0.7292846553271799</c:v>
                </c:pt>
                <c:pt idx="13">
                  <c:v>0.77490139965556049</c:v>
                </c:pt>
                <c:pt idx="14">
                  <c:v>0.81275712148109158</c:v>
                </c:pt>
                <c:pt idx="15">
                  <c:v>0.84337613295031433</c:v>
                </c:pt>
                <c:pt idx="16">
                  <c:v>0.86770987494265694</c:v>
                </c:pt>
                <c:pt idx="17">
                  <c:v>0.88684286862092443</c:v>
                </c:pt>
                <c:pt idx="18">
                  <c:v>0.90180814159426548</c:v>
                </c:pt>
                <c:pt idx="19">
                  <c:v>0.91349943828752522</c:v>
                </c:pt>
                <c:pt idx="20">
                  <c:v>0.92264726183889989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7BA-409E-ACA0-35967F0E06E2}"/>
            </c:ext>
          </c:extLst>
        </c:ser>
        <c:ser>
          <c:idx val="15"/>
          <c:order val="15"/>
          <c:tx>
            <c:v>0.25</c:v>
          </c:tx>
          <c:spPr>
            <a:solidFill>
              <a:schemeClr val="accent1">
                <a:shade val="68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Page'!$D$124:$X$124</c:f>
              <c:numCache>
                <c:formatCode>0.00</c:formatCode>
                <c:ptCount val="21"/>
                <c:pt idx="0">
                  <c:v>0.19478730712125664</c:v>
                </c:pt>
                <c:pt idx="1">
                  <c:v>0.21804251407865455</c:v>
                </c:pt>
                <c:pt idx="2">
                  <c:v>0.24675620668207862</c:v>
                </c:pt>
                <c:pt idx="3">
                  <c:v>0.28182959624434017</c:v>
                </c:pt>
                <c:pt idx="4">
                  <c:v>0.32395838775557939</c:v>
                </c:pt>
                <c:pt idx="5">
                  <c:v>0.37335962545402063</c:v>
                </c:pt>
                <c:pt idx="6">
                  <c:v>0.42945817421444632</c:v>
                </c:pt>
                <c:pt idx="7">
                  <c:v>0.4906582951973481</c:v>
                </c:pt>
                <c:pt idx="8">
                  <c:v>0.55437277543686914</c:v>
                </c:pt>
                <c:pt idx="9">
                  <c:v>0.61741517764564879</c:v>
                </c:pt>
                <c:pt idx="10">
                  <c:v>0.67666445918440177</c:v>
                </c:pt>
                <c:pt idx="11">
                  <c:v>0.72972082541886718</c:v>
                </c:pt>
                <c:pt idx="12">
                  <c:v>0.7752688536916833</c:v>
                </c:pt>
                <c:pt idx="13">
                  <c:v>0.81305758147044382</c:v>
                </c:pt>
                <c:pt idx="14">
                  <c:v>0.84361662666827275</c:v>
                </c:pt>
                <c:pt idx="15">
                  <c:v>0.86789973837485057</c:v>
                </c:pt>
                <c:pt idx="16">
                  <c:v>0.88699162779128649</c:v>
                </c:pt>
                <c:pt idx="17">
                  <c:v>0.90192435867673904</c:v>
                </c:pt>
                <c:pt idx="18">
                  <c:v>0.91359027165449569</c:v>
                </c:pt>
                <c:pt idx="19">
                  <c:v>0.92271844205922815</c:v>
                </c:pt>
                <c:pt idx="20">
                  <c:v>0.92988462219269929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7BA-409E-ACA0-35967F0E06E2}"/>
            </c:ext>
          </c:extLst>
        </c:ser>
        <c:ser>
          <c:idx val="16"/>
          <c:order val="16"/>
          <c:tx>
            <c:v>0.2</c:v>
          </c:tx>
          <c:spPr>
            <a:solidFill>
              <a:schemeClr val="accent1">
                <a:shade val="61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Page'!$D$125:$X$125</c:f>
              <c:numCache>
                <c:formatCode>0.00</c:formatCode>
                <c:ptCount val="21"/>
                <c:pt idx="0">
                  <c:v>0.21827049445181848</c:v>
                </c:pt>
                <c:pt idx="1">
                  <c:v>0.24703647194972111</c:v>
                </c:pt>
                <c:pt idx="2">
                  <c:v>0.28216952052342631</c:v>
                </c:pt>
                <c:pt idx="3">
                  <c:v>0.32436243326992359</c:v>
                </c:pt>
                <c:pt idx="4">
                  <c:v>0.37382662879500733</c:v>
                </c:pt>
                <c:pt idx="5">
                  <c:v>0.42997871957708084</c:v>
                </c:pt>
                <c:pt idx="6">
                  <c:v>0.4912135972947298</c:v>
                </c:pt>
                <c:pt idx="7">
                  <c:v>0.55493651362418472</c:v>
                </c:pt>
                <c:pt idx="8">
                  <c:v>0.61795847355173328</c:v>
                </c:pt>
                <c:pt idx="9">
                  <c:v>0.67716218674390383</c:v>
                </c:pt>
                <c:pt idx="10">
                  <c:v>0.73015640445846963</c:v>
                </c:pt>
                <c:pt idx="11">
                  <c:v>0.77563569918344033</c:v>
                </c:pt>
                <c:pt idx="12">
                  <c:v>0.81335747653399149</c:v>
                </c:pt>
                <c:pt idx="13">
                  <c:v>0.84385663156663715</c:v>
                </c:pt>
                <c:pt idx="14">
                  <c:v>0.86808919851705846</c:v>
                </c:pt>
                <c:pt idx="15">
                  <c:v>0.8871400644670504</c:v>
                </c:pt>
                <c:pt idx="16">
                  <c:v>0.90204032278701496</c:v>
                </c:pt>
                <c:pt idx="17">
                  <c:v>0.91368090866733309</c:v>
                </c:pt>
                <c:pt idx="18">
                  <c:v>0.92278947054070648</c:v>
                </c:pt>
                <c:pt idx="19">
                  <c:v>0.92994050316766541</c:v>
                </c:pt>
                <c:pt idx="20">
                  <c:v>0.93557877885464125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7BA-409E-ACA0-35967F0E06E2}"/>
            </c:ext>
          </c:extLst>
        </c:ser>
        <c:ser>
          <c:idx val="17"/>
          <c:order val="17"/>
          <c:tx>
            <c:v>0.15</c:v>
          </c:tx>
          <c:spPr>
            <a:solidFill>
              <a:schemeClr val="accent1">
                <a:shade val="55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Page'!$D$126:$X$126</c:f>
              <c:numCache>
                <c:formatCode>0.00</c:formatCode>
                <c:ptCount val="21"/>
                <c:pt idx="0">
                  <c:v>0.24731723364000388</c:v>
                </c:pt>
                <c:pt idx="1">
                  <c:v>0.2825099969150654</c:v>
                </c:pt>
                <c:pt idx="2">
                  <c:v>0.32476704948180862</c:v>
                </c:pt>
                <c:pt idx="3">
                  <c:v>0.37429415910100056</c:v>
                </c:pt>
                <c:pt idx="4">
                  <c:v>0.43049966698190439</c:v>
                </c:pt>
                <c:pt idx="5">
                  <c:v>0.4917690970015885</c:v>
                </c:pt>
                <c:pt idx="6">
                  <c:v>0.5555001968244293</c:v>
                </c:pt>
                <c:pt idx="7">
                  <c:v>0.61850146752365531</c:v>
                </c:pt>
                <c:pt idx="8">
                  <c:v>0.67765942399582169</c:v>
                </c:pt>
                <c:pt idx="9">
                  <c:v>0.73059139194604461</c:v>
                </c:pt>
                <c:pt idx="10">
                  <c:v>0.77600193629098424</c:v>
                </c:pt>
                <c:pt idx="11">
                  <c:v>0.81365680724084344</c:v>
                </c:pt>
                <c:pt idx="12">
                  <c:v>0.84409614838586811</c:v>
                </c:pt>
                <c:pt idx="13">
                  <c:v>0.86827825611691256</c:v>
                </c:pt>
                <c:pt idx="14">
                  <c:v>0.88728817931576021</c:v>
                </c:pt>
                <c:pt idx="15">
                  <c:v>0.90215603448073578</c:v>
                </c:pt>
                <c:pt idx="16">
                  <c:v>0.91377134976955732</c:v>
                </c:pt>
                <c:pt idx="17">
                  <c:v>0.92286034762873614</c:v>
                </c:pt>
                <c:pt idx="18">
                  <c:v>0.92999626716755113</c:v>
                </c:pt>
                <c:pt idx="19">
                  <c:v>0.9356228529897227</c:v>
                </c:pt>
                <c:pt idx="20">
                  <c:v>0.94008016723775312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7BA-409E-ACA0-35967F0E06E2}"/>
            </c:ext>
          </c:extLst>
        </c:ser>
        <c:ser>
          <c:idx val="18"/>
          <c:order val="18"/>
          <c:tx>
            <c:v>0.1</c:v>
          </c:tx>
          <c:spPr>
            <a:solidFill>
              <a:schemeClr val="accent1">
                <a:shade val="49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Page'!$D$127:$X$127</c:f>
              <c:numCache>
                <c:formatCode>0.00</c:formatCode>
                <c:ptCount val="21"/>
                <c:pt idx="0">
                  <c:v>0.28285102578164345</c:v>
                </c:pt>
                <c:pt idx="1">
                  <c:v>0.32517223631421288</c:v>
                </c:pt>
                <c:pt idx="2">
                  <c:v>0.37476221564198364</c:v>
                </c:pt>
                <c:pt idx="3">
                  <c:v>0.43102101495003886</c:v>
                </c:pt>
                <c:pt idx="4">
                  <c:v>0.49232479223311065</c:v>
                </c:pt>
                <c:pt idx="5">
                  <c:v>0.55606382274849409</c:v>
                </c:pt>
                <c:pt idx="6">
                  <c:v>0.61904415757929498</c:v>
                </c:pt>
                <c:pt idx="7">
                  <c:v>0.67815616964871361</c:v>
                </c:pt>
                <c:pt idx="8">
                  <c:v>0.73102578738835244</c:v>
                </c:pt>
                <c:pt idx="9">
                  <c:v>0.77636756517922778</c:v>
                </c:pt>
                <c:pt idx="10">
                  <c:v>0.81395557416257258</c:v>
                </c:pt>
                <c:pt idx="11">
                  <c:v>0.84433517786708512</c:v>
                </c:pt>
                <c:pt idx="12">
                  <c:v>0.86846691192162051</c:v>
                </c:pt>
                <c:pt idx="13">
                  <c:v>0.88743597300404853</c:v>
                </c:pt>
                <c:pt idx="14">
                  <c:v>0.90227149431252562</c:v>
                </c:pt>
                <c:pt idx="15">
                  <c:v>0.91386159540375045</c:v>
                </c:pt>
                <c:pt idx="16">
                  <c:v>0.92293107366793237</c:v>
                </c:pt>
                <c:pt idx="17">
                  <c:v>0.93005191445712898</c:v>
                </c:pt>
                <c:pt idx="18">
                  <c:v>0.93566683670897499</c:v>
                </c:pt>
                <c:pt idx="19">
                  <c:v>0.94011509725855213</c:v>
                </c:pt>
                <c:pt idx="20">
                  <c:v>0.9436557170145119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7BA-409E-ACA0-35967F0E06E2}"/>
            </c:ext>
          </c:extLst>
        </c:ser>
        <c:ser>
          <c:idx val="19"/>
          <c:order val="19"/>
          <c:tx>
            <c:v>0.05</c:v>
          </c:tx>
          <c:spPr>
            <a:solidFill>
              <a:schemeClr val="accent1">
                <a:shade val="42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Page'!$D$128:$X$128</c:f>
              <c:numCache>
                <c:formatCode>0.00</c:formatCode>
                <c:ptCount val="21"/>
                <c:pt idx="0">
                  <c:v>0.32557799368521489</c:v>
                </c:pt>
                <c:pt idx="1">
                  <c:v>0.37523079768148032</c:v>
                </c:pt>
                <c:pt idx="2">
                  <c:v>0.43154276199622565</c:v>
                </c:pt>
                <c:pt idx="3">
                  <c:v>0.49288068090060699</c:v>
                </c:pt>
                <c:pt idx="4">
                  <c:v>0.55662738910775611</c:v>
                </c:pt>
                <c:pt idx="5">
                  <c:v>0.61958654174129535</c:v>
                </c:pt>
                <c:pt idx="6">
                  <c:v>0.67865242241814128</c:v>
                </c:pt>
                <c:pt idx="7">
                  <c:v>0.73145959029884622</c:v>
                </c:pt>
                <c:pt idx="8">
                  <c:v>0.77673258601782336</c:v>
                </c:pt>
                <c:pt idx="9">
                  <c:v>0.81425377787319919</c:v>
                </c:pt>
                <c:pt idx="10">
                  <c:v>0.84457372075205295</c:v>
                </c:pt>
                <c:pt idx="11">
                  <c:v>0.86865516667795761</c:v>
                </c:pt>
                <c:pt idx="12">
                  <c:v>0.88758344619763607</c:v>
                </c:pt>
                <c:pt idx="13">
                  <c:v>0.90238670283598976</c:v>
                </c:pt>
                <c:pt idx="14">
                  <c:v>0.91395164601155765</c:v>
                </c:pt>
                <c:pt idx="15">
                  <c:v>0.923001649002126</c:v>
                </c:pt>
                <c:pt idx="16">
                  <c:v>0.93010744530054723</c:v>
                </c:pt>
                <c:pt idx="17">
                  <c:v>0.93571073021414741</c:v>
                </c:pt>
                <c:pt idx="18">
                  <c:v>0.9401499570855244</c:v>
                </c:pt>
                <c:pt idx="19">
                  <c:v>0.94368353051976606</c:v>
                </c:pt>
                <c:pt idx="20">
                  <c:v>0.94650885585256472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7BA-409E-ACA0-35967F0E06E2}"/>
            </c:ext>
          </c:extLst>
        </c:ser>
        <c:ser>
          <c:idx val="20"/>
          <c:order val="20"/>
          <c:tx>
            <c:v>0</c:v>
          </c:tx>
          <c:spPr>
            <a:solidFill>
              <a:schemeClr val="accent1">
                <a:shade val="36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Page'!$D$129:$X$129</c:f>
              <c:numCache>
                <c:formatCode>0.00</c:formatCode>
                <c:ptCount val="21"/>
                <c:pt idx="0">
                  <c:v>0.37569990447654672</c:v>
                </c:pt>
                <c:pt idx="1">
                  <c:v>0.43206490662883656</c:v>
                </c:pt>
                <c:pt idx="2">
                  <c:v>0.49343676091154492</c:v>
                </c:pt>
                <c:pt idx="3">
                  <c:v>0.55719089361412055</c:v>
                </c:pt>
                <c:pt idx="4">
                  <c:v>0.62012861803708941</c:v>
                </c:pt>
                <c:pt idx="5">
                  <c:v>0.67914818102667851</c:v>
                </c:pt>
                <c:pt idx="6">
                  <c:v>0.73189280019765812</c:v>
                </c:pt>
                <c:pt idx="7">
                  <c:v>0.77709699898114204</c:v>
                </c:pt>
                <c:pt idx="8">
                  <c:v>0.81455141894916905</c:v>
                </c:pt>
                <c:pt idx="9">
                  <c:v>0.84481177778316996</c:v>
                </c:pt>
                <c:pt idx="10">
                  <c:v>0.86884302113226097</c:v>
                </c:pt>
                <c:pt idx="11">
                  <c:v>0.88773059956132838</c:v>
                </c:pt>
                <c:pt idx="12">
                  <c:v>0.90250166060371395</c:v>
                </c:pt>
                <c:pt idx="13">
                  <c:v>0.91404150203368806</c:v>
                </c:pt>
                <c:pt idx="14">
                  <c:v>0.92307207397436475</c:v>
                </c:pt>
                <c:pt idx="15">
                  <c:v>0.93016285996133208</c:v>
                </c:pt>
                <c:pt idx="16">
                  <c:v>0.93575453370650885</c:v>
                </c:pt>
                <c:pt idx="17">
                  <c:v>0.94018474687226139</c:v>
                </c:pt>
                <c:pt idx="18">
                  <c:v>0.94371128924081382</c:v>
                </c:pt>
                <c:pt idx="19">
                  <c:v>0.94653110025071385</c:v>
                </c:pt>
                <c:pt idx="20">
                  <c:v>0.94879513817230732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7BA-409E-ACA0-35967F0E06E2}"/>
            </c:ext>
          </c:extLst>
        </c:ser>
        <c:bandFmts>
          <c:bandFmt>
            <c:idx val="0"/>
            <c:spPr>
              <a:solidFill>
                <a:schemeClr val="accent1">
                  <a:tint val="33000"/>
                </a:schemeClr>
              </a:solidFill>
              <a:ln/>
              <a:effectLst/>
              <a:sp3d prstMaterial="flat"/>
            </c:spPr>
          </c:bandFmt>
          <c:bandFmt>
            <c:idx val="1"/>
            <c:spPr>
              <a:solidFill>
                <a:schemeClr val="accent1">
                  <a:tint val="36000"/>
                </a:schemeClr>
              </a:solidFill>
              <a:ln/>
              <a:effectLst/>
              <a:sp3d prstMaterial="flat"/>
            </c:spPr>
          </c:bandFmt>
          <c:bandFmt>
            <c:idx val="2"/>
            <c:spPr>
              <a:solidFill>
                <a:schemeClr val="accent1">
                  <a:tint val="39000"/>
                </a:schemeClr>
              </a:solidFill>
              <a:ln/>
              <a:effectLst/>
              <a:sp3d prstMaterial="flat"/>
            </c:spPr>
          </c:bandFmt>
          <c:bandFmt>
            <c:idx val="3"/>
            <c:spPr>
              <a:solidFill>
                <a:schemeClr val="accent1">
                  <a:tint val="42000"/>
                </a:schemeClr>
              </a:solidFill>
              <a:ln/>
              <a:effectLst/>
              <a:sp3d prstMaterial="flat"/>
            </c:spPr>
          </c:bandFmt>
          <c:bandFmt>
            <c:idx val="4"/>
            <c:spPr>
              <a:solidFill>
                <a:schemeClr val="accent1">
                  <a:tint val="44000"/>
                </a:schemeClr>
              </a:solidFill>
              <a:ln/>
              <a:effectLst/>
              <a:sp3d prstMaterial="flat"/>
            </c:spPr>
          </c:bandFmt>
          <c:bandFmt>
            <c:idx val="5"/>
            <c:spPr>
              <a:solidFill>
                <a:schemeClr val="accent1">
                  <a:tint val="47000"/>
                </a:schemeClr>
              </a:solidFill>
              <a:ln/>
              <a:effectLst/>
              <a:sp3d prstMaterial="flat"/>
            </c:spPr>
          </c:bandFmt>
          <c:bandFmt>
            <c:idx val="6"/>
            <c:spPr>
              <a:solidFill>
                <a:schemeClr val="accent1">
                  <a:tint val="50000"/>
                </a:schemeClr>
              </a:solidFill>
              <a:ln/>
              <a:effectLst/>
              <a:sp3d prstMaterial="flat"/>
            </c:spPr>
          </c:bandFmt>
          <c:bandFmt>
            <c:idx val="7"/>
            <c:spPr>
              <a:solidFill>
                <a:schemeClr val="accent1">
                  <a:tint val="53000"/>
                </a:schemeClr>
              </a:solidFill>
              <a:ln/>
              <a:effectLst/>
              <a:sp3d prstMaterial="flat"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 prstMaterial="flat"/>
            </c:spPr>
          </c:bandFmt>
          <c:bandFmt>
            <c:idx val="9"/>
            <c:spPr>
              <a:solidFill>
                <a:schemeClr val="accent1">
                  <a:tint val="58000"/>
                </a:schemeClr>
              </a:solidFill>
              <a:ln/>
              <a:effectLst/>
              <a:sp3d prstMaterial="flat"/>
            </c:spPr>
          </c:bandFmt>
          <c:bandFmt>
            <c:idx val="10"/>
            <c:spPr>
              <a:solidFill>
                <a:schemeClr val="accent1">
                  <a:tint val="61000"/>
                </a:schemeClr>
              </a:solidFill>
              <a:ln/>
              <a:effectLst/>
              <a:sp3d prstMaterial="flat"/>
            </c:spPr>
          </c:bandFmt>
          <c:bandFmt>
            <c:idx val="11"/>
            <c:spPr>
              <a:solidFill>
                <a:schemeClr val="accent1">
                  <a:tint val="64000"/>
                </a:schemeClr>
              </a:solidFill>
              <a:ln/>
              <a:effectLst/>
              <a:sp3d prstMaterial="flat"/>
            </c:spPr>
          </c:bandFmt>
          <c:bandFmt>
            <c:idx val="12"/>
            <c:spPr>
              <a:solidFill>
                <a:schemeClr val="accent1">
                  <a:tint val="67000"/>
                </a:schemeClr>
              </a:solidFill>
              <a:ln/>
              <a:effectLst/>
              <a:sp3d prstMaterial="flat"/>
            </c:spPr>
          </c:bandFmt>
          <c:bandFmt>
            <c:idx val="13"/>
            <c:spPr>
              <a:solidFill>
                <a:schemeClr val="accent1">
                  <a:tint val="70000"/>
                </a:schemeClr>
              </a:solidFill>
              <a:ln/>
              <a:effectLst/>
              <a:sp3d prstMaterial="flat"/>
            </c:spPr>
          </c:bandFmt>
          <c:bandFmt>
            <c:idx val="14"/>
            <c:spPr>
              <a:solidFill>
                <a:schemeClr val="accent1">
                  <a:tint val="72000"/>
                </a:schemeClr>
              </a:solidFill>
              <a:ln/>
              <a:effectLst/>
              <a:sp3d prstMaterial="flat"/>
            </c:spPr>
          </c:bandFmt>
          <c:bandFmt>
            <c:idx val="15"/>
            <c:spPr>
              <a:solidFill>
                <a:schemeClr val="accent1">
                  <a:tint val="75000"/>
                </a:schemeClr>
              </a:solidFill>
              <a:ln/>
              <a:effectLst/>
              <a:sp3d prstMaterial="flat"/>
            </c:spPr>
          </c:bandFmt>
          <c:bandFmt>
            <c:idx val="16"/>
            <c:spPr>
              <a:solidFill>
                <a:schemeClr val="accent1">
                  <a:tint val="78000"/>
                </a:schemeClr>
              </a:solidFill>
              <a:ln/>
              <a:effectLst/>
              <a:sp3d prstMaterial="flat"/>
            </c:spPr>
          </c:bandFmt>
          <c:bandFmt>
            <c:idx val="17"/>
            <c:spPr>
              <a:solidFill>
                <a:schemeClr val="accent1">
                  <a:tint val="81000"/>
                </a:schemeClr>
              </a:solidFill>
              <a:ln/>
              <a:effectLst/>
              <a:sp3d prstMaterial="flat"/>
            </c:spPr>
          </c:bandFmt>
          <c:bandFmt>
            <c:idx val="18"/>
            <c:spPr>
              <a:solidFill>
                <a:schemeClr val="accent1">
                  <a:tint val="84000"/>
                </a:schemeClr>
              </a:solidFill>
              <a:ln/>
              <a:effectLst/>
              <a:sp3d prstMaterial="flat"/>
            </c:spPr>
          </c:bandFmt>
          <c:bandFmt>
            <c:idx val="19"/>
            <c:spPr>
              <a:solidFill>
                <a:schemeClr val="accent1">
                  <a:tint val="86000"/>
                </a:schemeClr>
              </a:solidFill>
              <a:ln/>
              <a:effectLst/>
              <a:sp3d prstMaterial="flat"/>
            </c:spPr>
          </c:bandFmt>
          <c:bandFmt>
            <c:idx val="20"/>
            <c:spPr>
              <a:solidFill>
                <a:schemeClr val="accent1">
                  <a:tint val="89000"/>
                </a:schemeClr>
              </a:solidFill>
              <a:ln/>
              <a:effectLst/>
              <a:sp3d prstMaterial="flat"/>
            </c:spPr>
          </c:bandFmt>
          <c:bandFmt>
            <c:idx val="21"/>
            <c:spPr>
              <a:solidFill>
                <a:schemeClr val="accent1">
                  <a:tint val="92000"/>
                </a:schemeClr>
              </a:solidFill>
              <a:ln/>
              <a:effectLst/>
              <a:sp3d prstMaterial="flat"/>
            </c:spPr>
          </c:bandFmt>
          <c:bandFmt>
            <c:idx val="22"/>
            <c:spPr>
              <a:solidFill>
                <a:schemeClr val="accent1">
                  <a:tint val="95000"/>
                </a:schemeClr>
              </a:solidFill>
              <a:ln/>
              <a:effectLst/>
              <a:sp3d prstMaterial="flat"/>
            </c:spPr>
          </c:bandFmt>
          <c:bandFmt>
            <c:idx val="23"/>
            <c:spPr>
              <a:solidFill>
                <a:schemeClr val="accent1">
                  <a:tint val="98000"/>
                </a:schemeClr>
              </a:solidFill>
              <a:ln/>
              <a:effectLst/>
              <a:sp3d prstMaterial="flat"/>
            </c:spPr>
          </c:bandFmt>
          <c:bandFmt>
            <c:idx val="24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25"/>
            <c:spPr>
              <a:solidFill>
                <a:schemeClr val="accent1">
                  <a:shade val="97000"/>
                </a:schemeClr>
              </a:solidFill>
              <a:ln/>
              <a:effectLst/>
              <a:sp3d prstMaterial="flat"/>
            </c:spPr>
          </c:bandFmt>
          <c:bandFmt>
            <c:idx val="26"/>
            <c:spPr>
              <a:solidFill>
                <a:schemeClr val="accent1">
                  <a:shade val="94000"/>
                </a:schemeClr>
              </a:solidFill>
              <a:ln/>
              <a:effectLst/>
              <a:sp3d prstMaterial="flat"/>
            </c:spPr>
          </c:bandFmt>
          <c:bandFmt>
            <c:idx val="27"/>
            <c:spPr>
              <a:solidFill>
                <a:schemeClr val="accent1">
                  <a:shade val="91000"/>
                </a:schemeClr>
              </a:solidFill>
              <a:ln/>
              <a:effectLst/>
              <a:sp3d prstMaterial="flat"/>
            </c:spPr>
          </c:bandFmt>
          <c:bandFmt>
            <c:idx val="28"/>
            <c:spPr>
              <a:solidFill>
                <a:schemeClr val="accent1">
                  <a:shade val="88000"/>
                </a:schemeClr>
              </a:solidFill>
              <a:ln/>
              <a:effectLst/>
              <a:sp3d prstMaterial="flat"/>
            </c:spPr>
          </c:bandFmt>
          <c:bandFmt>
            <c:idx val="29"/>
            <c:spPr>
              <a:solidFill>
                <a:schemeClr val="accent1">
                  <a:shade val="86000"/>
                </a:schemeClr>
              </a:solidFill>
              <a:ln/>
              <a:effectLst/>
              <a:sp3d prstMaterial="flat"/>
            </c:spPr>
          </c:bandFmt>
          <c:bandFmt>
            <c:idx val="30"/>
            <c:spPr>
              <a:solidFill>
                <a:schemeClr val="accent1">
                  <a:shade val="83000"/>
                </a:schemeClr>
              </a:solidFill>
              <a:ln/>
              <a:effectLst/>
              <a:sp3d prstMaterial="flat"/>
            </c:spPr>
          </c:bandFmt>
          <c:bandFmt>
            <c:idx val="31"/>
            <c:spPr>
              <a:solidFill>
                <a:schemeClr val="accent1">
                  <a:shade val="80000"/>
                </a:schemeClr>
              </a:solidFill>
              <a:ln/>
              <a:effectLst/>
              <a:sp3d prstMaterial="flat"/>
            </c:spPr>
          </c:bandFmt>
          <c:bandFmt>
            <c:idx val="32"/>
            <c:spPr>
              <a:solidFill>
                <a:schemeClr val="accent1">
                  <a:shade val="77000"/>
                </a:schemeClr>
              </a:solidFill>
              <a:ln/>
              <a:effectLst/>
              <a:sp3d prstMaterial="flat"/>
            </c:spPr>
          </c:bandFmt>
          <c:bandFmt>
            <c:idx val="33"/>
            <c:spPr>
              <a:solidFill>
                <a:schemeClr val="accent1">
                  <a:shade val="74000"/>
                </a:schemeClr>
              </a:solidFill>
              <a:ln/>
              <a:effectLst/>
              <a:sp3d prstMaterial="flat"/>
            </c:spPr>
          </c:bandFmt>
          <c:bandFmt>
            <c:idx val="34"/>
            <c:spPr>
              <a:solidFill>
                <a:schemeClr val="accent1">
                  <a:shade val="72000"/>
                </a:schemeClr>
              </a:solidFill>
              <a:ln/>
              <a:effectLst/>
              <a:sp3d prstMaterial="flat"/>
            </c:spPr>
          </c:bandFmt>
          <c:bandFmt>
            <c:idx val="35"/>
            <c:spPr>
              <a:solidFill>
                <a:schemeClr val="accent1">
                  <a:shade val="69000"/>
                </a:schemeClr>
              </a:solidFill>
              <a:ln/>
              <a:effectLst/>
              <a:sp3d prstMaterial="flat"/>
            </c:spPr>
          </c:bandFmt>
          <c:bandFmt>
            <c:idx val="36"/>
            <c:spPr>
              <a:solidFill>
                <a:schemeClr val="accent1">
                  <a:shade val="66000"/>
                </a:schemeClr>
              </a:solidFill>
              <a:ln/>
              <a:effectLst/>
              <a:sp3d prstMaterial="flat"/>
            </c:spPr>
          </c:bandFmt>
          <c:bandFmt>
            <c:idx val="37"/>
            <c:spPr>
              <a:solidFill>
                <a:schemeClr val="accent1">
                  <a:shade val="63000"/>
                </a:schemeClr>
              </a:solidFill>
              <a:ln/>
              <a:effectLst/>
              <a:sp3d prstMaterial="flat"/>
            </c:spPr>
          </c:bandFmt>
          <c:bandFmt>
            <c:idx val="38"/>
            <c:spPr>
              <a:solidFill>
                <a:schemeClr val="accent1">
                  <a:shade val="60000"/>
                </a:schemeClr>
              </a:solidFill>
              <a:ln/>
              <a:effectLst/>
              <a:sp3d prstMaterial="flat"/>
            </c:spPr>
          </c:bandFmt>
          <c:bandFmt>
            <c:idx val="39"/>
            <c:spPr>
              <a:solidFill>
                <a:schemeClr val="accent1">
                  <a:shade val="58000"/>
                </a:schemeClr>
              </a:solidFill>
              <a:ln/>
              <a:effectLst/>
              <a:sp3d prstMaterial="flat"/>
            </c:spPr>
          </c:bandFmt>
          <c:bandFmt>
            <c:idx val="40"/>
            <c:spPr>
              <a:solidFill>
                <a:schemeClr val="accent1">
                  <a:shade val="55000"/>
                </a:schemeClr>
              </a:solidFill>
              <a:ln/>
              <a:effectLst/>
              <a:sp3d prstMaterial="flat"/>
            </c:spPr>
          </c:bandFmt>
          <c:bandFmt>
            <c:idx val="41"/>
            <c:spPr>
              <a:solidFill>
                <a:schemeClr val="accent1">
                  <a:shade val="52000"/>
                </a:schemeClr>
              </a:solidFill>
              <a:ln/>
              <a:effectLst/>
              <a:sp3d prstMaterial="flat"/>
            </c:spPr>
          </c:bandFmt>
          <c:bandFmt>
            <c:idx val="42"/>
            <c:spPr>
              <a:solidFill>
                <a:schemeClr val="accent1">
                  <a:shade val="49000"/>
                </a:schemeClr>
              </a:solidFill>
              <a:ln/>
              <a:effectLst/>
              <a:sp3d prstMaterial="flat"/>
            </c:spPr>
          </c:bandFmt>
          <c:bandFmt>
            <c:idx val="43"/>
            <c:spPr>
              <a:solidFill>
                <a:schemeClr val="accent1">
                  <a:shade val="46000"/>
                </a:schemeClr>
              </a:solidFill>
              <a:ln/>
              <a:effectLst/>
              <a:sp3d prstMaterial="flat"/>
            </c:spPr>
          </c:bandFmt>
          <c:bandFmt>
            <c:idx val="44"/>
            <c:spPr>
              <a:solidFill>
                <a:schemeClr val="accent1">
                  <a:shade val="44000"/>
                </a:schemeClr>
              </a:solidFill>
              <a:ln/>
              <a:effectLst/>
              <a:sp3d prstMaterial="flat"/>
            </c:spPr>
          </c:bandFmt>
          <c:bandFmt>
            <c:idx val="45"/>
            <c:spPr>
              <a:solidFill>
                <a:schemeClr val="accent1">
                  <a:shade val="41000"/>
                </a:schemeClr>
              </a:solidFill>
              <a:ln/>
              <a:effectLst/>
              <a:sp3d prstMaterial="flat"/>
            </c:spPr>
          </c:bandFmt>
          <c:bandFmt>
            <c:idx val="46"/>
            <c:spPr>
              <a:solidFill>
                <a:schemeClr val="accent1">
                  <a:shade val="38000"/>
                </a:schemeClr>
              </a:solidFill>
              <a:ln/>
              <a:effectLst/>
              <a:sp3d prstMaterial="flat"/>
            </c:spPr>
          </c:bandFmt>
          <c:bandFmt>
            <c:idx val="47"/>
            <c:spPr>
              <a:solidFill>
                <a:schemeClr val="accent1">
                  <a:shade val="35000"/>
                </a:schemeClr>
              </a:solidFill>
              <a:ln/>
              <a:effectLst/>
              <a:sp3d prstMaterial="flat"/>
            </c:spPr>
          </c:bandFmt>
        </c:bandFmts>
        <c:axId val="259242624"/>
        <c:axId val="259231808"/>
        <c:axId val="146158400"/>
      </c:surfaceChart>
      <c:catAx>
        <c:axId val="25924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  <c:auto val="1"/>
        <c:lblAlgn val="ctr"/>
        <c:lblOffset val="100"/>
        <c:noMultiLvlLbl val="0"/>
      </c:catAx>
      <c:valAx>
        <c:axId val="2592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42624"/>
        <c:crosses val="autoZero"/>
        <c:crossBetween val="midCat"/>
        <c:majorUnit val="2.0000000000000004E-2"/>
      </c:valAx>
      <c:serAx>
        <c:axId val="146158400"/>
        <c:scaling>
          <c:orientation val="maxMin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x2 </a:t>
                </a:r>
              </a:p>
            </c:rich>
          </c:tx>
          <c:layout>
            <c:manualLayout>
              <c:xMode val="edge"/>
              <c:yMode val="edge"/>
              <c:x val="0.90299194626750301"/>
              <c:y val="0.44823240940206865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634879732600846E-2"/>
          <c:y val="2.0180634355012189E-2"/>
          <c:w val="0.90229357957153355"/>
          <c:h val="0.93986567372509089"/>
        </c:manualLayout>
      </c:layout>
      <c:scatterChart>
        <c:scatterStyle val="lineMarker"/>
        <c:varyColors val="0"/>
        <c:ser>
          <c:idx val="0"/>
          <c:order val="0"/>
          <c:tx>
            <c:v>Class 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'Main Page'!$G$5:$G$8</c:f>
              <c:numCache>
                <c:formatCode>0.000</c:formatCode>
                <c:ptCount val="4"/>
                <c:pt idx="0">
                  <c:v>0.33333333333333331</c:v>
                </c:pt>
                <c:pt idx="1">
                  <c:v>0.51515151515151514</c:v>
                </c:pt>
                <c:pt idx="2">
                  <c:v>0.31818181818181818</c:v>
                </c:pt>
                <c:pt idx="3">
                  <c:v>0.34848484848484851</c:v>
                </c:pt>
              </c:numCache>
            </c:numRef>
          </c:xVal>
          <c:yVal>
            <c:numRef>
              <c:f>'Main Page'!$H$5:$H$8</c:f>
              <c:numCache>
                <c:formatCode>0.000</c:formatCode>
                <c:ptCount val="4"/>
                <c:pt idx="0">
                  <c:v>1</c:v>
                </c:pt>
                <c:pt idx="1">
                  <c:v>0.61818181818181817</c:v>
                </c:pt>
                <c:pt idx="2">
                  <c:v>0.43636363636363634</c:v>
                </c:pt>
                <c:pt idx="3">
                  <c:v>0.81818181818181823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C5-45E6-BF09-4B3625CBF3CC}"/>
            </c:ext>
          </c:extLst>
        </c:ser>
        <c:ser>
          <c:idx val="1"/>
          <c:order val="1"/>
          <c:tx>
            <c:v>Class 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5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'Main Page'!$G$9:$G$13</c:f>
              <c:numCache>
                <c:formatCode>0.000</c:formatCode>
                <c:ptCount val="5"/>
                <c:pt idx="0">
                  <c:v>0.66666666666666663</c:v>
                </c:pt>
                <c:pt idx="1">
                  <c:v>1</c:v>
                </c:pt>
                <c:pt idx="2">
                  <c:v>0.68181818181818177</c:v>
                </c:pt>
                <c:pt idx="3">
                  <c:v>0.51515151515151514</c:v>
                </c:pt>
              </c:numCache>
            </c:numRef>
          </c:xVal>
          <c:yVal>
            <c:numRef>
              <c:f>'Main Page'!$H$9:$H$12</c:f>
              <c:numCache>
                <c:formatCode>0.000</c:formatCode>
                <c:ptCount val="4"/>
                <c:pt idx="0">
                  <c:v>0.2</c:v>
                </c:pt>
                <c:pt idx="1">
                  <c:v>0.38181818181818183</c:v>
                </c:pt>
                <c:pt idx="2">
                  <c:v>0.41818181818181815</c:v>
                </c:pt>
                <c:pt idx="3">
                  <c:v>0.14545454545454545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C5-45E6-BF09-4B3625CBF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223007"/>
        <c:axId val="553197631"/>
      </c:scatterChart>
      <c:valAx>
        <c:axId val="553223007"/>
        <c:scaling>
          <c:orientation val="minMax"/>
          <c:max val="1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197631"/>
        <c:crosses val="autoZero"/>
        <c:crossBetween val="midCat"/>
      </c:valAx>
      <c:valAx>
        <c:axId val="553197631"/>
        <c:scaling>
          <c:orientation val="minMax"/>
          <c:max val="1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223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>
                <a:solidFill>
                  <a:schemeClr val="tx1"/>
                </a:solidFill>
              </a:rPr>
              <a:t>Classification</a:t>
            </a:r>
            <a:r>
              <a:rPr lang="en-GB" sz="1600" b="1" baseline="0">
                <a:solidFill>
                  <a:schemeClr val="tx1"/>
                </a:solidFill>
              </a:rPr>
              <a:t> Prediction</a:t>
            </a:r>
            <a:endParaRPr lang="en-GB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777777777777776E-2"/>
          <c:y val="7.5009471786415191E-2"/>
          <c:w val="0.85436567206596636"/>
          <c:h val="0.81986803370068861"/>
        </c:manualLayout>
      </c:layout>
      <c:surfaceChart>
        <c:wireframe val="0"/>
        <c:ser>
          <c:idx val="0"/>
          <c:order val="0"/>
          <c:tx>
            <c:v>0</c:v>
          </c:tx>
          <c:spPr>
            <a:solidFill>
              <a:schemeClr val="accent1">
                <a:shade val="36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Page'!$D$109:$X$109</c:f>
              <c:numCache>
                <c:formatCode>0.00</c:formatCode>
                <c:ptCount val="21"/>
                <c:pt idx="0">
                  <c:v>0.10217778882520712</c:v>
                </c:pt>
                <c:pt idx="1">
                  <c:v>0.10314276865510509</c:v>
                </c:pt>
                <c:pt idx="2">
                  <c:v>0.10432058212348129</c:v>
                </c:pt>
                <c:pt idx="3">
                  <c:v>0.10575955324290309</c:v>
                </c:pt>
                <c:pt idx="4">
                  <c:v>0.1075195808619086</c:v>
                </c:pt>
                <c:pt idx="5">
                  <c:v>0.10967515229880002</c:v>
                </c:pt>
                <c:pt idx="6">
                  <c:v>0.11231922011116302</c:v>
                </c:pt>
                <c:pt idx="7">
                  <c:v>0.11556820015623906</c:v>
                </c:pt>
                <c:pt idx="8">
                  <c:v>0.11956841345965638</c:v>
                </c:pt>
                <c:pt idx="9">
                  <c:v>0.12450435477095299</c:v>
                </c:pt>
                <c:pt idx="10">
                  <c:v>0.13060919926373382</c:v>
                </c:pt>
                <c:pt idx="11">
                  <c:v>0.1381778950308786</c:v>
                </c:pt>
                <c:pt idx="12">
                  <c:v>0.14758291168666501</c:v>
                </c:pt>
                <c:pt idx="13">
                  <c:v>0.15929200050082679</c:v>
                </c:pt>
                <c:pt idx="14">
                  <c:v>0.17388579142047411</c:v>
                </c:pt>
                <c:pt idx="15">
                  <c:v>0.19207015486200665</c:v>
                </c:pt>
                <c:pt idx="16">
                  <c:v>0.21467339259398757</c:v>
                </c:pt>
                <c:pt idx="17">
                  <c:v>0.24261139671835208</c:v>
                </c:pt>
                <c:pt idx="18">
                  <c:v>0.27679673054885173</c:v>
                </c:pt>
                <c:pt idx="19">
                  <c:v>0.31796622632921623</c:v>
                </c:pt>
                <c:pt idx="20">
                  <c:v>0.36641828788595543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27-4458-B867-6B27ADC5A272}"/>
            </c:ext>
          </c:extLst>
        </c:ser>
        <c:ser>
          <c:idx val="1"/>
          <c:order val="1"/>
          <c:tx>
            <c:v>0.05</c:v>
          </c:tx>
          <c:spPr>
            <a:solidFill>
              <a:schemeClr val="accent1">
                <a:shade val="42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Page'!$D$110:$X$110</c:f>
              <c:numCache>
                <c:formatCode>0.00</c:formatCode>
                <c:ptCount val="21"/>
                <c:pt idx="0">
                  <c:v>0.10315216157151424</c:v>
                </c:pt>
                <c:pt idx="1">
                  <c:v>0.10433205178637213</c:v>
                </c:pt>
                <c:pt idx="2">
                  <c:v>0.10577357340071956</c:v>
                </c:pt>
                <c:pt idx="3">
                  <c:v>0.10753673963701997</c:v>
                </c:pt>
                <c:pt idx="4">
                  <c:v>0.10969618226855329</c:v>
                </c:pt>
                <c:pt idx="5">
                  <c:v>0.11234503705787074</c:v>
                </c:pt>
                <c:pt idx="6">
                  <c:v>0.11559995304347477</c:v>
                </c:pt>
                <c:pt idx="7">
                  <c:v>0.11960754876722701</c:v>
                </c:pt>
                <c:pt idx="8">
                  <c:v>0.12455269877073186</c:v>
                </c:pt>
                <c:pt idx="9">
                  <c:v>0.13066906178314736</c:v>
                </c:pt>
                <c:pt idx="10">
                  <c:v>0.13825219697765712</c:v>
                </c:pt>
                <c:pt idx="11">
                  <c:v>0.14767533464443178</c:v>
                </c:pt>
                <c:pt idx="12">
                  <c:v>0.15940714746300436</c:v>
                </c:pt>
                <c:pt idx="13">
                  <c:v>0.17402932907668914</c:v>
                </c:pt>
                <c:pt idx="14">
                  <c:v>0.19224887431918986</c:v>
                </c:pt>
                <c:pt idx="15">
                  <c:v>0.21489507266487182</c:v>
                </c:pt>
                <c:pt idx="16">
                  <c:v>0.24288428667989029</c:v>
                </c:pt>
                <c:pt idx="17">
                  <c:v>0.27712841852743136</c:v>
                </c:pt>
                <c:pt idx="18">
                  <c:v>0.31836170541633552</c:v>
                </c:pt>
                <c:pt idx="19">
                  <c:v>0.36687730351563924</c:v>
                </c:pt>
                <c:pt idx="20">
                  <c:v>0.42221356646344282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27-4458-B867-6B27ADC5A272}"/>
            </c:ext>
          </c:extLst>
        </c:ser>
        <c:ser>
          <c:idx val="2"/>
          <c:order val="2"/>
          <c:tx>
            <c:v>0.1</c:v>
          </c:tx>
          <c:spPr>
            <a:solidFill>
              <a:schemeClr val="accent1">
                <a:shade val="49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Page'!$D$111:$X$111</c:f>
              <c:numCache>
                <c:formatCode>0.00</c:formatCode>
                <c:ptCount val="21"/>
                <c:pt idx="0">
                  <c:v>0.10434354172151471</c:v>
                </c:pt>
                <c:pt idx="1">
                  <c:v>0.10578761847856362</c:v>
                </c:pt>
                <c:pt idx="2">
                  <c:v>0.10755392911125027</c:v>
                </c:pt>
                <c:pt idx="3">
                  <c:v>0.10971725014832993</c:v>
                </c:pt>
                <c:pt idx="4">
                  <c:v>0.11237090094479206</c:v>
                </c:pt>
                <c:pt idx="5">
                  <c:v>0.11563176421998796</c:v>
                </c:pt>
                <c:pt idx="6">
                  <c:v>0.11964675667370726</c:v>
                </c:pt>
                <c:pt idx="7">
                  <c:v>0.12460113345597258</c:v>
                </c:pt>
                <c:pt idx="8">
                  <c:v>0.13072903787074636</c:v>
                </c:pt>
                <c:pt idx="9">
                  <c:v>0.13832664140154366</c:v>
                </c:pt>
                <c:pt idx="10">
                  <c:v>0.1477679364095269</c:v>
                </c:pt>
                <c:pt idx="11">
                  <c:v>0.15952251838243242</c:v>
                </c:pt>
                <c:pt idx="12">
                  <c:v>0.17417314567751671</c:v>
                </c:pt>
                <c:pt idx="13">
                  <c:v>0.19242793742087871</c:v>
                </c:pt>
                <c:pt idx="14">
                  <c:v>0.21511716821382368</c:v>
                </c:pt>
                <c:pt idx="15">
                  <c:v>0.24315766414761211</c:v>
                </c:pt>
                <c:pt idx="16">
                  <c:v>0.27746065284959998</c:v>
                </c:pt>
                <c:pt idx="17">
                  <c:v>0.31875775578022703</c:v>
                </c:pt>
                <c:pt idx="18">
                  <c:v>0.36733685629142199</c:v>
                </c:pt>
                <c:pt idx="19">
                  <c:v>0.42272833155112483</c:v>
                </c:pt>
                <c:pt idx="20">
                  <c:v>0.48345829173205496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27-4458-B867-6B27ADC5A272}"/>
            </c:ext>
          </c:extLst>
        </c:ser>
        <c:ser>
          <c:idx val="3"/>
          <c:order val="3"/>
          <c:tx>
            <c:v>0.15</c:v>
          </c:tx>
          <c:spPr>
            <a:solidFill>
              <a:schemeClr val="accent1">
                <a:shade val="55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Page'!$D$112:$X$112</c:f>
              <c:numCache>
                <c:formatCode>0.00</c:formatCode>
                <c:ptCount val="21"/>
                <c:pt idx="0">
                  <c:v>0.10580168852206741</c:v>
                </c:pt>
                <c:pt idx="1">
                  <c:v>0.10757114934143321</c:v>
                </c:pt>
                <c:pt idx="2">
                  <c:v>0.10973835600916915</c:v>
                </c:pt>
                <c:pt idx="3">
                  <c:v>0.11239681186104657</c:v>
                </c:pt>
                <c:pt idx="4">
                  <c:v>0.11566363379796908</c:v>
                </c:pt>
                <c:pt idx="5">
                  <c:v>0.11968603732074699</c:v>
                </c:pt>
                <c:pt idx="6">
                  <c:v>0.12464965900585287</c:v>
                </c:pt>
                <c:pt idx="7">
                  <c:v>0.13078912775317722</c:v>
                </c:pt>
                <c:pt idx="8">
                  <c:v>0.13840122858836373</c:v>
                </c:pt>
                <c:pt idx="9">
                  <c:v>0.14786071733963554</c:v>
                </c:pt>
                <c:pt idx="10">
                  <c:v>0.15963811370008546</c:v>
                </c:pt>
                <c:pt idx="11">
                  <c:v>0.17431724175259272</c:v>
                </c:pt>
                <c:pt idx="12">
                  <c:v>0.19260734477574565</c:v>
                </c:pt>
                <c:pt idx="13">
                  <c:v>0.21533967988957897</c:v>
                </c:pt>
                <c:pt idx="14">
                  <c:v>0.2434315297232196</c:v>
                </c:pt>
                <c:pt idx="15">
                  <c:v>0.27779343391879707</c:v>
                </c:pt>
                <c:pt idx="16">
                  <c:v>0.31915437741526392</c:v>
                </c:pt>
                <c:pt idx="17">
                  <c:v>0.3677969455791073</c:v>
                </c:pt>
                <c:pt idx="18">
                  <c:v>0.42324351870957361</c:v>
                </c:pt>
                <c:pt idx="19">
                  <c:v>0.4840108370097852</c:v>
                </c:pt>
                <c:pt idx="20">
                  <c:v>0.54760446191589596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27-4458-B867-6B27ADC5A272}"/>
            </c:ext>
          </c:extLst>
        </c:ser>
        <c:ser>
          <c:idx val="4"/>
          <c:order val="4"/>
          <c:tx>
            <c:v>0.2</c:v>
          </c:tx>
          <c:spPr>
            <a:solidFill>
              <a:schemeClr val="accent1">
                <a:shade val="61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Page'!$D$113:$X$113</c:f>
              <c:numCache>
                <c:formatCode>0.00</c:formatCode>
                <c:ptCount val="21"/>
                <c:pt idx="0">
                  <c:v>0.10758840038451362</c:v>
                </c:pt>
                <c:pt idx="1">
                  <c:v>0.10975949992225113</c:v>
                </c:pt>
                <c:pt idx="2">
                  <c:v>0.11242276989593368</c:v>
                </c:pt>
                <c:pt idx="3">
                  <c:v>0.11569556188983847</c:v>
                </c:pt>
                <c:pt idx="4">
                  <c:v>0.11972539085028903</c:v>
                </c:pt>
                <c:pt idx="5">
                  <c:v>0.12469827559992272</c:v>
                </c:pt>
                <c:pt idx="6">
                  <c:v>0.13084933165755455</c:v>
                </c:pt>
                <c:pt idx="7">
                  <c:v>0.13847595882452055</c:v>
                </c:pt>
                <c:pt idx="8">
                  <c:v>0.14795367779313168</c:v>
                </c:pt>
                <c:pt idx="9">
                  <c:v>0.15975393385771039</c:v>
                </c:pt>
                <c:pt idx="10">
                  <c:v>0.17446161783232281</c:v>
                </c:pt>
                <c:pt idx="11">
                  <c:v>0.19278709699304264</c:v>
                </c:pt>
                <c:pt idx="12">
                  <c:v>0.21556260834092503</c:v>
                </c:pt>
                <c:pt idx="13">
                  <c:v>0.2437058840074271</c:v>
                </c:pt>
                <c:pt idx="14">
                  <c:v>0.27812676213584359</c:v>
                </c:pt>
                <c:pt idx="15">
                  <c:v>0.31955157031118309</c:v>
                </c:pt>
                <c:pt idx="16">
                  <c:v>0.36825757073817683</c:v>
                </c:pt>
                <c:pt idx="17">
                  <c:v>0.42375912655029568</c:v>
                </c:pt>
                <c:pt idx="18">
                  <c:v>0.48456360663239323</c:v>
                </c:pt>
                <c:pt idx="19">
                  <c:v>0.54816868127715923</c:v>
                </c:pt>
                <c:pt idx="20">
                  <c:v>0.61141956658254015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27-4458-B867-6B27ADC5A272}"/>
            </c:ext>
          </c:extLst>
        </c:ser>
        <c:ser>
          <c:idx val="5"/>
          <c:order val="5"/>
          <c:tx>
            <c:v>0.25</c:v>
          </c:tx>
          <c:spPr>
            <a:solidFill>
              <a:schemeClr val="accent1">
                <a:shade val="68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Page'!$D$114:$X$114</c:f>
              <c:numCache>
                <c:formatCode>0.00</c:formatCode>
                <c:ptCount val="21"/>
                <c:pt idx="0">
                  <c:v>0.10978068195889759</c:v>
                </c:pt>
                <c:pt idx="1">
                  <c:v>0.11244877513893288</c:v>
                </c:pt>
                <c:pt idx="2">
                  <c:v>0.11572754860824641</c:v>
                </c:pt>
                <c:pt idx="3">
                  <c:v>0.11976481740456991</c:v>
                </c:pt>
                <c:pt idx="4">
                  <c:v>0.12474698341810533</c:v>
                </c:pt>
                <c:pt idx="5">
                  <c:v>0.13090964981146253</c:v>
                </c:pt>
                <c:pt idx="6">
                  <c:v>0.13855083239699642</c:v>
                </c:pt>
                <c:pt idx="7">
                  <c:v>0.14804681812907924</c:v>
                </c:pt>
                <c:pt idx="8">
                  <c:v>0.15986997929782704</c:v>
                </c:pt>
                <c:pt idx="9">
                  <c:v>0.17460627444788224</c:v>
                </c:pt>
                <c:pt idx="10">
                  <c:v>0.1929671946825984</c:v>
                </c:pt>
                <c:pt idx="11">
                  <c:v>0.21578595421669311</c:v>
                </c:pt>
                <c:pt idx="12">
                  <c:v>0.24398072759995063</c:v>
                </c:pt>
                <c:pt idx="13">
                  <c:v>0.27846063789892428</c:v>
                </c:pt>
                <c:pt idx="14">
                  <c:v>0.31994933445306872</c:v>
                </c:pt>
                <c:pt idx="15">
                  <c:v>0.36871873112178111</c:v>
                </c:pt>
                <c:pt idx="16">
                  <c:v>0.42427515367828167</c:v>
                </c:pt>
                <c:pt idx="17">
                  <c:v>0.48511659856833184</c:v>
                </c:pt>
                <c:pt idx="18">
                  <c:v>0.54873287314349217</c:v>
                </c:pt>
                <c:pt idx="19">
                  <c:v>0.61196605161407003</c:v>
                </c:pt>
                <c:pt idx="20">
                  <c:v>0.67166050578033609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27-4458-B867-6B27ADC5A272}"/>
            </c:ext>
          </c:extLst>
        </c:ser>
        <c:ser>
          <c:idx val="6"/>
          <c:order val="6"/>
          <c:tx>
            <c:v>0.3</c:v>
          </c:tx>
          <c:spPr>
            <a:solidFill>
              <a:schemeClr val="accent1">
                <a:shade val="74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Page'!$D$115:$X$115</c:f>
              <c:numCache>
                <c:formatCode>0.00</c:formatCode>
                <c:ptCount val="21"/>
                <c:pt idx="0">
                  <c:v>0.11247482767970424</c:v>
                </c:pt>
                <c:pt idx="1">
                  <c:v>0.11575959406607386</c:v>
                </c:pt>
                <c:pt idx="2">
                  <c:v>0.11980431712612048</c:v>
                </c:pt>
                <c:pt idx="3">
                  <c:v>0.12479578264069781</c:v>
                </c:pt>
                <c:pt idx="4">
                  <c:v>0.13097008244295535</c:v>
                </c:pt>
                <c:pt idx="5">
                  <c:v>0.13862584959335356</c:v>
                </c:pt>
                <c:pt idx="6">
                  <c:v>0.14814013870723292</c:v>
                </c:pt>
                <c:pt idx="7">
                  <c:v>0.15998625046372858</c:v>
                </c:pt>
                <c:pt idx="8">
                  <c:v>0.17475121213121489</c:v>
                </c:pt>
                <c:pt idx="9">
                  <c:v>0.19314763845481608</c:v>
                </c:pt>
                <c:pt idx="10">
                  <c:v>0.21600971816575235</c:v>
                </c:pt>
                <c:pt idx="11">
                  <c:v>0.24425606109949544</c:v>
                </c:pt>
                <c:pt idx="12">
                  <c:v>0.27879506160357265</c:v>
                </c:pt>
                <c:pt idx="13">
                  <c:v>0.3203476698213325</c:v>
                </c:pt>
                <c:pt idx="14">
                  <c:v>0.36918042607672996</c:v>
                </c:pt>
                <c:pt idx="15">
                  <c:v>0.42479159869201527</c:v>
                </c:pt>
                <c:pt idx="16">
                  <c:v>0.48566981078177013</c:v>
                </c:pt>
                <c:pt idx="17">
                  <c:v>0.54929703522318651</c:v>
                </c:pt>
                <c:pt idx="18">
                  <c:v>0.61251225682003996</c:v>
                </c:pt>
                <c:pt idx="19">
                  <c:v>0.67216306385160274</c:v>
                </c:pt>
                <c:pt idx="20">
                  <c:v>0.7257740789332281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27-4458-B867-6B27ADC5A272}"/>
            </c:ext>
          </c:extLst>
        </c:ser>
        <c:ser>
          <c:idx val="7"/>
          <c:order val="7"/>
          <c:tx>
            <c:v>0.35</c:v>
          </c:tx>
          <c:spPr>
            <a:solidFill>
              <a:schemeClr val="accent1">
                <a:shade val="80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Page'!$D$116:$X$116</c:f>
              <c:numCache>
                <c:formatCode>0.00</c:formatCode>
                <c:ptCount val="21"/>
                <c:pt idx="0">
                  <c:v>0.11579169837643273</c:v>
                </c:pt>
                <c:pt idx="1">
                  <c:v>0.11984389015776648</c:v>
                </c:pt>
                <c:pt idx="2">
                  <c:v>0.12484467344837182</c:v>
                </c:pt>
                <c:pt idx="3">
                  <c:v>0.13103062978055843</c:v>
                </c:pt>
                <c:pt idx="4">
                  <c:v>0.13870101070173507</c:v>
                </c:pt>
                <c:pt idx="5">
                  <c:v>0.14823363988803909</c:v>
                </c:pt>
                <c:pt idx="6">
                  <c:v>0.16010274779948194</c:v>
                </c:pt>
                <c:pt idx="7">
                  <c:v>0.17489643141503242</c:v>
                </c:pt>
                <c:pt idx="8">
                  <c:v>0.1933284289206694</c:v>
                </c:pt>
                <c:pt idx="9">
                  <c:v>0.21623390083700289</c:v>
                </c:pt>
                <c:pt idx="10">
                  <c:v>0.24453188510374402</c:v>
                </c:pt>
                <c:pt idx="11">
                  <c:v>0.27913003364265226</c:v>
                </c:pt>
                <c:pt idx="12">
                  <c:v>0.32074657639169762</c:v>
                </c:pt>
                <c:pt idx="13">
                  <c:v>0.36964265494348159</c:v>
                </c:pt>
                <c:pt idx="14">
                  <c:v>0.42530846018348206</c:v>
                </c:pt>
                <c:pt idx="15">
                  <c:v>0.48622324123262406</c:v>
                </c:pt>
                <c:pt idx="16">
                  <c:v>0.54986116522452144</c:v>
                </c:pt>
                <c:pt idx="17">
                  <c:v>0.61305818016803271</c:v>
                </c:pt>
                <c:pt idx="18">
                  <c:v>0.67266514491302654</c:v>
                </c:pt>
                <c:pt idx="19">
                  <c:v>0.72621495863537289</c:v>
                </c:pt>
                <c:pt idx="20">
                  <c:v>0.77231216971663397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C27-4458-B867-6B27ADC5A272}"/>
            </c:ext>
          </c:extLst>
        </c:ser>
        <c:ser>
          <c:idx val="8"/>
          <c:order val="8"/>
          <c:tx>
            <c:v>0.4</c:v>
          </c:tx>
          <c:spPr>
            <a:solidFill>
              <a:schemeClr val="accent1">
                <a:shade val="87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Page'!$D$117:$X$117</c:f>
              <c:numCache>
                <c:formatCode>0.00</c:formatCode>
                <c:ptCount val="21"/>
                <c:pt idx="0">
                  <c:v>0.11988353664262912</c:v>
                </c:pt>
                <c:pt idx="1">
                  <c:v>0.12489365602217467</c:v>
                </c:pt>
                <c:pt idx="2">
                  <c:v>0.13109129205326939</c:v>
                </c:pt>
                <c:pt idx="3">
                  <c:v>0.13877631601086607</c:v>
                </c:pt>
                <c:pt idx="4">
                  <c:v>0.14832732203263682</c:v>
                </c:pt>
                <c:pt idx="5">
                  <c:v>0.16021947174992848</c:v>
                </c:pt>
                <c:pt idx="6">
                  <c:v>0.17504193283281388</c:v>
                </c:pt>
                <c:pt idx="7">
                  <c:v>0.19350956669170036</c:v>
                </c:pt>
                <c:pt idx="8">
                  <c:v>0.21645850287936888</c:v>
                </c:pt>
                <c:pt idx="9">
                  <c:v>0.24480820020934527</c:v>
                </c:pt>
                <c:pt idx="10">
                  <c:v>0.27946555440634124</c:v>
                </c:pt>
                <c:pt idx="11">
                  <c:v>0.32114605413518027</c:v>
                </c:pt>
                <c:pt idx="12">
                  <c:v>0.37010541705613437</c:v>
                </c:pt>
                <c:pt idx="13">
                  <c:v>0.42582573673817742</c:v>
                </c:pt>
                <c:pt idx="14">
                  <c:v>0.48677688787658885</c:v>
                </c:pt>
                <c:pt idx="15">
                  <c:v>0.55042526085580656</c:v>
                </c:pt>
                <c:pt idx="16">
                  <c:v>0.61360381963004196</c:v>
                </c:pt>
                <c:pt idx="17">
                  <c:v>0.67316674760360851</c:v>
                </c:pt>
                <c:pt idx="18">
                  <c:v>0.72665525152769594</c:v>
                </c:pt>
                <c:pt idx="19">
                  <c:v>0.77268388764348039</c:v>
                </c:pt>
                <c:pt idx="20">
                  <c:v>0.81094246654826407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27-4458-B867-6B27ADC5A272}"/>
            </c:ext>
          </c:extLst>
        </c:ser>
        <c:ser>
          <c:idx val="9"/>
          <c:order val="9"/>
          <c:tx>
            <c:v>0.45</c:v>
          </c:tx>
          <c:spPr>
            <a:solidFill>
              <a:schemeClr val="accent1">
                <a:shade val="93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Page'!$D$118:$X$118</c:f>
              <c:numCache>
                <c:formatCode>0.00</c:formatCode>
                <c:ptCount val="21"/>
                <c:pt idx="0">
                  <c:v>0.12494273054352985</c:v>
                </c:pt>
                <c:pt idx="1">
                  <c:v>0.13115206949055866</c:v>
                </c:pt>
                <c:pt idx="2">
                  <c:v>0.13885176581005457</c:v>
                </c:pt>
                <c:pt idx="3">
                  <c:v>0.14842118550285871</c:v>
                </c:pt>
                <c:pt idx="4">
                  <c:v>0.16033642276068419</c:v>
                </c:pt>
                <c:pt idx="5">
                  <c:v>0.17518771691880483</c:v>
                </c:pt>
                <c:pt idx="6">
                  <c:v>0.19369105238001535</c:v>
                </c:pt>
                <c:pt idx="7">
                  <c:v>0.21668352494179152</c:v>
                </c:pt>
                <c:pt idx="8">
                  <c:v>0.24508500701190078</c:v>
                </c:pt>
                <c:pt idx="9">
                  <c:v>0.27980162428211491</c:v>
                </c:pt>
                <c:pt idx="10">
                  <c:v>0.32154610301807135</c:v>
                </c:pt>
                <c:pt idx="11">
                  <c:v>0.37056871174241562</c:v>
                </c:pt>
                <c:pt idx="12">
                  <c:v>0.42634342693511623</c:v>
                </c:pt>
                <c:pt idx="13">
                  <c:v>0.48733074866516635</c:v>
                </c:pt>
                <c:pt idx="14">
                  <c:v>0.5509893198254231</c:v>
                </c:pt>
                <c:pt idx="15">
                  <c:v>0.61414917318250684</c:v>
                </c:pt>
                <c:pt idx="16">
                  <c:v>0.67366787056926181</c:v>
                </c:pt>
                <c:pt idx="17">
                  <c:v>0.72709495705621241</c:v>
                </c:pt>
                <c:pt idx="18">
                  <c:v>0.77305499603988026</c:v>
                </c:pt>
                <c:pt idx="19">
                  <c:v>0.81124632790333906</c:v>
                </c:pt>
                <c:pt idx="20">
                  <c:v>0.84216630619817157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C27-4458-B867-6B27ADC5A272}"/>
            </c:ext>
          </c:extLst>
        </c:ser>
        <c:ser>
          <c:idx val="10"/>
          <c:order val="10"/>
          <c:tx>
            <c:v>0.5</c:v>
          </c:tx>
          <c:spPr>
            <a:solidFill>
              <a:schemeClr val="accent1"/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Page'!$D$119:$X$119</c:f>
              <c:numCache>
                <c:formatCode>0.00</c:formatCode>
                <c:ptCount val="21"/>
                <c:pt idx="0">
                  <c:v>0.13121296232237073</c:v>
                </c:pt>
                <c:pt idx="1">
                  <c:v>0.13892736038919262</c:v>
                </c:pt>
                <c:pt idx="2">
                  <c:v>0.14851523066123168</c:v>
                </c:pt>
                <c:pt idx="3">
                  <c:v>0.16045360127814018</c:v>
                </c:pt>
                <c:pt idx="4">
                  <c:v>0.17533378420801662</c:v>
                </c:pt>
                <c:pt idx="5">
                  <c:v>0.19387288659828342</c:v>
                </c:pt>
                <c:pt idx="6">
                  <c:v>0.21690896767322243</c:v>
                </c:pt>
                <c:pt idx="7">
                  <c:v>0.24536230610595408</c:v>
                </c:pt>
                <c:pt idx="8">
                  <c:v>0.28013824365472911</c:v>
                </c:pt>
                <c:pt idx="9">
                  <c:v>0.32194672300192068</c:v>
                </c:pt>
                <c:pt idx="10">
                  <c:v>0.37103253832367278</c:v>
                </c:pt>
                <c:pt idx="11">
                  <c:v>0.42686152934684174</c:v>
                </c:pt>
                <c:pt idx="12">
                  <c:v>0.48788482154569984</c:v>
                </c:pt>
                <c:pt idx="13">
                  <c:v>0.55155333984186472</c:v>
                </c:pt>
                <c:pt idx="14">
                  <c:v>0.61469423880634422</c:v>
                </c:pt>
                <c:pt idx="15">
                  <c:v>0.6741685124628235</c:v>
                </c:pt>
                <c:pt idx="16">
                  <c:v>0.72753407467373055</c:v>
                </c:pt>
                <c:pt idx="17">
                  <c:v>0.77342549503209779</c:v>
                </c:pt>
                <c:pt idx="18">
                  <c:v>0.81154962097076933</c:v>
                </c:pt>
                <c:pt idx="19">
                  <c:v>0.84240925509707643</c:v>
                </c:pt>
                <c:pt idx="20">
                  <c:v>0.8669463733468693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27-4458-B867-6B27ADC5A272}"/>
            </c:ext>
          </c:extLst>
        </c:ser>
        <c:ser>
          <c:idx val="11"/>
          <c:order val="11"/>
          <c:tx>
            <c:v>0.55</c:v>
          </c:tx>
          <c:spPr>
            <a:solidFill>
              <a:schemeClr val="accent1">
                <a:tint val="94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Page'!$D$120:$X$120</c:f>
              <c:numCache>
                <c:formatCode>0.00</c:formatCode>
                <c:ptCount val="21"/>
                <c:pt idx="0">
                  <c:v>0.13900310003875707</c:v>
                </c:pt>
                <c:pt idx="1">
                  <c:v>0.1486094578709781</c:v>
                </c:pt>
                <c:pt idx="2">
                  <c:v>0.16057100774946317</c:v>
                </c:pt>
                <c:pt idx="3">
                  <c:v>0.17548013523622549</c:v>
                </c:pt>
                <c:pt idx="4">
                  <c:v>0.19405506995973162</c:v>
                </c:pt>
                <c:pt idx="5">
                  <c:v>0.21713483172261686</c:v>
                </c:pt>
                <c:pt idx="6">
                  <c:v>0.24564009808497766</c:v>
                </c:pt>
                <c:pt idx="7">
                  <c:v>0.2804754129062027</c:v>
                </c:pt>
                <c:pt idx="8">
                  <c:v>0.32234791404351715</c:v>
                </c:pt>
                <c:pt idx="9">
                  <c:v>0.37149689611486481</c:v>
                </c:pt>
                <c:pt idx="10">
                  <c:v>0.42738004253943401</c:v>
                </c:pt>
                <c:pt idx="11">
                  <c:v>0.48843910446140132</c:v>
                </c:pt>
                <c:pt idx="12">
                  <c:v>0.55211731861378022</c:v>
                </c:pt>
                <c:pt idx="13">
                  <c:v>0.61523901448697982</c:v>
                </c:pt>
                <c:pt idx="14">
                  <c:v>0.67466867194406388</c:v>
                </c:pt>
                <c:pt idx="15">
                  <c:v>0.7279726038398423</c:v>
                </c:pt>
                <c:pt idx="16">
                  <c:v>0.77379538475129839</c:v>
                </c:pt>
                <c:pt idx="17">
                  <c:v>0.81185234630447944</c:v>
                </c:pt>
                <c:pt idx="18">
                  <c:v>0.84265171148440643</c:v>
                </c:pt>
                <c:pt idx="19">
                  <c:v>0.86713785742359983</c:v>
                </c:pt>
                <c:pt idx="20">
                  <c:v>0.88639464945321111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C27-4458-B867-6B27ADC5A272}"/>
            </c:ext>
          </c:extLst>
        </c:ser>
        <c:ser>
          <c:idx val="12"/>
          <c:order val="12"/>
          <c:tx>
            <c:v>0.6</c:v>
          </c:tx>
          <c:spPr>
            <a:solidFill>
              <a:schemeClr val="accent1">
                <a:tint val="88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Page'!$D$121:$X$121</c:f>
              <c:numCache>
                <c:formatCode>0.00</c:formatCode>
                <c:ptCount val="21"/>
                <c:pt idx="0">
                  <c:v>0.14870386749601652</c:v>
                </c:pt>
                <c:pt idx="1">
                  <c:v>0.16068864262259591</c:v>
                </c:pt>
                <c:pt idx="2">
                  <c:v>0.17562677053997208</c:v>
                </c:pt>
                <c:pt idx="3">
                  <c:v>0.19423760307814317</c:v>
                </c:pt>
                <c:pt idx="4">
                  <c:v>0.21736111773892602</c:v>
                </c:pt>
                <c:pt idx="5">
                  <c:v>0.24591838354136186</c:v>
                </c:pt>
                <c:pt idx="6">
                  <c:v>0.28081313241580114</c:v>
                </c:pt>
                <c:pt idx="7">
                  <c:v>0.32274967609487287</c:v>
                </c:pt>
                <c:pt idx="8">
                  <c:v>0.37196178442455191</c:v>
                </c:pt>
                <c:pt idx="9">
                  <c:v>0.42789896507252162</c:v>
                </c:pt>
                <c:pt idx="10">
                  <c:v>0.48899359535138437</c:v>
                </c:pt>
                <c:pt idx="11">
                  <c:v>0.55268125385001321</c:v>
                </c:pt>
                <c:pt idx="12">
                  <c:v>0.6157834982143815</c:v>
                </c:pt>
                <c:pt idx="13">
                  <c:v>0.67516834767969547</c:v>
                </c:pt>
                <c:pt idx="14">
                  <c:v>0.72841054402091243</c:v>
                </c:pt>
                <c:pt idx="15">
                  <c:v>0.77416466533352901</c:v>
                </c:pt>
                <c:pt idx="16">
                  <c:v>0.81215450446097215</c:v>
                </c:pt>
                <c:pt idx="17">
                  <c:v>0.8428936760971385</c:v>
                </c:pt>
                <c:pt idx="18">
                  <c:v>0.86732893521569687</c:v>
                </c:pt>
                <c:pt idx="19">
                  <c:v>0.88654438012169567</c:v>
                </c:pt>
                <c:pt idx="20">
                  <c:v>0.90157494628505608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C27-4458-B867-6B27ADC5A272}"/>
            </c:ext>
          </c:extLst>
        </c:ser>
        <c:ser>
          <c:idx val="13"/>
          <c:order val="13"/>
          <c:tx>
            <c:v>0.65</c:v>
          </c:tx>
          <c:spPr>
            <a:solidFill>
              <a:schemeClr val="accent1">
                <a:tint val="81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Page'!$D$122:$X$122</c:f>
              <c:numCache>
                <c:formatCode>0.00</c:formatCode>
                <c:ptCount val="21"/>
                <c:pt idx="0">
                  <c:v>0.16080650634625751</c:v>
                </c:pt>
                <c:pt idx="1">
                  <c:v>0.17577369065656046</c:v>
                </c:pt>
                <c:pt idx="2">
                  <c:v>0.19442048656785357</c:v>
                </c:pt>
                <c:pt idx="3">
                  <c:v>0.21758782637109073</c:v>
                </c:pt>
                <c:pt idx="4">
                  <c:v>0.24619716306640141</c:v>
                </c:pt>
                <c:pt idx="5">
                  <c:v>0.28115140256001947</c:v>
                </c:pt>
                <c:pt idx="6">
                  <c:v>0.32315200910320396</c:v>
                </c:pt>
                <c:pt idx="7">
                  <c:v>0.37242720255488704</c:v>
                </c:pt>
                <c:pt idx="8">
                  <c:v>0.428418295499289</c:v>
                </c:pt>
                <c:pt idx="9">
                  <c:v>0.48954829215069662</c:v>
                </c:pt>
                <c:pt idx="10">
                  <c:v>0.55324514325964524</c:v>
                </c:pt>
                <c:pt idx="11">
                  <c:v>0.61632768798309012</c:v>
                </c:pt>
                <c:pt idx="12">
                  <c:v>0.67566753834338311</c:v>
                </c:pt>
                <c:pt idx="13">
                  <c:v>0.7288478946900665</c:v>
                </c:pt>
                <c:pt idx="14">
                  <c:v>0.77453333691969972</c:v>
                </c:pt>
                <c:pt idx="15">
                  <c:v>0.81245609599930879</c:v>
                </c:pt>
                <c:pt idx="16">
                  <c:v>0.84313514967297143</c:v>
                </c:pt>
                <c:pt idx="17">
                  <c:v>0.86751960747242673</c:v>
                </c:pt>
                <c:pt idx="18">
                  <c:v>0.88669378628751339</c:v>
                </c:pt>
                <c:pt idx="19">
                  <c:v>0.90169167098293168</c:v>
                </c:pt>
                <c:pt idx="20">
                  <c:v>0.91340840812196233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C27-4458-B867-6B27ADC5A272}"/>
            </c:ext>
          </c:extLst>
        </c:ser>
        <c:ser>
          <c:idx val="14"/>
          <c:order val="14"/>
          <c:tx>
            <c:v>0.7</c:v>
          </c:tx>
          <c:spPr>
            <a:solidFill>
              <a:schemeClr val="accent1">
                <a:tint val="75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Page'!$D$123:$X$123</c:f>
              <c:numCache>
                <c:formatCode>0.00</c:formatCode>
                <c:ptCount val="21"/>
                <c:pt idx="0">
                  <c:v>0.17592089612405723</c:v>
                </c:pt>
                <c:pt idx="1">
                  <c:v>0.19460372104374768</c:v>
                </c:pt>
                <c:pt idx="2">
                  <c:v>0.21781495826803404</c:v>
                </c:pt>
                <c:pt idx="3">
                  <c:v>0.2464764372502842</c:v>
                </c:pt>
                <c:pt idx="4">
                  <c:v>0.28149022371256488</c:v>
                </c:pt>
                <c:pt idx="5">
                  <c:v>0.32355491301091494</c:v>
                </c:pt>
                <c:pt idx="6">
                  <c:v>0.37289314980160609</c:v>
                </c:pt>
                <c:pt idx="7">
                  <c:v>0.42893803236648781</c:v>
                </c:pt>
                <c:pt idx="8">
                  <c:v>0.49010319279034875</c:v>
                </c:pt>
                <c:pt idx="9">
                  <c:v>0.55380898455203675</c:v>
                </c:pt>
                <c:pt idx="10">
                  <c:v>0.61687158179225143</c:v>
                </c:pt>
                <c:pt idx="11">
                  <c:v>0.67616624261575353</c:v>
                </c:pt>
                <c:pt idx="12">
                  <c:v>0.7292846553271799</c:v>
                </c:pt>
                <c:pt idx="13">
                  <c:v>0.77490139965556049</c:v>
                </c:pt>
                <c:pt idx="14">
                  <c:v>0.81275712148109158</c:v>
                </c:pt>
                <c:pt idx="15">
                  <c:v>0.84337613295031433</c:v>
                </c:pt>
                <c:pt idx="16">
                  <c:v>0.86770987494265694</c:v>
                </c:pt>
                <c:pt idx="17">
                  <c:v>0.88684286862092443</c:v>
                </c:pt>
                <c:pt idx="18">
                  <c:v>0.90180814159426548</c:v>
                </c:pt>
                <c:pt idx="19">
                  <c:v>0.91349943828752522</c:v>
                </c:pt>
                <c:pt idx="20">
                  <c:v>0.92264726183889989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C27-4458-B867-6B27ADC5A272}"/>
            </c:ext>
          </c:extLst>
        </c:ser>
        <c:ser>
          <c:idx val="15"/>
          <c:order val="15"/>
          <c:tx>
            <c:v>0.75</c:v>
          </c:tx>
          <c:spPr>
            <a:solidFill>
              <a:schemeClr val="accent1">
                <a:tint val="69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Page'!$D$124:$X$124</c:f>
              <c:numCache>
                <c:formatCode>0.00</c:formatCode>
                <c:ptCount val="21"/>
                <c:pt idx="0">
                  <c:v>0.19478730712125664</c:v>
                </c:pt>
                <c:pt idx="1">
                  <c:v>0.21804251407865455</c:v>
                </c:pt>
                <c:pt idx="2">
                  <c:v>0.24675620668207862</c:v>
                </c:pt>
                <c:pt idx="3">
                  <c:v>0.28182959624434017</c:v>
                </c:pt>
                <c:pt idx="4">
                  <c:v>0.32395838775557939</c:v>
                </c:pt>
                <c:pt idx="5">
                  <c:v>0.37335962545402063</c:v>
                </c:pt>
                <c:pt idx="6">
                  <c:v>0.42945817421444632</c:v>
                </c:pt>
                <c:pt idx="7">
                  <c:v>0.4906582951973481</c:v>
                </c:pt>
                <c:pt idx="8">
                  <c:v>0.55437277543686914</c:v>
                </c:pt>
                <c:pt idx="9">
                  <c:v>0.61741517764564879</c:v>
                </c:pt>
                <c:pt idx="10">
                  <c:v>0.67666445918440177</c:v>
                </c:pt>
                <c:pt idx="11">
                  <c:v>0.72972082541886718</c:v>
                </c:pt>
                <c:pt idx="12">
                  <c:v>0.7752688536916833</c:v>
                </c:pt>
                <c:pt idx="13">
                  <c:v>0.81305758147044382</c:v>
                </c:pt>
                <c:pt idx="14">
                  <c:v>0.84361662666827275</c:v>
                </c:pt>
                <c:pt idx="15">
                  <c:v>0.86789973837485057</c:v>
                </c:pt>
                <c:pt idx="16">
                  <c:v>0.88699162779128649</c:v>
                </c:pt>
                <c:pt idx="17">
                  <c:v>0.90192435867673904</c:v>
                </c:pt>
                <c:pt idx="18">
                  <c:v>0.91359027165449569</c:v>
                </c:pt>
                <c:pt idx="19">
                  <c:v>0.92271844205922815</c:v>
                </c:pt>
                <c:pt idx="20">
                  <c:v>0.92988462219269929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C27-4458-B867-6B27ADC5A272}"/>
            </c:ext>
          </c:extLst>
        </c:ser>
        <c:ser>
          <c:idx val="16"/>
          <c:order val="16"/>
          <c:tx>
            <c:v>0.8</c:v>
          </c:tx>
          <c:spPr>
            <a:solidFill>
              <a:schemeClr val="accent1">
                <a:tint val="62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Page'!$D$125:$X$125</c:f>
              <c:numCache>
                <c:formatCode>0.00</c:formatCode>
                <c:ptCount val="21"/>
                <c:pt idx="0">
                  <c:v>0.21827049445181848</c:v>
                </c:pt>
                <c:pt idx="1">
                  <c:v>0.24703647194972111</c:v>
                </c:pt>
                <c:pt idx="2">
                  <c:v>0.28216952052342631</c:v>
                </c:pt>
                <c:pt idx="3">
                  <c:v>0.32436243326992359</c:v>
                </c:pt>
                <c:pt idx="4">
                  <c:v>0.37382662879500733</c:v>
                </c:pt>
                <c:pt idx="5">
                  <c:v>0.42997871957708084</c:v>
                </c:pt>
                <c:pt idx="6">
                  <c:v>0.4912135972947298</c:v>
                </c:pt>
                <c:pt idx="7">
                  <c:v>0.55493651362418472</c:v>
                </c:pt>
                <c:pt idx="8">
                  <c:v>0.61795847355173328</c:v>
                </c:pt>
                <c:pt idx="9">
                  <c:v>0.67716218674390383</c:v>
                </c:pt>
                <c:pt idx="10">
                  <c:v>0.73015640445846963</c:v>
                </c:pt>
                <c:pt idx="11">
                  <c:v>0.77563569918344033</c:v>
                </c:pt>
                <c:pt idx="12">
                  <c:v>0.81335747653399149</c:v>
                </c:pt>
                <c:pt idx="13">
                  <c:v>0.84385663156663715</c:v>
                </c:pt>
                <c:pt idx="14">
                  <c:v>0.86808919851705846</c:v>
                </c:pt>
                <c:pt idx="15">
                  <c:v>0.8871400644670504</c:v>
                </c:pt>
                <c:pt idx="16">
                  <c:v>0.90204032278701496</c:v>
                </c:pt>
                <c:pt idx="17">
                  <c:v>0.91368090866733309</c:v>
                </c:pt>
                <c:pt idx="18">
                  <c:v>0.92278947054070648</c:v>
                </c:pt>
                <c:pt idx="19">
                  <c:v>0.92994050316766541</c:v>
                </c:pt>
                <c:pt idx="20">
                  <c:v>0.93557877885464125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C27-4458-B867-6B27ADC5A272}"/>
            </c:ext>
          </c:extLst>
        </c:ser>
        <c:ser>
          <c:idx val="17"/>
          <c:order val="17"/>
          <c:tx>
            <c:v>0.85</c:v>
          </c:tx>
          <c:spPr>
            <a:solidFill>
              <a:schemeClr val="accent1">
                <a:tint val="56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Page'!$D$126:$X$126</c:f>
              <c:numCache>
                <c:formatCode>0.00</c:formatCode>
                <c:ptCount val="21"/>
                <c:pt idx="0">
                  <c:v>0.24731723364000388</c:v>
                </c:pt>
                <c:pt idx="1">
                  <c:v>0.2825099969150654</c:v>
                </c:pt>
                <c:pt idx="2">
                  <c:v>0.32476704948180862</c:v>
                </c:pt>
                <c:pt idx="3">
                  <c:v>0.37429415910100056</c:v>
                </c:pt>
                <c:pt idx="4">
                  <c:v>0.43049966698190439</c:v>
                </c:pt>
                <c:pt idx="5">
                  <c:v>0.4917690970015885</c:v>
                </c:pt>
                <c:pt idx="6">
                  <c:v>0.5555001968244293</c:v>
                </c:pt>
                <c:pt idx="7">
                  <c:v>0.61850146752365531</c:v>
                </c:pt>
                <c:pt idx="8">
                  <c:v>0.67765942399582169</c:v>
                </c:pt>
                <c:pt idx="9">
                  <c:v>0.73059139194604461</c:v>
                </c:pt>
                <c:pt idx="10">
                  <c:v>0.77600193629098424</c:v>
                </c:pt>
                <c:pt idx="11">
                  <c:v>0.81365680724084344</c:v>
                </c:pt>
                <c:pt idx="12">
                  <c:v>0.84409614838586811</c:v>
                </c:pt>
                <c:pt idx="13">
                  <c:v>0.86827825611691256</c:v>
                </c:pt>
                <c:pt idx="14">
                  <c:v>0.88728817931576021</c:v>
                </c:pt>
                <c:pt idx="15">
                  <c:v>0.90215603448073578</c:v>
                </c:pt>
                <c:pt idx="16">
                  <c:v>0.91377134976955732</c:v>
                </c:pt>
                <c:pt idx="17">
                  <c:v>0.92286034762873614</c:v>
                </c:pt>
                <c:pt idx="18">
                  <c:v>0.92999626716755113</c:v>
                </c:pt>
                <c:pt idx="19">
                  <c:v>0.9356228529897227</c:v>
                </c:pt>
                <c:pt idx="20">
                  <c:v>0.94008016723775312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C27-4458-B867-6B27ADC5A272}"/>
            </c:ext>
          </c:extLst>
        </c:ser>
        <c:ser>
          <c:idx val="18"/>
          <c:order val="18"/>
          <c:tx>
            <c:v>0.9</c:v>
          </c:tx>
          <c:spPr>
            <a:solidFill>
              <a:schemeClr val="accent1">
                <a:tint val="50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Page'!$D$127:$X$127</c:f>
              <c:numCache>
                <c:formatCode>0.00</c:formatCode>
                <c:ptCount val="21"/>
                <c:pt idx="0">
                  <c:v>0.28285102578164345</c:v>
                </c:pt>
                <c:pt idx="1">
                  <c:v>0.32517223631421288</c:v>
                </c:pt>
                <c:pt idx="2">
                  <c:v>0.37476221564198364</c:v>
                </c:pt>
                <c:pt idx="3">
                  <c:v>0.43102101495003886</c:v>
                </c:pt>
                <c:pt idx="4">
                  <c:v>0.49232479223311065</c:v>
                </c:pt>
                <c:pt idx="5">
                  <c:v>0.55606382274849409</c:v>
                </c:pt>
                <c:pt idx="6">
                  <c:v>0.61904415757929498</c:v>
                </c:pt>
                <c:pt idx="7">
                  <c:v>0.67815616964871361</c:v>
                </c:pt>
                <c:pt idx="8">
                  <c:v>0.73102578738835244</c:v>
                </c:pt>
                <c:pt idx="9">
                  <c:v>0.77636756517922778</c:v>
                </c:pt>
                <c:pt idx="10">
                  <c:v>0.81395557416257258</c:v>
                </c:pt>
                <c:pt idx="11">
                  <c:v>0.84433517786708512</c:v>
                </c:pt>
                <c:pt idx="12">
                  <c:v>0.86846691192162051</c:v>
                </c:pt>
                <c:pt idx="13">
                  <c:v>0.88743597300404853</c:v>
                </c:pt>
                <c:pt idx="14">
                  <c:v>0.90227149431252562</c:v>
                </c:pt>
                <c:pt idx="15">
                  <c:v>0.91386159540375045</c:v>
                </c:pt>
                <c:pt idx="16">
                  <c:v>0.92293107366793237</c:v>
                </c:pt>
                <c:pt idx="17">
                  <c:v>0.93005191445712898</c:v>
                </c:pt>
                <c:pt idx="18">
                  <c:v>0.93566683670897499</c:v>
                </c:pt>
                <c:pt idx="19">
                  <c:v>0.94011509725855213</c:v>
                </c:pt>
                <c:pt idx="20">
                  <c:v>0.9436557170145119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C27-4458-B867-6B27ADC5A272}"/>
            </c:ext>
          </c:extLst>
        </c:ser>
        <c:ser>
          <c:idx val="19"/>
          <c:order val="19"/>
          <c:tx>
            <c:v>0.95</c:v>
          </c:tx>
          <c:spPr>
            <a:solidFill>
              <a:schemeClr val="accent1">
                <a:tint val="43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Page'!$D$128:$X$128</c:f>
              <c:numCache>
                <c:formatCode>0.00</c:formatCode>
                <c:ptCount val="21"/>
                <c:pt idx="0">
                  <c:v>0.32557799368521489</c:v>
                </c:pt>
                <c:pt idx="1">
                  <c:v>0.37523079768148032</c:v>
                </c:pt>
                <c:pt idx="2">
                  <c:v>0.43154276199622565</c:v>
                </c:pt>
                <c:pt idx="3">
                  <c:v>0.49288068090060699</c:v>
                </c:pt>
                <c:pt idx="4">
                  <c:v>0.55662738910775611</c:v>
                </c:pt>
                <c:pt idx="5">
                  <c:v>0.61958654174129535</c:v>
                </c:pt>
                <c:pt idx="6">
                  <c:v>0.67865242241814128</c:v>
                </c:pt>
                <c:pt idx="7">
                  <c:v>0.73145959029884622</c:v>
                </c:pt>
                <c:pt idx="8">
                  <c:v>0.77673258601782336</c:v>
                </c:pt>
                <c:pt idx="9">
                  <c:v>0.81425377787319919</c:v>
                </c:pt>
                <c:pt idx="10">
                  <c:v>0.84457372075205295</c:v>
                </c:pt>
                <c:pt idx="11">
                  <c:v>0.86865516667795761</c:v>
                </c:pt>
                <c:pt idx="12">
                  <c:v>0.88758344619763607</c:v>
                </c:pt>
                <c:pt idx="13">
                  <c:v>0.90238670283598976</c:v>
                </c:pt>
                <c:pt idx="14">
                  <c:v>0.91395164601155765</c:v>
                </c:pt>
                <c:pt idx="15">
                  <c:v>0.923001649002126</c:v>
                </c:pt>
                <c:pt idx="16">
                  <c:v>0.93010744530054723</c:v>
                </c:pt>
                <c:pt idx="17">
                  <c:v>0.93571073021414741</c:v>
                </c:pt>
                <c:pt idx="18">
                  <c:v>0.9401499570855244</c:v>
                </c:pt>
                <c:pt idx="19">
                  <c:v>0.94368353051976606</c:v>
                </c:pt>
                <c:pt idx="20">
                  <c:v>0.94650885585256472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C27-4458-B867-6B27ADC5A272}"/>
            </c:ext>
          </c:extLst>
        </c:ser>
        <c:ser>
          <c:idx val="20"/>
          <c:order val="20"/>
          <c:tx>
            <c:v>1</c:v>
          </c:tx>
          <c:spPr>
            <a:solidFill>
              <a:schemeClr val="accent1">
                <a:tint val="37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Page'!$D$129:$X$129</c:f>
              <c:numCache>
                <c:formatCode>0.00</c:formatCode>
                <c:ptCount val="21"/>
                <c:pt idx="0">
                  <c:v>0.37569990447654672</c:v>
                </c:pt>
                <c:pt idx="1">
                  <c:v>0.43206490662883656</c:v>
                </c:pt>
                <c:pt idx="2">
                  <c:v>0.49343676091154492</c:v>
                </c:pt>
                <c:pt idx="3">
                  <c:v>0.55719089361412055</c:v>
                </c:pt>
                <c:pt idx="4">
                  <c:v>0.62012861803708941</c:v>
                </c:pt>
                <c:pt idx="5">
                  <c:v>0.67914818102667851</c:v>
                </c:pt>
                <c:pt idx="6">
                  <c:v>0.73189280019765812</c:v>
                </c:pt>
                <c:pt idx="7">
                  <c:v>0.77709699898114204</c:v>
                </c:pt>
                <c:pt idx="8">
                  <c:v>0.81455141894916905</c:v>
                </c:pt>
                <c:pt idx="9">
                  <c:v>0.84481177778316996</c:v>
                </c:pt>
                <c:pt idx="10">
                  <c:v>0.86884302113226097</c:v>
                </c:pt>
                <c:pt idx="11">
                  <c:v>0.88773059956132838</c:v>
                </c:pt>
                <c:pt idx="12">
                  <c:v>0.90250166060371395</c:v>
                </c:pt>
                <c:pt idx="13">
                  <c:v>0.91404150203368806</c:v>
                </c:pt>
                <c:pt idx="14">
                  <c:v>0.92307207397436475</c:v>
                </c:pt>
                <c:pt idx="15">
                  <c:v>0.93016285996133208</c:v>
                </c:pt>
                <c:pt idx="16">
                  <c:v>0.93575453370650885</c:v>
                </c:pt>
                <c:pt idx="17">
                  <c:v>0.94018474687226139</c:v>
                </c:pt>
                <c:pt idx="18">
                  <c:v>0.94371128924081382</c:v>
                </c:pt>
                <c:pt idx="19">
                  <c:v>0.94653110025071385</c:v>
                </c:pt>
                <c:pt idx="20">
                  <c:v>0.94879513817230732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C27-4458-B867-6B27ADC5A272}"/>
            </c:ext>
          </c:extLst>
        </c:ser>
        <c:bandFmts>
          <c:bandFmt>
            <c:idx val="0"/>
            <c:spPr>
              <a:solidFill>
                <a:schemeClr val="accent1">
                  <a:shade val="32000"/>
                </a:schemeClr>
              </a:solidFill>
              <a:ln/>
              <a:effectLst/>
              <a:sp3d prstMaterial="flat"/>
            </c:spPr>
          </c:bandFmt>
          <c:bandFmt>
            <c:idx val="1"/>
            <c:spPr>
              <a:solidFill>
                <a:schemeClr val="accent1">
                  <a:shade val="35000"/>
                </a:schemeClr>
              </a:solidFill>
              <a:ln/>
              <a:effectLst/>
              <a:sp3d prstMaterial="flat"/>
            </c:spPr>
          </c:bandFmt>
          <c:bandFmt>
            <c:idx val="2"/>
            <c:spPr>
              <a:solidFill>
                <a:schemeClr val="accent1">
                  <a:shade val="38000"/>
                </a:schemeClr>
              </a:solidFill>
              <a:ln/>
              <a:effectLst/>
              <a:sp3d prstMaterial="flat"/>
            </c:spPr>
          </c:bandFmt>
          <c:bandFmt>
            <c:idx val="3"/>
            <c:spPr>
              <a:solidFill>
                <a:schemeClr val="accent1">
                  <a:shade val="40000"/>
                </a:schemeClr>
              </a:solidFill>
              <a:ln/>
              <a:effectLst/>
              <a:sp3d prstMaterial="flat"/>
            </c:spPr>
          </c:bandFmt>
          <c:bandFmt>
            <c:idx val="4"/>
            <c:spPr>
              <a:solidFill>
                <a:schemeClr val="accent1">
                  <a:shade val="43000"/>
                </a:schemeClr>
              </a:solidFill>
              <a:ln/>
              <a:effectLst/>
              <a:sp3d prstMaterial="flat"/>
            </c:spPr>
          </c:bandFmt>
          <c:bandFmt>
            <c:idx val="5"/>
            <c:spPr>
              <a:solidFill>
                <a:schemeClr val="accent1">
                  <a:shade val="46000"/>
                </a:schemeClr>
              </a:solidFill>
              <a:ln/>
              <a:effectLst/>
              <a:sp3d prstMaterial="flat"/>
            </c:spPr>
          </c:bandFmt>
          <c:bandFmt>
            <c:idx val="6"/>
            <c:spPr>
              <a:solidFill>
                <a:schemeClr val="accent1">
                  <a:shade val="48000"/>
                </a:schemeClr>
              </a:solidFill>
              <a:ln/>
              <a:effectLst/>
              <a:sp3d prstMaterial="flat"/>
            </c:spPr>
          </c:bandFmt>
          <c:bandFmt>
            <c:idx val="7"/>
            <c:spPr>
              <a:solidFill>
                <a:schemeClr val="accent1">
                  <a:shade val="51000"/>
                </a:schemeClr>
              </a:solidFill>
              <a:ln/>
              <a:effectLst/>
              <a:sp3d prstMaterial="flat"/>
            </c:spPr>
          </c:bandFmt>
          <c:bandFmt>
            <c:idx val="8"/>
            <c:spPr>
              <a:solidFill>
                <a:schemeClr val="accent1">
                  <a:shade val="54000"/>
                </a:schemeClr>
              </a:solidFill>
              <a:ln/>
              <a:effectLst/>
              <a:sp3d prstMaterial="flat"/>
            </c:spPr>
          </c:bandFmt>
          <c:bandFmt>
            <c:idx val="9"/>
            <c:spPr>
              <a:solidFill>
                <a:schemeClr val="accent1">
                  <a:shade val="56000"/>
                </a:schemeClr>
              </a:solidFill>
              <a:ln/>
              <a:effectLst/>
              <a:sp3d prstMaterial="flat"/>
            </c:spPr>
          </c:bandFmt>
          <c:bandFmt>
            <c:idx val="10"/>
            <c:spPr>
              <a:solidFill>
                <a:schemeClr val="accent1">
                  <a:shade val="59000"/>
                </a:schemeClr>
              </a:solidFill>
              <a:ln/>
              <a:effectLst/>
              <a:sp3d prstMaterial="flat"/>
            </c:spPr>
          </c:bandFmt>
          <c:bandFmt>
            <c:idx val="11"/>
            <c:spPr>
              <a:solidFill>
                <a:schemeClr val="accent1">
                  <a:shade val="62000"/>
                </a:schemeClr>
              </a:solidFill>
              <a:ln/>
              <a:effectLst/>
              <a:sp3d prstMaterial="flat"/>
            </c:spPr>
          </c:bandFmt>
          <c:bandFmt>
            <c:idx val="12"/>
            <c:spPr>
              <a:solidFill>
                <a:schemeClr val="accent1">
                  <a:shade val="65000"/>
                </a:schemeClr>
              </a:solidFill>
              <a:ln/>
              <a:effectLst/>
              <a:sp3d prstMaterial="flat"/>
            </c:spPr>
          </c:bandFmt>
          <c:bandFmt>
            <c:idx val="13"/>
            <c:spPr>
              <a:solidFill>
                <a:schemeClr val="accent1">
                  <a:shade val="67000"/>
                </a:schemeClr>
              </a:solidFill>
              <a:ln/>
              <a:effectLst/>
              <a:sp3d prstMaterial="flat"/>
            </c:spPr>
          </c:bandFmt>
          <c:bandFmt>
            <c:idx val="14"/>
            <c:spPr>
              <a:solidFill>
                <a:schemeClr val="accent1">
                  <a:shade val="70000"/>
                </a:schemeClr>
              </a:solidFill>
              <a:ln/>
              <a:effectLst/>
              <a:sp3d prstMaterial="flat"/>
            </c:spPr>
          </c:bandFmt>
          <c:bandFmt>
            <c:idx val="15"/>
            <c:spPr>
              <a:solidFill>
                <a:schemeClr val="accent1">
                  <a:shade val="73000"/>
                </a:schemeClr>
              </a:solidFill>
              <a:ln/>
              <a:effectLst/>
              <a:sp3d prstMaterial="flat"/>
            </c:spPr>
          </c:bandFmt>
          <c:bandFmt>
            <c:idx val="16"/>
            <c:spPr>
              <a:solidFill>
                <a:schemeClr val="accent1">
                  <a:shade val="75000"/>
                </a:schemeClr>
              </a:solidFill>
              <a:ln/>
              <a:effectLst/>
              <a:sp3d prstMaterial="flat"/>
            </c:spPr>
          </c:bandFmt>
          <c:bandFmt>
            <c:idx val="17"/>
            <c:spPr>
              <a:solidFill>
                <a:schemeClr val="accent1">
                  <a:shade val="78000"/>
                </a:schemeClr>
              </a:solidFill>
              <a:ln/>
              <a:effectLst/>
              <a:sp3d prstMaterial="flat"/>
            </c:spPr>
          </c:bandFmt>
          <c:bandFmt>
            <c:idx val="18"/>
            <c:spPr>
              <a:solidFill>
                <a:schemeClr val="accent1">
                  <a:shade val="81000"/>
                </a:schemeClr>
              </a:solidFill>
              <a:ln/>
              <a:effectLst/>
              <a:sp3d prstMaterial="flat"/>
            </c:spPr>
          </c:bandFmt>
          <c:bandFmt>
            <c:idx val="19"/>
            <c:spPr>
              <a:solidFill>
                <a:schemeClr val="accent1">
                  <a:shade val="83000"/>
                </a:schemeClr>
              </a:solidFill>
              <a:ln/>
              <a:effectLst/>
              <a:sp3d prstMaterial="flat"/>
            </c:spPr>
          </c:bandFmt>
          <c:bandFmt>
            <c:idx val="20"/>
            <c:spPr>
              <a:solidFill>
                <a:schemeClr val="accent1">
                  <a:shade val="86000"/>
                </a:schemeClr>
              </a:solidFill>
              <a:ln/>
              <a:effectLst/>
              <a:sp3d prstMaterial="flat"/>
            </c:spPr>
          </c:bandFmt>
          <c:bandFmt>
            <c:idx val="21"/>
            <c:spPr>
              <a:solidFill>
                <a:schemeClr val="accent1">
                  <a:shade val="89000"/>
                </a:schemeClr>
              </a:solidFill>
              <a:ln/>
              <a:effectLst/>
              <a:sp3d prstMaterial="flat"/>
            </c:spPr>
          </c:bandFmt>
          <c:bandFmt>
            <c:idx val="22"/>
            <c:spPr>
              <a:solidFill>
                <a:schemeClr val="accent1">
                  <a:shade val="91000"/>
                </a:schemeClr>
              </a:solidFill>
              <a:ln/>
              <a:effectLst/>
              <a:sp3d prstMaterial="flat"/>
            </c:spPr>
          </c:bandFmt>
          <c:bandFmt>
            <c:idx val="23"/>
            <c:spPr>
              <a:solidFill>
                <a:schemeClr val="accent1">
                  <a:shade val="94000"/>
                </a:schemeClr>
              </a:solidFill>
              <a:ln/>
              <a:effectLst/>
              <a:sp3d prstMaterial="flat"/>
            </c:spPr>
          </c:bandFmt>
          <c:bandFmt>
            <c:idx val="24"/>
            <c:spPr>
              <a:solidFill>
                <a:schemeClr val="accent1">
                  <a:shade val="97000"/>
                </a:schemeClr>
              </a:solidFill>
              <a:ln/>
              <a:effectLst/>
              <a:sp3d prstMaterial="flat"/>
            </c:spPr>
          </c:bandFmt>
          <c:bandFmt>
            <c:idx val="25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26"/>
            <c:spPr>
              <a:solidFill>
                <a:schemeClr val="accent1">
                  <a:tint val="98000"/>
                </a:schemeClr>
              </a:solidFill>
              <a:ln/>
              <a:effectLst/>
              <a:sp3d prstMaterial="flat"/>
            </c:spPr>
          </c:bandFmt>
          <c:bandFmt>
            <c:idx val="27"/>
            <c:spPr>
              <a:solidFill>
                <a:schemeClr val="accent1">
                  <a:tint val="95000"/>
                </a:schemeClr>
              </a:solidFill>
              <a:ln/>
              <a:effectLst/>
              <a:sp3d prstMaterial="flat"/>
            </c:spPr>
          </c:bandFmt>
          <c:bandFmt>
            <c:idx val="28"/>
            <c:spPr>
              <a:solidFill>
                <a:schemeClr val="accent1">
                  <a:tint val="92000"/>
                </a:schemeClr>
              </a:solidFill>
              <a:ln/>
              <a:effectLst/>
              <a:sp3d prstMaterial="flat"/>
            </c:spPr>
          </c:bandFmt>
          <c:bandFmt>
            <c:idx val="29"/>
            <c:spPr>
              <a:solidFill>
                <a:schemeClr val="accent1">
                  <a:tint val="90000"/>
                </a:schemeClr>
              </a:solidFill>
              <a:ln/>
              <a:effectLst/>
              <a:sp3d prstMaterial="flat"/>
            </c:spPr>
          </c:bandFmt>
          <c:bandFmt>
            <c:idx val="30"/>
            <c:spPr>
              <a:solidFill>
                <a:schemeClr val="accent1">
                  <a:tint val="87000"/>
                </a:schemeClr>
              </a:solidFill>
              <a:ln/>
              <a:effectLst/>
              <a:sp3d prstMaterial="flat"/>
            </c:spPr>
          </c:bandFmt>
          <c:bandFmt>
            <c:idx val="31"/>
            <c:spPr>
              <a:solidFill>
                <a:schemeClr val="accent1">
                  <a:tint val="84000"/>
                </a:schemeClr>
              </a:solidFill>
              <a:ln/>
              <a:effectLst/>
              <a:sp3d prstMaterial="flat"/>
            </c:spPr>
          </c:bandFmt>
          <c:bandFmt>
            <c:idx val="32"/>
            <c:spPr>
              <a:solidFill>
                <a:schemeClr val="accent1">
                  <a:tint val="82000"/>
                </a:schemeClr>
              </a:solidFill>
              <a:ln/>
              <a:effectLst/>
              <a:sp3d prstMaterial="flat"/>
            </c:spPr>
          </c:bandFmt>
          <c:bandFmt>
            <c:idx val="33"/>
            <c:spPr>
              <a:solidFill>
                <a:schemeClr val="accent1">
                  <a:tint val="79000"/>
                </a:schemeClr>
              </a:solidFill>
              <a:ln/>
              <a:effectLst/>
              <a:sp3d prstMaterial="flat"/>
            </c:spPr>
          </c:bandFmt>
          <c:bandFmt>
            <c:idx val="34"/>
            <c:spPr>
              <a:solidFill>
                <a:schemeClr val="accent1">
                  <a:tint val="76000"/>
                </a:schemeClr>
              </a:solidFill>
              <a:ln/>
              <a:effectLst/>
              <a:sp3d prstMaterial="flat"/>
            </c:spPr>
          </c:bandFmt>
          <c:bandFmt>
            <c:idx val="35"/>
            <c:spPr>
              <a:solidFill>
                <a:schemeClr val="accent1">
                  <a:tint val="74000"/>
                </a:schemeClr>
              </a:solidFill>
              <a:ln/>
              <a:effectLst/>
              <a:sp3d prstMaterial="flat"/>
            </c:spPr>
          </c:bandFmt>
          <c:bandFmt>
            <c:idx val="36"/>
            <c:spPr>
              <a:solidFill>
                <a:schemeClr val="accent1">
                  <a:tint val="71000"/>
                </a:schemeClr>
              </a:solidFill>
              <a:ln/>
              <a:effectLst/>
              <a:sp3d prstMaterial="flat"/>
            </c:spPr>
          </c:bandFmt>
          <c:bandFmt>
            <c:idx val="37"/>
            <c:spPr>
              <a:solidFill>
                <a:schemeClr val="accent1">
                  <a:tint val="68000"/>
                </a:schemeClr>
              </a:solidFill>
              <a:ln/>
              <a:effectLst/>
              <a:sp3d prstMaterial="flat"/>
            </c:spPr>
          </c:bandFmt>
          <c:bandFmt>
            <c:idx val="38"/>
            <c:spPr>
              <a:solidFill>
                <a:schemeClr val="accent1">
                  <a:tint val="65000"/>
                </a:schemeClr>
              </a:solidFill>
              <a:ln/>
              <a:effectLst/>
              <a:sp3d prstMaterial="flat"/>
            </c:spPr>
          </c:bandFmt>
          <c:bandFmt>
            <c:idx val="39"/>
            <c:spPr>
              <a:solidFill>
                <a:schemeClr val="accent1">
                  <a:tint val="63000"/>
                </a:schemeClr>
              </a:solidFill>
              <a:ln/>
              <a:effectLst/>
              <a:sp3d prstMaterial="flat"/>
            </c:spPr>
          </c:bandFmt>
          <c:bandFmt>
            <c:idx val="40"/>
            <c:spPr>
              <a:solidFill>
                <a:schemeClr val="accent1">
                  <a:tint val="60000"/>
                </a:schemeClr>
              </a:solidFill>
              <a:ln/>
              <a:effectLst/>
              <a:sp3d prstMaterial="flat"/>
            </c:spPr>
          </c:bandFmt>
          <c:bandFmt>
            <c:idx val="41"/>
            <c:spPr>
              <a:solidFill>
                <a:schemeClr val="accent1">
                  <a:tint val="57000"/>
                </a:schemeClr>
              </a:solidFill>
              <a:ln/>
              <a:effectLst/>
              <a:sp3d prstMaterial="flat"/>
            </c:spPr>
          </c:bandFmt>
          <c:bandFmt>
            <c:idx val="42"/>
            <c:spPr>
              <a:solidFill>
                <a:schemeClr val="accent1">
                  <a:tint val="55000"/>
                </a:schemeClr>
              </a:solidFill>
              <a:ln/>
              <a:effectLst/>
              <a:sp3d prstMaterial="flat"/>
            </c:spPr>
          </c:bandFmt>
          <c:bandFmt>
            <c:idx val="43"/>
            <c:spPr>
              <a:solidFill>
                <a:schemeClr val="accent1">
                  <a:tint val="52000"/>
                </a:schemeClr>
              </a:solidFill>
              <a:ln/>
              <a:effectLst/>
              <a:sp3d prstMaterial="flat"/>
            </c:spPr>
          </c:bandFmt>
          <c:bandFmt>
            <c:idx val="44"/>
            <c:spPr>
              <a:solidFill>
                <a:schemeClr val="accent1">
                  <a:tint val="49000"/>
                </a:schemeClr>
              </a:solidFill>
              <a:ln/>
              <a:effectLst/>
              <a:sp3d prstMaterial="flat"/>
            </c:spPr>
          </c:bandFmt>
          <c:bandFmt>
            <c:idx val="45"/>
            <c:spPr>
              <a:solidFill>
                <a:schemeClr val="accent1">
                  <a:tint val="47000"/>
                </a:schemeClr>
              </a:solidFill>
              <a:ln/>
              <a:effectLst/>
              <a:sp3d prstMaterial="flat"/>
            </c:spPr>
          </c:bandFmt>
          <c:bandFmt>
            <c:idx val="46"/>
            <c:spPr>
              <a:solidFill>
                <a:schemeClr val="accent1">
                  <a:tint val="44000"/>
                </a:schemeClr>
              </a:solidFill>
              <a:ln/>
              <a:effectLst/>
              <a:sp3d prstMaterial="flat"/>
            </c:spPr>
          </c:bandFmt>
          <c:bandFmt>
            <c:idx val="47"/>
            <c:spPr>
              <a:solidFill>
                <a:schemeClr val="accent1">
                  <a:tint val="41000"/>
                </a:schemeClr>
              </a:solidFill>
              <a:ln/>
              <a:effectLst/>
              <a:sp3d prstMaterial="flat"/>
            </c:spPr>
          </c:bandFmt>
          <c:bandFmt>
            <c:idx val="48"/>
            <c:spPr>
              <a:solidFill>
                <a:schemeClr val="accent1">
                  <a:tint val="39000"/>
                </a:schemeClr>
              </a:solidFill>
              <a:ln/>
              <a:effectLst/>
              <a:sp3d prstMaterial="flat"/>
            </c:spPr>
          </c:bandFmt>
          <c:bandFmt>
            <c:idx val="49"/>
            <c:spPr>
              <a:solidFill>
                <a:schemeClr val="accent1">
                  <a:tint val="36000"/>
                </a:schemeClr>
              </a:solidFill>
              <a:ln/>
              <a:effectLst/>
              <a:sp3d prstMaterial="flat"/>
            </c:spPr>
          </c:bandFmt>
        </c:bandFmts>
        <c:axId val="259242624"/>
        <c:axId val="259231808"/>
        <c:axId val="146158400"/>
      </c:surfaceChart>
      <c:catAx>
        <c:axId val="25924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  <c:auto val="1"/>
        <c:lblAlgn val="ctr"/>
        <c:lblOffset val="100"/>
        <c:noMultiLvlLbl val="0"/>
      </c:catAx>
      <c:valAx>
        <c:axId val="2592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42624"/>
        <c:crosses val="autoZero"/>
        <c:crossBetween val="midCat"/>
        <c:majorUnit val="2.0000000000000004E-2"/>
      </c:valAx>
      <c:serAx>
        <c:axId val="14615840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x2 </a:t>
                </a:r>
              </a:p>
            </c:rich>
          </c:tx>
          <c:layout>
            <c:manualLayout>
              <c:xMode val="edge"/>
              <c:yMode val="edge"/>
              <c:x val="0.90299194626750301"/>
              <c:y val="0.44823240940206865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15782407407407409"/>
          <c:w val="0.89022462817147852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'Figure Backup'!$C$3:$C$10</c:f>
              <c:numCache>
                <c:formatCode>General</c:formatCode>
                <c:ptCount val="8"/>
                <c:pt idx="0">
                  <c:v>1</c:v>
                </c:pt>
                <c:pt idx="1">
                  <c:v>0.61818181818181817</c:v>
                </c:pt>
                <c:pt idx="2">
                  <c:v>0.43636363636363634</c:v>
                </c:pt>
                <c:pt idx="3">
                  <c:v>0.81818181818181823</c:v>
                </c:pt>
                <c:pt idx="4">
                  <c:v>0.2</c:v>
                </c:pt>
                <c:pt idx="5">
                  <c:v>0.38181818181818183</c:v>
                </c:pt>
                <c:pt idx="6">
                  <c:v>0.41818181818181815</c:v>
                </c:pt>
                <c:pt idx="7">
                  <c:v>0.14545454545454545</c:v>
                </c:pt>
              </c:numCache>
            </c:numRef>
          </c:xVal>
          <c:yVal>
            <c:numRef>
              <c:f>'Figure Backup'!$B$3:$B$10</c:f>
              <c:numCache>
                <c:formatCode>General</c:formatCode>
                <c:ptCount val="8"/>
                <c:pt idx="0">
                  <c:v>0.33333333333333331</c:v>
                </c:pt>
                <c:pt idx="1">
                  <c:v>0.51515151515151514</c:v>
                </c:pt>
                <c:pt idx="2">
                  <c:v>0.31818181818181818</c:v>
                </c:pt>
                <c:pt idx="3">
                  <c:v>0.34848484848484851</c:v>
                </c:pt>
                <c:pt idx="4">
                  <c:v>0.66666666666666663</c:v>
                </c:pt>
                <c:pt idx="5">
                  <c:v>1</c:v>
                </c:pt>
                <c:pt idx="6">
                  <c:v>0.68181818181818177</c:v>
                </c:pt>
                <c:pt idx="7">
                  <c:v>0.51515151515151514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EE-401F-BB7E-BD46B88D8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223007"/>
        <c:axId val="553197631"/>
      </c:scatterChart>
      <c:valAx>
        <c:axId val="553223007"/>
        <c:scaling>
          <c:orientation val="minMax"/>
          <c:max val="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197631"/>
        <c:crosses val="autoZero"/>
        <c:crossBetween val="midCat"/>
      </c:valAx>
      <c:valAx>
        <c:axId val="55319763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223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>
                <a:solidFill>
                  <a:schemeClr val="tx1"/>
                </a:solidFill>
              </a:rPr>
              <a:t>Classification</a:t>
            </a:r>
            <a:r>
              <a:rPr lang="en-GB" sz="1600" b="1" baseline="0">
                <a:solidFill>
                  <a:schemeClr val="tx1"/>
                </a:solidFill>
              </a:rPr>
              <a:t> Prediction</a:t>
            </a:r>
            <a:endParaRPr lang="en-GB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777777777777776E-2"/>
          <c:y val="7.5009471786415191E-2"/>
          <c:w val="0.85436567206596636"/>
          <c:h val="0.81986803370068861"/>
        </c:manualLayout>
      </c:layout>
      <c:surfaceChart>
        <c:wireframe val="0"/>
        <c:ser>
          <c:idx val="20"/>
          <c:order val="0"/>
          <c:tx>
            <c:v>1</c:v>
          </c:tx>
          <c:spPr>
            <a:solidFill>
              <a:schemeClr val="accent1">
                <a:tint val="37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Page'!$D$129:$X$129</c:f>
              <c:numCache>
                <c:formatCode>0.00</c:formatCode>
                <c:ptCount val="21"/>
                <c:pt idx="0">
                  <c:v>0.37569990447654672</c:v>
                </c:pt>
                <c:pt idx="1">
                  <c:v>0.43206490662883656</c:v>
                </c:pt>
                <c:pt idx="2">
                  <c:v>0.49343676091154492</c:v>
                </c:pt>
                <c:pt idx="3">
                  <c:v>0.55719089361412055</c:v>
                </c:pt>
                <c:pt idx="4">
                  <c:v>0.62012861803708941</c:v>
                </c:pt>
                <c:pt idx="5">
                  <c:v>0.67914818102667851</c:v>
                </c:pt>
                <c:pt idx="6">
                  <c:v>0.73189280019765812</c:v>
                </c:pt>
                <c:pt idx="7">
                  <c:v>0.77709699898114204</c:v>
                </c:pt>
                <c:pt idx="8">
                  <c:v>0.81455141894916905</c:v>
                </c:pt>
                <c:pt idx="9">
                  <c:v>0.84481177778316996</c:v>
                </c:pt>
                <c:pt idx="10">
                  <c:v>0.86884302113226097</c:v>
                </c:pt>
                <c:pt idx="11">
                  <c:v>0.88773059956132838</c:v>
                </c:pt>
                <c:pt idx="12">
                  <c:v>0.90250166060371395</c:v>
                </c:pt>
                <c:pt idx="13">
                  <c:v>0.91404150203368806</c:v>
                </c:pt>
                <c:pt idx="14">
                  <c:v>0.92307207397436475</c:v>
                </c:pt>
                <c:pt idx="15">
                  <c:v>0.93016285996133208</c:v>
                </c:pt>
                <c:pt idx="16">
                  <c:v>0.93575453370650885</c:v>
                </c:pt>
                <c:pt idx="17">
                  <c:v>0.94018474687226139</c:v>
                </c:pt>
                <c:pt idx="18">
                  <c:v>0.94371128924081382</c:v>
                </c:pt>
                <c:pt idx="19">
                  <c:v>0.94653110025071385</c:v>
                </c:pt>
                <c:pt idx="20">
                  <c:v>0.94879513817230732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8-4B7E-8C31-14F2FDA4B3BD}"/>
            </c:ext>
          </c:extLst>
        </c:ser>
        <c:ser>
          <c:idx val="19"/>
          <c:order val="1"/>
          <c:tx>
            <c:v>0.95</c:v>
          </c:tx>
          <c:spPr>
            <a:solidFill>
              <a:schemeClr val="accent1">
                <a:tint val="43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Page'!$D$128:$X$128</c:f>
              <c:numCache>
                <c:formatCode>0.00</c:formatCode>
                <c:ptCount val="21"/>
                <c:pt idx="0">
                  <c:v>0.32557799368521489</c:v>
                </c:pt>
                <c:pt idx="1">
                  <c:v>0.37523079768148032</c:v>
                </c:pt>
                <c:pt idx="2">
                  <c:v>0.43154276199622565</c:v>
                </c:pt>
                <c:pt idx="3">
                  <c:v>0.49288068090060699</c:v>
                </c:pt>
                <c:pt idx="4">
                  <c:v>0.55662738910775611</c:v>
                </c:pt>
                <c:pt idx="5">
                  <c:v>0.61958654174129535</c:v>
                </c:pt>
                <c:pt idx="6">
                  <c:v>0.67865242241814128</c:v>
                </c:pt>
                <c:pt idx="7">
                  <c:v>0.73145959029884622</c:v>
                </c:pt>
                <c:pt idx="8">
                  <c:v>0.77673258601782336</c:v>
                </c:pt>
                <c:pt idx="9">
                  <c:v>0.81425377787319919</c:v>
                </c:pt>
                <c:pt idx="10">
                  <c:v>0.84457372075205295</c:v>
                </c:pt>
                <c:pt idx="11">
                  <c:v>0.86865516667795761</c:v>
                </c:pt>
                <c:pt idx="12">
                  <c:v>0.88758344619763607</c:v>
                </c:pt>
                <c:pt idx="13">
                  <c:v>0.90238670283598976</c:v>
                </c:pt>
                <c:pt idx="14">
                  <c:v>0.91395164601155765</c:v>
                </c:pt>
                <c:pt idx="15">
                  <c:v>0.923001649002126</c:v>
                </c:pt>
                <c:pt idx="16">
                  <c:v>0.93010744530054723</c:v>
                </c:pt>
                <c:pt idx="17">
                  <c:v>0.93571073021414741</c:v>
                </c:pt>
                <c:pt idx="18">
                  <c:v>0.9401499570855244</c:v>
                </c:pt>
                <c:pt idx="19">
                  <c:v>0.94368353051976606</c:v>
                </c:pt>
                <c:pt idx="20">
                  <c:v>0.94650885585256472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B8-4B7E-8C31-14F2FDA4B3BD}"/>
            </c:ext>
          </c:extLst>
        </c:ser>
        <c:ser>
          <c:idx val="18"/>
          <c:order val="2"/>
          <c:tx>
            <c:v>0.9</c:v>
          </c:tx>
          <c:spPr>
            <a:solidFill>
              <a:schemeClr val="accent1">
                <a:tint val="50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Page'!$D$127:$X$127</c:f>
              <c:numCache>
                <c:formatCode>0.00</c:formatCode>
                <c:ptCount val="21"/>
                <c:pt idx="0">
                  <c:v>0.28285102578164345</c:v>
                </c:pt>
                <c:pt idx="1">
                  <c:v>0.32517223631421288</c:v>
                </c:pt>
                <c:pt idx="2">
                  <c:v>0.37476221564198364</c:v>
                </c:pt>
                <c:pt idx="3">
                  <c:v>0.43102101495003886</c:v>
                </c:pt>
                <c:pt idx="4">
                  <c:v>0.49232479223311065</c:v>
                </c:pt>
                <c:pt idx="5">
                  <c:v>0.55606382274849409</c:v>
                </c:pt>
                <c:pt idx="6">
                  <c:v>0.61904415757929498</c:v>
                </c:pt>
                <c:pt idx="7">
                  <c:v>0.67815616964871361</c:v>
                </c:pt>
                <c:pt idx="8">
                  <c:v>0.73102578738835244</c:v>
                </c:pt>
                <c:pt idx="9">
                  <c:v>0.77636756517922778</c:v>
                </c:pt>
                <c:pt idx="10">
                  <c:v>0.81395557416257258</c:v>
                </c:pt>
                <c:pt idx="11">
                  <c:v>0.84433517786708512</c:v>
                </c:pt>
                <c:pt idx="12">
                  <c:v>0.86846691192162051</c:v>
                </c:pt>
                <c:pt idx="13">
                  <c:v>0.88743597300404853</c:v>
                </c:pt>
                <c:pt idx="14">
                  <c:v>0.90227149431252562</c:v>
                </c:pt>
                <c:pt idx="15">
                  <c:v>0.91386159540375045</c:v>
                </c:pt>
                <c:pt idx="16">
                  <c:v>0.92293107366793237</c:v>
                </c:pt>
                <c:pt idx="17">
                  <c:v>0.93005191445712898</c:v>
                </c:pt>
                <c:pt idx="18">
                  <c:v>0.93566683670897499</c:v>
                </c:pt>
                <c:pt idx="19">
                  <c:v>0.94011509725855213</c:v>
                </c:pt>
                <c:pt idx="20">
                  <c:v>0.9436557170145119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B8-4B7E-8C31-14F2FDA4B3BD}"/>
            </c:ext>
          </c:extLst>
        </c:ser>
        <c:ser>
          <c:idx val="17"/>
          <c:order val="3"/>
          <c:tx>
            <c:v>0.85</c:v>
          </c:tx>
          <c:spPr>
            <a:solidFill>
              <a:schemeClr val="accent1">
                <a:tint val="56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Page'!$D$126:$X$126</c:f>
              <c:numCache>
                <c:formatCode>0.00</c:formatCode>
                <c:ptCount val="21"/>
                <c:pt idx="0">
                  <c:v>0.24731723364000388</c:v>
                </c:pt>
                <c:pt idx="1">
                  <c:v>0.2825099969150654</c:v>
                </c:pt>
                <c:pt idx="2">
                  <c:v>0.32476704948180862</c:v>
                </c:pt>
                <c:pt idx="3">
                  <c:v>0.37429415910100056</c:v>
                </c:pt>
                <c:pt idx="4">
                  <c:v>0.43049966698190439</c:v>
                </c:pt>
                <c:pt idx="5">
                  <c:v>0.4917690970015885</c:v>
                </c:pt>
                <c:pt idx="6">
                  <c:v>0.5555001968244293</c:v>
                </c:pt>
                <c:pt idx="7">
                  <c:v>0.61850146752365531</c:v>
                </c:pt>
                <c:pt idx="8">
                  <c:v>0.67765942399582169</c:v>
                </c:pt>
                <c:pt idx="9">
                  <c:v>0.73059139194604461</c:v>
                </c:pt>
                <c:pt idx="10">
                  <c:v>0.77600193629098424</c:v>
                </c:pt>
                <c:pt idx="11">
                  <c:v>0.81365680724084344</c:v>
                </c:pt>
                <c:pt idx="12">
                  <c:v>0.84409614838586811</c:v>
                </c:pt>
                <c:pt idx="13">
                  <c:v>0.86827825611691256</c:v>
                </c:pt>
                <c:pt idx="14">
                  <c:v>0.88728817931576021</c:v>
                </c:pt>
                <c:pt idx="15">
                  <c:v>0.90215603448073578</c:v>
                </c:pt>
                <c:pt idx="16">
                  <c:v>0.91377134976955732</c:v>
                </c:pt>
                <c:pt idx="17">
                  <c:v>0.92286034762873614</c:v>
                </c:pt>
                <c:pt idx="18">
                  <c:v>0.92999626716755113</c:v>
                </c:pt>
                <c:pt idx="19">
                  <c:v>0.9356228529897227</c:v>
                </c:pt>
                <c:pt idx="20">
                  <c:v>0.94008016723775312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B8-4B7E-8C31-14F2FDA4B3BD}"/>
            </c:ext>
          </c:extLst>
        </c:ser>
        <c:ser>
          <c:idx val="16"/>
          <c:order val="4"/>
          <c:tx>
            <c:v>0.8</c:v>
          </c:tx>
          <c:spPr>
            <a:solidFill>
              <a:schemeClr val="accent1">
                <a:tint val="62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Page'!$D$125:$X$125</c:f>
              <c:numCache>
                <c:formatCode>0.00</c:formatCode>
                <c:ptCount val="21"/>
                <c:pt idx="0">
                  <c:v>0.21827049445181848</c:v>
                </c:pt>
                <c:pt idx="1">
                  <c:v>0.24703647194972111</c:v>
                </c:pt>
                <c:pt idx="2">
                  <c:v>0.28216952052342631</c:v>
                </c:pt>
                <c:pt idx="3">
                  <c:v>0.32436243326992359</c:v>
                </c:pt>
                <c:pt idx="4">
                  <c:v>0.37382662879500733</c:v>
                </c:pt>
                <c:pt idx="5">
                  <c:v>0.42997871957708084</c:v>
                </c:pt>
                <c:pt idx="6">
                  <c:v>0.4912135972947298</c:v>
                </c:pt>
                <c:pt idx="7">
                  <c:v>0.55493651362418472</c:v>
                </c:pt>
                <c:pt idx="8">
                  <c:v>0.61795847355173328</c:v>
                </c:pt>
                <c:pt idx="9">
                  <c:v>0.67716218674390383</c:v>
                </c:pt>
                <c:pt idx="10">
                  <c:v>0.73015640445846963</c:v>
                </c:pt>
                <c:pt idx="11">
                  <c:v>0.77563569918344033</c:v>
                </c:pt>
                <c:pt idx="12">
                  <c:v>0.81335747653399149</c:v>
                </c:pt>
                <c:pt idx="13">
                  <c:v>0.84385663156663715</c:v>
                </c:pt>
                <c:pt idx="14">
                  <c:v>0.86808919851705846</c:v>
                </c:pt>
                <c:pt idx="15">
                  <c:v>0.8871400644670504</c:v>
                </c:pt>
                <c:pt idx="16">
                  <c:v>0.90204032278701496</c:v>
                </c:pt>
                <c:pt idx="17">
                  <c:v>0.91368090866733309</c:v>
                </c:pt>
                <c:pt idx="18">
                  <c:v>0.92278947054070648</c:v>
                </c:pt>
                <c:pt idx="19">
                  <c:v>0.92994050316766541</c:v>
                </c:pt>
                <c:pt idx="20">
                  <c:v>0.93557877885464125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B8-4B7E-8C31-14F2FDA4B3BD}"/>
            </c:ext>
          </c:extLst>
        </c:ser>
        <c:ser>
          <c:idx val="15"/>
          <c:order val="5"/>
          <c:tx>
            <c:v>0.75</c:v>
          </c:tx>
          <c:spPr>
            <a:solidFill>
              <a:schemeClr val="accent1">
                <a:tint val="69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Page'!$D$124:$X$124</c:f>
              <c:numCache>
                <c:formatCode>0.00</c:formatCode>
                <c:ptCount val="21"/>
                <c:pt idx="0">
                  <c:v>0.19478730712125664</c:v>
                </c:pt>
                <c:pt idx="1">
                  <c:v>0.21804251407865455</c:v>
                </c:pt>
                <c:pt idx="2">
                  <c:v>0.24675620668207862</c:v>
                </c:pt>
                <c:pt idx="3">
                  <c:v>0.28182959624434017</c:v>
                </c:pt>
                <c:pt idx="4">
                  <c:v>0.32395838775557939</c:v>
                </c:pt>
                <c:pt idx="5">
                  <c:v>0.37335962545402063</c:v>
                </c:pt>
                <c:pt idx="6">
                  <c:v>0.42945817421444632</c:v>
                </c:pt>
                <c:pt idx="7">
                  <c:v>0.4906582951973481</c:v>
                </c:pt>
                <c:pt idx="8">
                  <c:v>0.55437277543686914</c:v>
                </c:pt>
                <c:pt idx="9">
                  <c:v>0.61741517764564879</c:v>
                </c:pt>
                <c:pt idx="10">
                  <c:v>0.67666445918440177</c:v>
                </c:pt>
                <c:pt idx="11">
                  <c:v>0.72972082541886718</c:v>
                </c:pt>
                <c:pt idx="12">
                  <c:v>0.7752688536916833</c:v>
                </c:pt>
                <c:pt idx="13">
                  <c:v>0.81305758147044382</c:v>
                </c:pt>
                <c:pt idx="14">
                  <c:v>0.84361662666827275</c:v>
                </c:pt>
                <c:pt idx="15">
                  <c:v>0.86789973837485057</c:v>
                </c:pt>
                <c:pt idx="16">
                  <c:v>0.88699162779128649</c:v>
                </c:pt>
                <c:pt idx="17">
                  <c:v>0.90192435867673904</c:v>
                </c:pt>
                <c:pt idx="18">
                  <c:v>0.91359027165449569</c:v>
                </c:pt>
                <c:pt idx="19">
                  <c:v>0.92271844205922815</c:v>
                </c:pt>
                <c:pt idx="20">
                  <c:v>0.92988462219269929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B8-4B7E-8C31-14F2FDA4B3BD}"/>
            </c:ext>
          </c:extLst>
        </c:ser>
        <c:ser>
          <c:idx val="14"/>
          <c:order val="6"/>
          <c:tx>
            <c:v>0.7</c:v>
          </c:tx>
          <c:spPr>
            <a:solidFill>
              <a:schemeClr val="accent1">
                <a:tint val="75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Page'!$D$123:$X$123</c:f>
              <c:numCache>
                <c:formatCode>0.00</c:formatCode>
                <c:ptCount val="21"/>
                <c:pt idx="0">
                  <c:v>0.17592089612405723</c:v>
                </c:pt>
                <c:pt idx="1">
                  <c:v>0.19460372104374768</c:v>
                </c:pt>
                <c:pt idx="2">
                  <c:v>0.21781495826803404</c:v>
                </c:pt>
                <c:pt idx="3">
                  <c:v>0.2464764372502842</c:v>
                </c:pt>
                <c:pt idx="4">
                  <c:v>0.28149022371256488</c:v>
                </c:pt>
                <c:pt idx="5">
                  <c:v>0.32355491301091494</c:v>
                </c:pt>
                <c:pt idx="6">
                  <c:v>0.37289314980160609</c:v>
                </c:pt>
                <c:pt idx="7">
                  <c:v>0.42893803236648781</c:v>
                </c:pt>
                <c:pt idx="8">
                  <c:v>0.49010319279034875</c:v>
                </c:pt>
                <c:pt idx="9">
                  <c:v>0.55380898455203675</c:v>
                </c:pt>
                <c:pt idx="10">
                  <c:v>0.61687158179225143</c:v>
                </c:pt>
                <c:pt idx="11">
                  <c:v>0.67616624261575353</c:v>
                </c:pt>
                <c:pt idx="12">
                  <c:v>0.7292846553271799</c:v>
                </c:pt>
                <c:pt idx="13">
                  <c:v>0.77490139965556049</c:v>
                </c:pt>
                <c:pt idx="14">
                  <c:v>0.81275712148109158</c:v>
                </c:pt>
                <c:pt idx="15">
                  <c:v>0.84337613295031433</c:v>
                </c:pt>
                <c:pt idx="16">
                  <c:v>0.86770987494265694</c:v>
                </c:pt>
                <c:pt idx="17">
                  <c:v>0.88684286862092443</c:v>
                </c:pt>
                <c:pt idx="18">
                  <c:v>0.90180814159426548</c:v>
                </c:pt>
                <c:pt idx="19">
                  <c:v>0.91349943828752522</c:v>
                </c:pt>
                <c:pt idx="20">
                  <c:v>0.92264726183889989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B8-4B7E-8C31-14F2FDA4B3BD}"/>
            </c:ext>
          </c:extLst>
        </c:ser>
        <c:ser>
          <c:idx val="13"/>
          <c:order val="7"/>
          <c:tx>
            <c:v>0.65</c:v>
          </c:tx>
          <c:spPr>
            <a:solidFill>
              <a:schemeClr val="accent1">
                <a:tint val="81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Page'!$D$122:$X$122</c:f>
              <c:numCache>
                <c:formatCode>0.00</c:formatCode>
                <c:ptCount val="21"/>
                <c:pt idx="0">
                  <c:v>0.16080650634625751</c:v>
                </c:pt>
                <c:pt idx="1">
                  <c:v>0.17577369065656046</c:v>
                </c:pt>
                <c:pt idx="2">
                  <c:v>0.19442048656785357</c:v>
                </c:pt>
                <c:pt idx="3">
                  <c:v>0.21758782637109073</c:v>
                </c:pt>
                <c:pt idx="4">
                  <c:v>0.24619716306640141</c:v>
                </c:pt>
                <c:pt idx="5">
                  <c:v>0.28115140256001947</c:v>
                </c:pt>
                <c:pt idx="6">
                  <c:v>0.32315200910320396</c:v>
                </c:pt>
                <c:pt idx="7">
                  <c:v>0.37242720255488704</c:v>
                </c:pt>
                <c:pt idx="8">
                  <c:v>0.428418295499289</c:v>
                </c:pt>
                <c:pt idx="9">
                  <c:v>0.48954829215069662</c:v>
                </c:pt>
                <c:pt idx="10">
                  <c:v>0.55324514325964524</c:v>
                </c:pt>
                <c:pt idx="11">
                  <c:v>0.61632768798309012</c:v>
                </c:pt>
                <c:pt idx="12">
                  <c:v>0.67566753834338311</c:v>
                </c:pt>
                <c:pt idx="13">
                  <c:v>0.7288478946900665</c:v>
                </c:pt>
                <c:pt idx="14">
                  <c:v>0.77453333691969972</c:v>
                </c:pt>
                <c:pt idx="15">
                  <c:v>0.81245609599930879</c:v>
                </c:pt>
                <c:pt idx="16">
                  <c:v>0.84313514967297143</c:v>
                </c:pt>
                <c:pt idx="17">
                  <c:v>0.86751960747242673</c:v>
                </c:pt>
                <c:pt idx="18">
                  <c:v>0.88669378628751339</c:v>
                </c:pt>
                <c:pt idx="19">
                  <c:v>0.90169167098293168</c:v>
                </c:pt>
                <c:pt idx="20">
                  <c:v>0.91340840812196233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B8-4B7E-8C31-14F2FDA4B3BD}"/>
            </c:ext>
          </c:extLst>
        </c:ser>
        <c:ser>
          <c:idx val="12"/>
          <c:order val="8"/>
          <c:tx>
            <c:v>0.6</c:v>
          </c:tx>
          <c:spPr>
            <a:solidFill>
              <a:schemeClr val="accent1">
                <a:tint val="88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Page'!$D$121:$X$121</c:f>
              <c:numCache>
                <c:formatCode>0.00</c:formatCode>
                <c:ptCount val="21"/>
                <c:pt idx="0">
                  <c:v>0.14870386749601652</c:v>
                </c:pt>
                <c:pt idx="1">
                  <c:v>0.16068864262259591</c:v>
                </c:pt>
                <c:pt idx="2">
                  <c:v>0.17562677053997208</c:v>
                </c:pt>
                <c:pt idx="3">
                  <c:v>0.19423760307814317</c:v>
                </c:pt>
                <c:pt idx="4">
                  <c:v>0.21736111773892602</c:v>
                </c:pt>
                <c:pt idx="5">
                  <c:v>0.24591838354136186</c:v>
                </c:pt>
                <c:pt idx="6">
                  <c:v>0.28081313241580114</c:v>
                </c:pt>
                <c:pt idx="7">
                  <c:v>0.32274967609487287</c:v>
                </c:pt>
                <c:pt idx="8">
                  <c:v>0.37196178442455191</c:v>
                </c:pt>
                <c:pt idx="9">
                  <c:v>0.42789896507252162</c:v>
                </c:pt>
                <c:pt idx="10">
                  <c:v>0.48899359535138437</c:v>
                </c:pt>
                <c:pt idx="11">
                  <c:v>0.55268125385001321</c:v>
                </c:pt>
                <c:pt idx="12">
                  <c:v>0.6157834982143815</c:v>
                </c:pt>
                <c:pt idx="13">
                  <c:v>0.67516834767969547</c:v>
                </c:pt>
                <c:pt idx="14">
                  <c:v>0.72841054402091243</c:v>
                </c:pt>
                <c:pt idx="15">
                  <c:v>0.77416466533352901</c:v>
                </c:pt>
                <c:pt idx="16">
                  <c:v>0.81215450446097215</c:v>
                </c:pt>
                <c:pt idx="17">
                  <c:v>0.8428936760971385</c:v>
                </c:pt>
                <c:pt idx="18">
                  <c:v>0.86732893521569687</c:v>
                </c:pt>
                <c:pt idx="19">
                  <c:v>0.88654438012169567</c:v>
                </c:pt>
                <c:pt idx="20">
                  <c:v>0.90157494628505608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B8-4B7E-8C31-14F2FDA4B3BD}"/>
            </c:ext>
          </c:extLst>
        </c:ser>
        <c:ser>
          <c:idx val="11"/>
          <c:order val="9"/>
          <c:tx>
            <c:v>0.55</c:v>
          </c:tx>
          <c:spPr>
            <a:solidFill>
              <a:schemeClr val="accent1">
                <a:tint val="94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Page'!$D$120:$X$120</c:f>
              <c:numCache>
                <c:formatCode>0.00</c:formatCode>
                <c:ptCount val="21"/>
                <c:pt idx="0">
                  <c:v>0.13900310003875707</c:v>
                </c:pt>
                <c:pt idx="1">
                  <c:v>0.1486094578709781</c:v>
                </c:pt>
                <c:pt idx="2">
                  <c:v>0.16057100774946317</c:v>
                </c:pt>
                <c:pt idx="3">
                  <c:v>0.17548013523622549</c:v>
                </c:pt>
                <c:pt idx="4">
                  <c:v>0.19405506995973162</c:v>
                </c:pt>
                <c:pt idx="5">
                  <c:v>0.21713483172261686</c:v>
                </c:pt>
                <c:pt idx="6">
                  <c:v>0.24564009808497766</c:v>
                </c:pt>
                <c:pt idx="7">
                  <c:v>0.2804754129062027</c:v>
                </c:pt>
                <c:pt idx="8">
                  <c:v>0.32234791404351715</c:v>
                </c:pt>
                <c:pt idx="9">
                  <c:v>0.37149689611486481</c:v>
                </c:pt>
                <c:pt idx="10">
                  <c:v>0.42738004253943401</c:v>
                </c:pt>
                <c:pt idx="11">
                  <c:v>0.48843910446140132</c:v>
                </c:pt>
                <c:pt idx="12">
                  <c:v>0.55211731861378022</c:v>
                </c:pt>
                <c:pt idx="13">
                  <c:v>0.61523901448697982</c:v>
                </c:pt>
                <c:pt idx="14">
                  <c:v>0.67466867194406388</c:v>
                </c:pt>
                <c:pt idx="15">
                  <c:v>0.7279726038398423</c:v>
                </c:pt>
                <c:pt idx="16">
                  <c:v>0.77379538475129839</c:v>
                </c:pt>
                <c:pt idx="17">
                  <c:v>0.81185234630447944</c:v>
                </c:pt>
                <c:pt idx="18">
                  <c:v>0.84265171148440643</c:v>
                </c:pt>
                <c:pt idx="19">
                  <c:v>0.86713785742359983</c:v>
                </c:pt>
                <c:pt idx="20">
                  <c:v>0.88639464945321111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B8-4B7E-8C31-14F2FDA4B3BD}"/>
            </c:ext>
          </c:extLst>
        </c:ser>
        <c:ser>
          <c:idx val="10"/>
          <c:order val="10"/>
          <c:tx>
            <c:v>0.5</c:v>
          </c:tx>
          <c:spPr>
            <a:solidFill>
              <a:schemeClr val="accent1"/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Page'!$D$119:$X$119</c:f>
              <c:numCache>
                <c:formatCode>0.00</c:formatCode>
                <c:ptCount val="21"/>
                <c:pt idx="0">
                  <c:v>0.13121296232237073</c:v>
                </c:pt>
                <c:pt idx="1">
                  <c:v>0.13892736038919262</c:v>
                </c:pt>
                <c:pt idx="2">
                  <c:v>0.14851523066123168</c:v>
                </c:pt>
                <c:pt idx="3">
                  <c:v>0.16045360127814018</c:v>
                </c:pt>
                <c:pt idx="4">
                  <c:v>0.17533378420801662</c:v>
                </c:pt>
                <c:pt idx="5">
                  <c:v>0.19387288659828342</c:v>
                </c:pt>
                <c:pt idx="6">
                  <c:v>0.21690896767322243</c:v>
                </c:pt>
                <c:pt idx="7">
                  <c:v>0.24536230610595408</c:v>
                </c:pt>
                <c:pt idx="8">
                  <c:v>0.28013824365472911</c:v>
                </c:pt>
                <c:pt idx="9">
                  <c:v>0.32194672300192068</c:v>
                </c:pt>
                <c:pt idx="10">
                  <c:v>0.37103253832367278</c:v>
                </c:pt>
                <c:pt idx="11">
                  <c:v>0.42686152934684174</c:v>
                </c:pt>
                <c:pt idx="12">
                  <c:v>0.48788482154569984</c:v>
                </c:pt>
                <c:pt idx="13">
                  <c:v>0.55155333984186472</c:v>
                </c:pt>
                <c:pt idx="14">
                  <c:v>0.61469423880634422</c:v>
                </c:pt>
                <c:pt idx="15">
                  <c:v>0.6741685124628235</c:v>
                </c:pt>
                <c:pt idx="16">
                  <c:v>0.72753407467373055</c:v>
                </c:pt>
                <c:pt idx="17">
                  <c:v>0.77342549503209779</c:v>
                </c:pt>
                <c:pt idx="18">
                  <c:v>0.81154962097076933</c:v>
                </c:pt>
                <c:pt idx="19">
                  <c:v>0.84240925509707643</c:v>
                </c:pt>
                <c:pt idx="20">
                  <c:v>0.8669463733468693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B8-4B7E-8C31-14F2FDA4B3BD}"/>
            </c:ext>
          </c:extLst>
        </c:ser>
        <c:ser>
          <c:idx val="9"/>
          <c:order val="11"/>
          <c:tx>
            <c:v>0.45</c:v>
          </c:tx>
          <c:spPr>
            <a:solidFill>
              <a:schemeClr val="accent1">
                <a:shade val="93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Page'!$D$118:$X$118</c:f>
              <c:numCache>
                <c:formatCode>0.00</c:formatCode>
                <c:ptCount val="21"/>
                <c:pt idx="0">
                  <c:v>0.12494273054352985</c:v>
                </c:pt>
                <c:pt idx="1">
                  <c:v>0.13115206949055866</c:v>
                </c:pt>
                <c:pt idx="2">
                  <c:v>0.13885176581005457</c:v>
                </c:pt>
                <c:pt idx="3">
                  <c:v>0.14842118550285871</c:v>
                </c:pt>
                <c:pt idx="4">
                  <c:v>0.16033642276068419</c:v>
                </c:pt>
                <c:pt idx="5">
                  <c:v>0.17518771691880483</c:v>
                </c:pt>
                <c:pt idx="6">
                  <c:v>0.19369105238001535</c:v>
                </c:pt>
                <c:pt idx="7">
                  <c:v>0.21668352494179152</c:v>
                </c:pt>
                <c:pt idx="8">
                  <c:v>0.24508500701190078</c:v>
                </c:pt>
                <c:pt idx="9">
                  <c:v>0.27980162428211491</c:v>
                </c:pt>
                <c:pt idx="10">
                  <c:v>0.32154610301807135</c:v>
                </c:pt>
                <c:pt idx="11">
                  <c:v>0.37056871174241562</c:v>
                </c:pt>
                <c:pt idx="12">
                  <c:v>0.42634342693511623</c:v>
                </c:pt>
                <c:pt idx="13">
                  <c:v>0.48733074866516635</c:v>
                </c:pt>
                <c:pt idx="14">
                  <c:v>0.5509893198254231</c:v>
                </c:pt>
                <c:pt idx="15">
                  <c:v>0.61414917318250684</c:v>
                </c:pt>
                <c:pt idx="16">
                  <c:v>0.67366787056926181</c:v>
                </c:pt>
                <c:pt idx="17">
                  <c:v>0.72709495705621241</c:v>
                </c:pt>
                <c:pt idx="18">
                  <c:v>0.77305499603988026</c:v>
                </c:pt>
                <c:pt idx="19">
                  <c:v>0.81124632790333906</c:v>
                </c:pt>
                <c:pt idx="20">
                  <c:v>0.84216630619817157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1B8-4B7E-8C31-14F2FDA4B3BD}"/>
            </c:ext>
          </c:extLst>
        </c:ser>
        <c:ser>
          <c:idx val="8"/>
          <c:order val="12"/>
          <c:tx>
            <c:v>0.4</c:v>
          </c:tx>
          <c:spPr>
            <a:solidFill>
              <a:schemeClr val="accent1">
                <a:shade val="87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Page'!$D$117:$X$117</c:f>
              <c:numCache>
                <c:formatCode>0.00</c:formatCode>
                <c:ptCount val="21"/>
                <c:pt idx="0">
                  <c:v>0.11988353664262912</c:v>
                </c:pt>
                <c:pt idx="1">
                  <c:v>0.12489365602217467</c:v>
                </c:pt>
                <c:pt idx="2">
                  <c:v>0.13109129205326939</c:v>
                </c:pt>
                <c:pt idx="3">
                  <c:v>0.13877631601086607</c:v>
                </c:pt>
                <c:pt idx="4">
                  <c:v>0.14832732203263682</c:v>
                </c:pt>
                <c:pt idx="5">
                  <c:v>0.16021947174992848</c:v>
                </c:pt>
                <c:pt idx="6">
                  <c:v>0.17504193283281388</c:v>
                </c:pt>
                <c:pt idx="7">
                  <c:v>0.19350956669170036</c:v>
                </c:pt>
                <c:pt idx="8">
                  <c:v>0.21645850287936888</c:v>
                </c:pt>
                <c:pt idx="9">
                  <c:v>0.24480820020934527</c:v>
                </c:pt>
                <c:pt idx="10">
                  <c:v>0.27946555440634124</c:v>
                </c:pt>
                <c:pt idx="11">
                  <c:v>0.32114605413518027</c:v>
                </c:pt>
                <c:pt idx="12">
                  <c:v>0.37010541705613437</c:v>
                </c:pt>
                <c:pt idx="13">
                  <c:v>0.42582573673817742</c:v>
                </c:pt>
                <c:pt idx="14">
                  <c:v>0.48677688787658885</c:v>
                </c:pt>
                <c:pt idx="15">
                  <c:v>0.55042526085580656</c:v>
                </c:pt>
                <c:pt idx="16">
                  <c:v>0.61360381963004196</c:v>
                </c:pt>
                <c:pt idx="17">
                  <c:v>0.67316674760360851</c:v>
                </c:pt>
                <c:pt idx="18">
                  <c:v>0.72665525152769594</c:v>
                </c:pt>
                <c:pt idx="19">
                  <c:v>0.77268388764348039</c:v>
                </c:pt>
                <c:pt idx="20">
                  <c:v>0.81094246654826407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B8-4B7E-8C31-14F2FDA4B3BD}"/>
            </c:ext>
          </c:extLst>
        </c:ser>
        <c:ser>
          <c:idx val="7"/>
          <c:order val="13"/>
          <c:tx>
            <c:v>0.35</c:v>
          </c:tx>
          <c:spPr>
            <a:solidFill>
              <a:schemeClr val="accent1">
                <a:shade val="80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Page'!$D$116:$X$116</c:f>
              <c:numCache>
                <c:formatCode>0.00</c:formatCode>
                <c:ptCount val="21"/>
                <c:pt idx="0">
                  <c:v>0.11579169837643273</c:v>
                </c:pt>
                <c:pt idx="1">
                  <c:v>0.11984389015776648</c:v>
                </c:pt>
                <c:pt idx="2">
                  <c:v>0.12484467344837182</c:v>
                </c:pt>
                <c:pt idx="3">
                  <c:v>0.13103062978055843</c:v>
                </c:pt>
                <c:pt idx="4">
                  <c:v>0.13870101070173507</c:v>
                </c:pt>
                <c:pt idx="5">
                  <c:v>0.14823363988803909</c:v>
                </c:pt>
                <c:pt idx="6">
                  <c:v>0.16010274779948194</c:v>
                </c:pt>
                <c:pt idx="7">
                  <c:v>0.17489643141503242</c:v>
                </c:pt>
                <c:pt idx="8">
                  <c:v>0.1933284289206694</c:v>
                </c:pt>
                <c:pt idx="9">
                  <c:v>0.21623390083700289</c:v>
                </c:pt>
                <c:pt idx="10">
                  <c:v>0.24453188510374402</c:v>
                </c:pt>
                <c:pt idx="11">
                  <c:v>0.27913003364265226</c:v>
                </c:pt>
                <c:pt idx="12">
                  <c:v>0.32074657639169762</c:v>
                </c:pt>
                <c:pt idx="13">
                  <c:v>0.36964265494348159</c:v>
                </c:pt>
                <c:pt idx="14">
                  <c:v>0.42530846018348206</c:v>
                </c:pt>
                <c:pt idx="15">
                  <c:v>0.48622324123262406</c:v>
                </c:pt>
                <c:pt idx="16">
                  <c:v>0.54986116522452144</c:v>
                </c:pt>
                <c:pt idx="17">
                  <c:v>0.61305818016803271</c:v>
                </c:pt>
                <c:pt idx="18">
                  <c:v>0.67266514491302654</c:v>
                </c:pt>
                <c:pt idx="19">
                  <c:v>0.72621495863537289</c:v>
                </c:pt>
                <c:pt idx="20">
                  <c:v>0.77231216971663397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B8-4B7E-8C31-14F2FDA4B3BD}"/>
            </c:ext>
          </c:extLst>
        </c:ser>
        <c:ser>
          <c:idx val="6"/>
          <c:order val="14"/>
          <c:tx>
            <c:v>0.3</c:v>
          </c:tx>
          <c:spPr>
            <a:solidFill>
              <a:schemeClr val="accent1">
                <a:shade val="74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Page'!$D$115:$X$115</c:f>
              <c:numCache>
                <c:formatCode>0.00</c:formatCode>
                <c:ptCount val="21"/>
                <c:pt idx="0">
                  <c:v>0.11247482767970424</c:v>
                </c:pt>
                <c:pt idx="1">
                  <c:v>0.11575959406607386</c:v>
                </c:pt>
                <c:pt idx="2">
                  <c:v>0.11980431712612048</c:v>
                </c:pt>
                <c:pt idx="3">
                  <c:v>0.12479578264069781</c:v>
                </c:pt>
                <c:pt idx="4">
                  <c:v>0.13097008244295535</c:v>
                </c:pt>
                <c:pt idx="5">
                  <c:v>0.13862584959335356</c:v>
                </c:pt>
                <c:pt idx="6">
                  <c:v>0.14814013870723292</c:v>
                </c:pt>
                <c:pt idx="7">
                  <c:v>0.15998625046372858</c:v>
                </c:pt>
                <c:pt idx="8">
                  <c:v>0.17475121213121489</c:v>
                </c:pt>
                <c:pt idx="9">
                  <c:v>0.19314763845481608</c:v>
                </c:pt>
                <c:pt idx="10">
                  <c:v>0.21600971816575235</c:v>
                </c:pt>
                <c:pt idx="11">
                  <c:v>0.24425606109949544</c:v>
                </c:pt>
                <c:pt idx="12">
                  <c:v>0.27879506160357265</c:v>
                </c:pt>
                <c:pt idx="13">
                  <c:v>0.3203476698213325</c:v>
                </c:pt>
                <c:pt idx="14">
                  <c:v>0.36918042607672996</c:v>
                </c:pt>
                <c:pt idx="15">
                  <c:v>0.42479159869201527</c:v>
                </c:pt>
                <c:pt idx="16">
                  <c:v>0.48566981078177013</c:v>
                </c:pt>
                <c:pt idx="17">
                  <c:v>0.54929703522318651</c:v>
                </c:pt>
                <c:pt idx="18">
                  <c:v>0.61251225682003996</c:v>
                </c:pt>
                <c:pt idx="19">
                  <c:v>0.67216306385160274</c:v>
                </c:pt>
                <c:pt idx="20">
                  <c:v>0.7257740789332281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B8-4B7E-8C31-14F2FDA4B3BD}"/>
            </c:ext>
          </c:extLst>
        </c:ser>
        <c:ser>
          <c:idx val="5"/>
          <c:order val="15"/>
          <c:tx>
            <c:v>0.25</c:v>
          </c:tx>
          <c:spPr>
            <a:solidFill>
              <a:schemeClr val="accent1">
                <a:shade val="68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Page'!$D$114:$X$114</c:f>
              <c:numCache>
                <c:formatCode>0.00</c:formatCode>
                <c:ptCount val="21"/>
                <c:pt idx="0">
                  <c:v>0.10978068195889759</c:v>
                </c:pt>
                <c:pt idx="1">
                  <c:v>0.11244877513893288</c:v>
                </c:pt>
                <c:pt idx="2">
                  <c:v>0.11572754860824641</c:v>
                </c:pt>
                <c:pt idx="3">
                  <c:v>0.11976481740456991</c:v>
                </c:pt>
                <c:pt idx="4">
                  <c:v>0.12474698341810533</c:v>
                </c:pt>
                <c:pt idx="5">
                  <c:v>0.13090964981146253</c:v>
                </c:pt>
                <c:pt idx="6">
                  <c:v>0.13855083239699642</c:v>
                </c:pt>
                <c:pt idx="7">
                  <c:v>0.14804681812907924</c:v>
                </c:pt>
                <c:pt idx="8">
                  <c:v>0.15986997929782704</c:v>
                </c:pt>
                <c:pt idx="9">
                  <c:v>0.17460627444788224</c:v>
                </c:pt>
                <c:pt idx="10">
                  <c:v>0.1929671946825984</c:v>
                </c:pt>
                <c:pt idx="11">
                  <c:v>0.21578595421669311</c:v>
                </c:pt>
                <c:pt idx="12">
                  <c:v>0.24398072759995063</c:v>
                </c:pt>
                <c:pt idx="13">
                  <c:v>0.27846063789892428</c:v>
                </c:pt>
                <c:pt idx="14">
                  <c:v>0.31994933445306872</c:v>
                </c:pt>
                <c:pt idx="15">
                  <c:v>0.36871873112178111</c:v>
                </c:pt>
                <c:pt idx="16">
                  <c:v>0.42427515367828167</c:v>
                </c:pt>
                <c:pt idx="17">
                  <c:v>0.48511659856833184</c:v>
                </c:pt>
                <c:pt idx="18">
                  <c:v>0.54873287314349217</c:v>
                </c:pt>
                <c:pt idx="19">
                  <c:v>0.61196605161407003</c:v>
                </c:pt>
                <c:pt idx="20">
                  <c:v>0.67166050578033609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B8-4B7E-8C31-14F2FDA4B3BD}"/>
            </c:ext>
          </c:extLst>
        </c:ser>
        <c:ser>
          <c:idx val="4"/>
          <c:order val="16"/>
          <c:tx>
            <c:v>0.2</c:v>
          </c:tx>
          <c:spPr>
            <a:solidFill>
              <a:schemeClr val="accent1">
                <a:shade val="61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Page'!$D$113:$X$113</c:f>
              <c:numCache>
                <c:formatCode>0.00</c:formatCode>
                <c:ptCount val="21"/>
                <c:pt idx="0">
                  <c:v>0.10758840038451362</c:v>
                </c:pt>
                <c:pt idx="1">
                  <c:v>0.10975949992225113</c:v>
                </c:pt>
                <c:pt idx="2">
                  <c:v>0.11242276989593368</c:v>
                </c:pt>
                <c:pt idx="3">
                  <c:v>0.11569556188983847</c:v>
                </c:pt>
                <c:pt idx="4">
                  <c:v>0.11972539085028903</c:v>
                </c:pt>
                <c:pt idx="5">
                  <c:v>0.12469827559992272</c:v>
                </c:pt>
                <c:pt idx="6">
                  <c:v>0.13084933165755455</c:v>
                </c:pt>
                <c:pt idx="7">
                  <c:v>0.13847595882452055</c:v>
                </c:pt>
                <c:pt idx="8">
                  <c:v>0.14795367779313168</c:v>
                </c:pt>
                <c:pt idx="9">
                  <c:v>0.15975393385771039</c:v>
                </c:pt>
                <c:pt idx="10">
                  <c:v>0.17446161783232281</c:v>
                </c:pt>
                <c:pt idx="11">
                  <c:v>0.19278709699304264</c:v>
                </c:pt>
                <c:pt idx="12">
                  <c:v>0.21556260834092503</c:v>
                </c:pt>
                <c:pt idx="13">
                  <c:v>0.2437058840074271</c:v>
                </c:pt>
                <c:pt idx="14">
                  <c:v>0.27812676213584359</c:v>
                </c:pt>
                <c:pt idx="15">
                  <c:v>0.31955157031118309</c:v>
                </c:pt>
                <c:pt idx="16">
                  <c:v>0.36825757073817683</c:v>
                </c:pt>
                <c:pt idx="17">
                  <c:v>0.42375912655029568</c:v>
                </c:pt>
                <c:pt idx="18">
                  <c:v>0.48456360663239323</c:v>
                </c:pt>
                <c:pt idx="19">
                  <c:v>0.54816868127715923</c:v>
                </c:pt>
                <c:pt idx="20">
                  <c:v>0.61141956658254015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B8-4B7E-8C31-14F2FDA4B3BD}"/>
            </c:ext>
          </c:extLst>
        </c:ser>
        <c:ser>
          <c:idx val="3"/>
          <c:order val="17"/>
          <c:tx>
            <c:v>0.15</c:v>
          </c:tx>
          <c:spPr>
            <a:solidFill>
              <a:schemeClr val="accent1">
                <a:shade val="55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Page'!$D$112:$X$112</c:f>
              <c:numCache>
                <c:formatCode>0.00</c:formatCode>
                <c:ptCount val="21"/>
                <c:pt idx="0">
                  <c:v>0.10580168852206741</c:v>
                </c:pt>
                <c:pt idx="1">
                  <c:v>0.10757114934143321</c:v>
                </c:pt>
                <c:pt idx="2">
                  <c:v>0.10973835600916915</c:v>
                </c:pt>
                <c:pt idx="3">
                  <c:v>0.11239681186104657</c:v>
                </c:pt>
                <c:pt idx="4">
                  <c:v>0.11566363379796908</c:v>
                </c:pt>
                <c:pt idx="5">
                  <c:v>0.11968603732074699</c:v>
                </c:pt>
                <c:pt idx="6">
                  <c:v>0.12464965900585287</c:v>
                </c:pt>
                <c:pt idx="7">
                  <c:v>0.13078912775317722</c:v>
                </c:pt>
                <c:pt idx="8">
                  <c:v>0.13840122858836373</c:v>
                </c:pt>
                <c:pt idx="9">
                  <c:v>0.14786071733963554</c:v>
                </c:pt>
                <c:pt idx="10">
                  <c:v>0.15963811370008546</c:v>
                </c:pt>
                <c:pt idx="11">
                  <c:v>0.17431724175259272</c:v>
                </c:pt>
                <c:pt idx="12">
                  <c:v>0.19260734477574565</c:v>
                </c:pt>
                <c:pt idx="13">
                  <c:v>0.21533967988957897</c:v>
                </c:pt>
                <c:pt idx="14">
                  <c:v>0.2434315297232196</c:v>
                </c:pt>
                <c:pt idx="15">
                  <c:v>0.27779343391879707</c:v>
                </c:pt>
                <c:pt idx="16">
                  <c:v>0.31915437741526392</c:v>
                </c:pt>
                <c:pt idx="17">
                  <c:v>0.3677969455791073</c:v>
                </c:pt>
                <c:pt idx="18">
                  <c:v>0.42324351870957361</c:v>
                </c:pt>
                <c:pt idx="19">
                  <c:v>0.4840108370097852</c:v>
                </c:pt>
                <c:pt idx="20">
                  <c:v>0.54760446191589596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1B8-4B7E-8C31-14F2FDA4B3BD}"/>
            </c:ext>
          </c:extLst>
        </c:ser>
        <c:ser>
          <c:idx val="2"/>
          <c:order val="18"/>
          <c:tx>
            <c:v>0.1</c:v>
          </c:tx>
          <c:spPr>
            <a:solidFill>
              <a:schemeClr val="accent1">
                <a:shade val="49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Page'!$D$111:$X$111</c:f>
              <c:numCache>
                <c:formatCode>0.00</c:formatCode>
                <c:ptCount val="21"/>
                <c:pt idx="0">
                  <c:v>0.10434354172151471</c:v>
                </c:pt>
                <c:pt idx="1">
                  <c:v>0.10578761847856362</c:v>
                </c:pt>
                <c:pt idx="2">
                  <c:v>0.10755392911125027</c:v>
                </c:pt>
                <c:pt idx="3">
                  <c:v>0.10971725014832993</c:v>
                </c:pt>
                <c:pt idx="4">
                  <c:v>0.11237090094479206</c:v>
                </c:pt>
                <c:pt idx="5">
                  <c:v>0.11563176421998796</c:v>
                </c:pt>
                <c:pt idx="6">
                  <c:v>0.11964675667370726</c:v>
                </c:pt>
                <c:pt idx="7">
                  <c:v>0.12460113345597258</c:v>
                </c:pt>
                <c:pt idx="8">
                  <c:v>0.13072903787074636</c:v>
                </c:pt>
                <c:pt idx="9">
                  <c:v>0.13832664140154366</c:v>
                </c:pt>
                <c:pt idx="10">
                  <c:v>0.1477679364095269</c:v>
                </c:pt>
                <c:pt idx="11">
                  <c:v>0.15952251838243242</c:v>
                </c:pt>
                <c:pt idx="12">
                  <c:v>0.17417314567751671</c:v>
                </c:pt>
                <c:pt idx="13">
                  <c:v>0.19242793742087871</c:v>
                </c:pt>
                <c:pt idx="14">
                  <c:v>0.21511716821382368</c:v>
                </c:pt>
                <c:pt idx="15">
                  <c:v>0.24315766414761211</c:v>
                </c:pt>
                <c:pt idx="16">
                  <c:v>0.27746065284959998</c:v>
                </c:pt>
                <c:pt idx="17">
                  <c:v>0.31875775578022703</c:v>
                </c:pt>
                <c:pt idx="18">
                  <c:v>0.36733685629142199</c:v>
                </c:pt>
                <c:pt idx="19">
                  <c:v>0.42272833155112483</c:v>
                </c:pt>
                <c:pt idx="20">
                  <c:v>0.48345829173205496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1B8-4B7E-8C31-14F2FDA4B3BD}"/>
            </c:ext>
          </c:extLst>
        </c:ser>
        <c:ser>
          <c:idx val="1"/>
          <c:order val="19"/>
          <c:tx>
            <c:v>0.05</c:v>
          </c:tx>
          <c:spPr>
            <a:solidFill>
              <a:schemeClr val="accent1">
                <a:shade val="42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Page'!$D$110:$X$110</c:f>
              <c:numCache>
                <c:formatCode>0.00</c:formatCode>
                <c:ptCount val="21"/>
                <c:pt idx="0">
                  <c:v>0.10315216157151424</c:v>
                </c:pt>
                <c:pt idx="1">
                  <c:v>0.10433205178637213</c:v>
                </c:pt>
                <c:pt idx="2">
                  <c:v>0.10577357340071956</c:v>
                </c:pt>
                <c:pt idx="3">
                  <c:v>0.10753673963701997</c:v>
                </c:pt>
                <c:pt idx="4">
                  <c:v>0.10969618226855329</c:v>
                </c:pt>
                <c:pt idx="5">
                  <c:v>0.11234503705787074</c:v>
                </c:pt>
                <c:pt idx="6">
                  <c:v>0.11559995304347477</c:v>
                </c:pt>
                <c:pt idx="7">
                  <c:v>0.11960754876722701</c:v>
                </c:pt>
                <c:pt idx="8">
                  <c:v>0.12455269877073186</c:v>
                </c:pt>
                <c:pt idx="9">
                  <c:v>0.13066906178314736</c:v>
                </c:pt>
                <c:pt idx="10">
                  <c:v>0.13825219697765712</c:v>
                </c:pt>
                <c:pt idx="11">
                  <c:v>0.14767533464443178</c:v>
                </c:pt>
                <c:pt idx="12">
                  <c:v>0.15940714746300436</c:v>
                </c:pt>
                <c:pt idx="13">
                  <c:v>0.17402932907668914</c:v>
                </c:pt>
                <c:pt idx="14">
                  <c:v>0.19224887431918986</c:v>
                </c:pt>
                <c:pt idx="15">
                  <c:v>0.21489507266487182</c:v>
                </c:pt>
                <c:pt idx="16">
                  <c:v>0.24288428667989029</c:v>
                </c:pt>
                <c:pt idx="17">
                  <c:v>0.27712841852743136</c:v>
                </c:pt>
                <c:pt idx="18">
                  <c:v>0.31836170541633552</c:v>
                </c:pt>
                <c:pt idx="19">
                  <c:v>0.36687730351563924</c:v>
                </c:pt>
                <c:pt idx="20">
                  <c:v>0.42221356646344282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1B8-4B7E-8C31-14F2FDA4B3BD}"/>
            </c:ext>
          </c:extLst>
        </c:ser>
        <c:ser>
          <c:idx val="0"/>
          <c:order val="20"/>
          <c:tx>
            <c:v>0</c:v>
          </c:tx>
          <c:spPr>
            <a:solidFill>
              <a:schemeClr val="accent1">
                <a:shade val="36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Page'!$D$109:$X$109</c:f>
              <c:numCache>
                <c:formatCode>0.00</c:formatCode>
                <c:ptCount val="21"/>
                <c:pt idx="0">
                  <c:v>0.10217778882520712</c:v>
                </c:pt>
                <c:pt idx="1">
                  <c:v>0.10314276865510509</c:v>
                </c:pt>
                <c:pt idx="2">
                  <c:v>0.10432058212348129</c:v>
                </c:pt>
                <c:pt idx="3">
                  <c:v>0.10575955324290309</c:v>
                </c:pt>
                <c:pt idx="4">
                  <c:v>0.1075195808619086</c:v>
                </c:pt>
                <c:pt idx="5">
                  <c:v>0.10967515229880002</c:v>
                </c:pt>
                <c:pt idx="6">
                  <c:v>0.11231922011116302</c:v>
                </c:pt>
                <c:pt idx="7">
                  <c:v>0.11556820015623906</c:v>
                </c:pt>
                <c:pt idx="8">
                  <c:v>0.11956841345965638</c:v>
                </c:pt>
                <c:pt idx="9">
                  <c:v>0.12450435477095299</c:v>
                </c:pt>
                <c:pt idx="10">
                  <c:v>0.13060919926373382</c:v>
                </c:pt>
                <c:pt idx="11">
                  <c:v>0.1381778950308786</c:v>
                </c:pt>
                <c:pt idx="12">
                  <c:v>0.14758291168666501</c:v>
                </c:pt>
                <c:pt idx="13">
                  <c:v>0.15929200050082679</c:v>
                </c:pt>
                <c:pt idx="14">
                  <c:v>0.17388579142047411</c:v>
                </c:pt>
                <c:pt idx="15">
                  <c:v>0.19207015486200665</c:v>
                </c:pt>
                <c:pt idx="16">
                  <c:v>0.21467339259398757</c:v>
                </c:pt>
                <c:pt idx="17">
                  <c:v>0.24261139671835208</c:v>
                </c:pt>
                <c:pt idx="18">
                  <c:v>0.27679673054885173</c:v>
                </c:pt>
                <c:pt idx="19">
                  <c:v>0.31796622632921623</c:v>
                </c:pt>
                <c:pt idx="20">
                  <c:v>0.36641828788595543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1B8-4B7E-8C31-14F2FDA4B3BD}"/>
            </c:ext>
          </c:extLst>
        </c:ser>
        <c:bandFmts/>
        <c:axId val="259242624"/>
        <c:axId val="259231808"/>
        <c:axId val="146158400"/>
      </c:surfaceChart>
      <c:catAx>
        <c:axId val="25924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  <c:auto val="1"/>
        <c:lblAlgn val="ctr"/>
        <c:lblOffset val="100"/>
        <c:noMultiLvlLbl val="0"/>
      </c:catAx>
      <c:valAx>
        <c:axId val="2592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42624"/>
        <c:crosses val="autoZero"/>
        <c:crossBetween val="midCat"/>
        <c:majorUnit val="2.0000000000000004E-2"/>
      </c:valAx>
      <c:serAx>
        <c:axId val="14615840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x2 </a:t>
                </a:r>
              </a:p>
            </c:rich>
          </c:tx>
          <c:layout>
            <c:manualLayout>
              <c:xMode val="edge"/>
              <c:yMode val="edge"/>
              <c:x val="0.90299194626750301"/>
              <c:y val="0.44823240940206865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chart" Target="../charts/chart3.xml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chart" Target="../charts/chart2.xml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chart" Target="../charts/chart6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chart" Target="../charts/chart1.xml"/><Relationship Id="rId32" Type="http://schemas.openxmlformats.org/officeDocument/2006/relationships/chart" Target="../charts/chart9.xml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chart" Target="../charts/chart5.xml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chart" Target="../charts/chart8.xm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chart" Target="../charts/chart4.xml"/><Relationship Id="rId30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17</xdr:row>
      <xdr:rowOff>160020</xdr:rowOff>
    </xdr:from>
    <xdr:to>
      <xdr:col>2</xdr:col>
      <xdr:colOff>533400</xdr:colOff>
      <xdr:row>20</xdr:row>
      <xdr:rowOff>38100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2540" y="326898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x1</a:t>
          </a:r>
        </a:p>
      </xdr:txBody>
    </xdr:sp>
    <xdr:clientData/>
  </xdr:twoCellAnchor>
  <xdr:twoCellAnchor>
    <xdr:from>
      <xdr:col>2</xdr:col>
      <xdr:colOff>83820</xdr:colOff>
      <xdr:row>22</xdr:row>
      <xdr:rowOff>45720</xdr:rowOff>
    </xdr:from>
    <xdr:to>
      <xdr:col>2</xdr:col>
      <xdr:colOff>563880</xdr:colOff>
      <xdr:row>24</xdr:row>
      <xdr:rowOff>106680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03020" y="406908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x2</a:t>
          </a:r>
        </a:p>
      </xdr:txBody>
    </xdr:sp>
    <xdr:clientData/>
  </xdr:twoCellAnchor>
  <xdr:twoCellAnchor>
    <xdr:from>
      <xdr:col>5</xdr:col>
      <xdr:colOff>114300</xdr:colOff>
      <xdr:row>19</xdr:row>
      <xdr:rowOff>53340</xdr:rowOff>
    </xdr:from>
    <xdr:to>
      <xdr:col>5</xdr:col>
      <xdr:colOff>594360</xdr:colOff>
      <xdr:row>21</xdr:row>
      <xdr:rowOff>114300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62300" y="352806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a1</a:t>
          </a:r>
        </a:p>
      </xdr:txBody>
    </xdr:sp>
    <xdr:clientData/>
  </xdr:twoCellAnchor>
  <xdr:twoCellAnchor>
    <xdr:from>
      <xdr:col>8</xdr:col>
      <xdr:colOff>76200</xdr:colOff>
      <xdr:row>19</xdr:row>
      <xdr:rowOff>53340</xdr:rowOff>
    </xdr:from>
    <xdr:to>
      <xdr:col>8</xdr:col>
      <xdr:colOff>556260</xdr:colOff>
      <xdr:row>21</xdr:row>
      <xdr:rowOff>114300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53000" y="352806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a2</a:t>
          </a:r>
        </a:p>
      </xdr:txBody>
    </xdr:sp>
    <xdr:clientData/>
  </xdr:twoCellAnchor>
  <xdr:twoCellAnchor>
    <xdr:from>
      <xdr:col>3</xdr:col>
      <xdr:colOff>68580</xdr:colOff>
      <xdr:row>18</xdr:row>
      <xdr:rowOff>160020</xdr:rowOff>
    </xdr:from>
    <xdr:to>
      <xdr:col>5</xdr:col>
      <xdr:colOff>7620</xdr:colOff>
      <xdr:row>20</xdr:row>
      <xdr:rowOff>38100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1897380" y="3451860"/>
          <a:ext cx="1158240" cy="2438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68580</xdr:colOff>
      <xdr:row>21</xdr:row>
      <xdr:rowOff>22860</xdr:rowOff>
    </xdr:from>
    <xdr:to>
      <xdr:col>4</xdr:col>
      <xdr:colOff>579120</xdr:colOff>
      <xdr:row>23</xdr:row>
      <xdr:rowOff>7620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V="1">
          <a:off x="1897380" y="3863340"/>
          <a:ext cx="1120140" cy="3505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91440</xdr:colOff>
      <xdr:row>20</xdr:row>
      <xdr:rowOff>60960</xdr:rowOff>
    </xdr:from>
    <xdr:to>
      <xdr:col>7</xdr:col>
      <xdr:colOff>548640</xdr:colOff>
      <xdr:row>20</xdr:row>
      <xdr:rowOff>60960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3749040" y="3718560"/>
          <a:ext cx="10668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381000</xdr:colOff>
      <xdr:row>18</xdr:row>
      <xdr:rowOff>0</xdr:rowOff>
    </xdr:from>
    <xdr:ext cx="569708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209800" y="329184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w1, b1</a:t>
          </a:r>
        </a:p>
      </xdr:txBody>
    </xdr:sp>
    <xdr:clientData/>
  </xdr:oneCellAnchor>
  <xdr:oneCellAnchor>
    <xdr:from>
      <xdr:col>3</xdr:col>
      <xdr:colOff>487680</xdr:colOff>
      <xdr:row>22</xdr:row>
      <xdr:rowOff>45720</xdr:rowOff>
    </xdr:from>
    <xdr:ext cx="569708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316480" y="406908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w2, b2</a:t>
          </a:r>
        </a:p>
      </xdr:txBody>
    </xdr:sp>
    <xdr:clientData/>
  </xdr:oneCellAnchor>
  <xdr:oneCellAnchor>
    <xdr:from>
      <xdr:col>6</xdr:col>
      <xdr:colOff>335280</xdr:colOff>
      <xdr:row>20</xdr:row>
      <xdr:rowOff>99060</xdr:rowOff>
    </xdr:from>
    <xdr:ext cx="569708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992880" y="375666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w3, b3</a:t>
          </a:r>
        </a:p>
      </xdr:txBody>
    </xdr:sp>
    <xdr:clientData/>
  </xdr:oneCellAnchor>
  <xdr:twoCellAnchor editAs="oneCell">
    <xdr:from>
      <xdr:col>0</xdr:col>
      <xdr:colOff>498477</xdr:colOff>
      <xdr:row>28</xdr:row>
      <xdr:rowOff>16934</xdr:rowOff>
    </xdr:from>
    <xdr:to>
      <xdr:col>5</xdr:col>
      <xdr:colOff>10583</xdr:colOff>
      <xdr:row>33</xdr:row>
      <xdr:rowOff>126850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8477" y="5054601"/>
          <a:ext cx="2578098" cy="1006324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444501</xdr:colOff>
      <xdr:row>36</xdr:row>
      <xdr:rowOff>151343</xdr:rowOff>
    </xdr:from>
    <xdr:to>
      <xdr:col>5</xdr:col>
      <xdr:colOff>535516</xdr:colOff>
      <xdr:row>39</xdr:row>
      <xdr:rowOff>85397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4501" y="6628343"/>
          <a:ext cx="3160182" cy="476979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42</xdr:row>
      <xdr:rowOff>59267</xdr:rowOff>
    </xdr:from>
    <xdr:to>
      <xdr:col>3</xdr:col>
      <xdr:colOff>515408</xdr:colOff>
      <xdr:row>45</xdr:row>
      <xdr:rowOff>45142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" y="7615767"/>
          <a:ext cx="1785408" cy="522450"/>
        </a:xfrm>
        <a:prstGeom prst="rect">
          <a:avLst/>
        </a:prstGeom>
      </xdr:spPr>
    </xdr:pic>
    <xdr:clientData/>
  </xdr:twoCellAnchor>
  <xdr:twoCellAnchor editAs="oneCell">
    <xdr:from>
      <xdr:col>0</xdr:col>
      <xdr:colOff>469900</xdr:colOff>
      <xdr:row>52</xdr:row>
      <xdr:rowOff>14817</xdr:rowOff>
    </xdr:from>
    <xdr:to>
      <xdr:col>9</xdr:col>
      <xdr:colOff>106891</xdr:colOff>
      <xdr:row>55</xdr:row>
      <xdr:rowOff>30612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9900" y="9370484"/>
          <a:ext cx="5164666" cy="552370"/>
        </a:xfrm>
        <a:prstGeom prst="rect">
          <a:avLst/>
        </a:prstGeom>
      </xdr:spPr>
    </xdr:pic>
    <xdr:clientData/>
  </xdr:twoCellAnchor>
  <xdr:twoCellAnchor editAs="oneCell">
    <xdr:from>
      <xdr:col>22</xdr:col>
      <xdr:colOff>701675</xdr:colOff>
      <xdr:row>25</xdr:row>
      <xdr:rowOff>123825</xdr:rowOff>
    </xdr:from>
    <xdr:to>
      <xdr:col>27</xdr:col>
      <xdr:colOff>288924</xdr:colOff>
      <xdr:row>29</xdr:row>
      <xdr:rowOff>67144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407092" y="4621742"/>
          <a:ext cx="2772832" cy="662986"/>
        </a:xfrm>
        <a:prstGeom prst="rect">
          <a:avLst/>
        </a:prstGeom>
      </xdr:spPr>
    </xdr:pic>
    <xdr:clientData/>
  </xdr:twoCellAnchor>
  <xdr:twoCellAnchor editAs="oneCell">
    <xdr:from>
      <xdr:col>22</xdr:col>
      <xdr:colOff>716492</xdr:colOff>
      <xdr:row>30</xdr:row>
      <xdr:rowOff>46568</xdr:rowOff>
    </xdr:from>
    <xdr:to>
      <xdr:col>26</xdr:col>
      <xdr:colOff>201084</xdr:colOff>
      <xdr:row>34</xdr:row>
      <xdr:rowOff>66159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21909" y="5444068"/>
          <a:ext cx="2056342" cy="739258"/>
        </a:xfrm>
        <a:prstGeom prst="rect">
          <a:avLst/>
        </a:prstGeom>
      </xdr:spPr>
    </xdr:pic>
    <xdr:clientData/>
  </xdr:twoCellAnchor>
  <xdr:twoCellAnchor editAs="oneCell">
    <xdr:from>
      <xdr:col>23</xdr:col>
      <xdr:colOff>2</xdr:colOff>
      <xdr:row>15</xdr:row>
      <xdr:rowOff>67733</xdr:rowOff>
    </xdr:from>
    <xdr:to>
      <xdr:col>27</xdr:col>
      <xdr:colOff>131235</xdr:colOff>
      <xdr:row>19</xdr:row>
      <xdr:rowOff>75677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435669" y="2766483"/>
          <a:ext cx="2586566" cy="727611"/>
        </a:xfrm>
        <a:prstGeom prst="rect">
          <a:avLst/>
        </a:prstGeom>
      </xdr:spPr>
    </xdr:pic>
    <xdr:clientData/>
  </xdr:twoCellAnchor>
  <xdr:twoCellAnchor editAs="oneCell">
    <xdr:from>
      <xdr:col>22</xdr:col>
      <xdr:colOff>694266</xdr:colOff>
      <xdr:row>20</xdr:row>
      <xdr:rowOff>110068</xdr:rowOff>
    </xdr:from>
    <xdr:to>
      <xdr:col>24</xdr:col>
      <xdr:colOff>582105</xdr:colOff>
      <xdr:row>24</xdr:row>
      <xdr:rowOff>67735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399683" y="3708401"/>
          <a:ext cx="1228747" cy="680508"/>
        </a:xfrm>
        <a:prstGeom prst="rect">
          <a:avLst/>
        </a:prstGeom>
      </xdr:spPr>
    </xdr:pic>
    <xdr:clientData/>
  </xdr:twoCellAnchor>
  <xdr:twoCellAnchor editAs="oneCell">
    <xdr:from>
      <xdr:col>28</xdr:col>
      <xdr:colOff>56092</xdr:colOff>
      <xdr:row>25</xdr:row>
      <xdr:rowOff>99483</xdr:rowOff>
    </xdr:from>
    <xdr:to>
      <xdr:col>32</xdr:col>
      <xdr:colOff>370415</xdr:colOff>
      <xdr:row>29</xdr:row>
      <xdr:rowOff>45977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60925" y="4597400"/>
          <a:ext cx="2772832" cy="662986"/>
        </a:xfrm>
        <a:prstGeom prst="rect">
          <a:avLst/>
        </a:prstGeom>
      </xdr:spPr>
    </xdr:pic>
    <xdr:clientData/>
  </xdr:twoCellAnchor>
  <xdr:twoCellAnchor editAs="oneCell">
    <xdr:from>
      <xdr:col>28</xdr:col>
      <xdr:colOff>70909</xdr:colOff>
      <xdr:row>30</xdr:row>
      <xdr:rowOff>28576</xdr:rowOff>
    </xdr:from>
    <xdr:to>
      <xdr:col>31</xdr:col>
      <xdr:colOff>285751</xdr:colOff>
      <xdr:row>34</xdr:row>
      <xdr:rowOff>44992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575742" y="5426076"/>
          <a:ext cx="2056342" cy="739258"/>
        </a:xfrm>
        <a:prstGeom prst="rect">
          <a:avLst/>
        </a:prstGeom>
      </xdr:spPr>
    </xdr:pic>
    <xdr:clientData/>
  </xdr:twoCellAnchor>
  <xdr:twoCellAnchor editAs="oneCell">
    <xdr:from>
      <xdr:col>28</xdr:col>
      <xdr:colOff>27516</xdr:colOff>
      <xdr:row>15</xdr:row>
      <xdr:rowOff>83040</xdr:rowOff>
    </xdr:from>
    <xdr:to>
      <xdr:col>32</xdr:col>
      <xdr:colOff>86783</xdr:colOff>
      <xdr:row>19</xdr:row>
      <xdr:rowOff>69753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532349" y="2781790"/>
          <a:ext cx="2508251" cy="706380"/>
        </a:xfrm>
        <a:prstGeom prst="rect">
          <a:avLst/>
        </a:prstGeom>
      </xdr:spPr>
    </xdr:pic>
    <xdr:clientData/>
  </xdr:twoCellAnchor>
  <xdr:twoCellAnchor editAs="oneCell">
    <xdr:from>
      <xdr:col>28</xdr:col>
      <xdr:colOff>42333</xdr:colOff>
      <xdr:row>20</xdr:row>
      <xdr:rowOff>88899</xdr:rowOff>
    </xdr:from>
    <xdr:to>
      <xdr:col>29</xdr:col>
      <xdr:colOff>543374</xdr:colOff>
      <xdr:row>24</xdr:row>
      <xdr:rowOff>92076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547166" y="3687232"/>
          <a:ext cx="1108525" cy="722843"/>
        </a:xfrm>
        <a:prstGeom prst="rect">
          <a:avLst/>
        </a:prstGeom>
      </xdr:spPr>
    </xdr:pic>
    <xdr:clientData/>
  </xdr:twoCellAnchor>
  <xdr:twoCellAnchor editAs="oneCell">
    <xdr:from>
      <xdr:col>34</xdr:col>
      <xdr:colOff>42333</xdr:colOff>
      <xdr:row>15</xdr:row>
      <xdr:rowOff>11642</xdr:rowOff>
    </xdr:from>
    <xdr:to>
      <xdr:col>40</xdr:col>
      <xdr:colOff>125942</xdr:colOff>
      <xdr:row>19</xdr:row>
      <xdr:rowOff>49765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616333" y="2710392"/>
          <a:ext cx="3760259" cy="757790"/>
        </a:xfrm>
        <a:prstGeom prst="rect">
          <a:avLst/>
        </a:prstGeom>
      </xdr:spPr>
    </xdr:pic>
    <xdr:clientData/>
  </xdr:twoCellAnchor>
  <xdr:twoCellAnchor editAs="oneCell">
    <xdr:from>
      <xdr:col>41</xdr:col>
      <xdr:colOff>1</xdr:colOff>
      <xdr:row>15</xdr:row>
      <xdr:rowOff>7408</xdr:rowOff>
    </xdr:from>
    <xdr:to>
      <xdr:col>47</xdr:col>
      <xdr:colOff>95250</xdr:colOff>
      <xdr:row>19</xdr:row>
      <xdr:rowOff>28767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4870834" y="2706158"/>
          <a:ext cx="3778249" cy="744201"/>
        </a:xfrm>
        <a:prstGeom prst="rect">
          <a:avLst/>
        </a:prstGeom>
      </xdr:spPr>
    </xdr:pic>
    <xdr:clientData/>
  </xdr:twoCellAnchor>
  <xdr:twoCellAnchor editAs="oneCell">
    <xdr:from>
      <xdr:col>47</xdr:col>
      <xdr:colOff>600075</xdr:colOff>
      <xdr:row>15</xdr:row>
      <xdr:rowOff>17263</xdr:rowOff>
    </xdr:from>
    <xdr:to>
      <xdr:col>54</xdr:col>
      <xdr:colOff>95251</xdr:colOff>
      <xdr:row>19</xdr:row>
      <xdr:rowOff>29291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153908" y="2716013"/>
          <a:ext cx="3792009" cy="725345"/>
        </a:xfrm>
        <a:prstGeom prst="rect">
          <a:avLst/>
        </a:prstGeom>
      </xdr:spPr>
    </xdr:pic>
    <xdr:clientData/>
  </xdr:twoCellAnchor>
  <xdr:twoCellAnchor editAs="oneCell">
    <xdr:from>
      <xdr:col>54</xdr:col>
      <xdr:colOff>560917</xdr:colOff>
      <xdr:row>15</xdr:row>
      <xdr:rowOff>52917</xdr:rowOff>
    </xdr:from>
    <xdr:to>
      <xdr:col>60</xdr:col>
      <xdr:colOff>539750</xdr:colOff>
      <xdr:row>18</xdr:row>
      <xdr:rowOff>116683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3411584" y="2751667"/>
          <a:ext cx="3665008" cy="603516"/>
        </a:xfrm>
        <a:prstGeom prst="rect">
          <a:avLst/>
        </a:prstGeom>
      </xdr:spPr>
    </xdr:pic>
    <xdr:clientData/>
  </xdr:twoCellAnchor>
  <xdr:twoCellAnchor editAs="oneCell">
    <xdr:from>
      <xdr:col>0</xdr:col>
      <xdr:colOff>391584</xdr:colOff>
      <xdr:row>56</xdr:row>
      <xdr:rowOff>158750</xdr:rowOff>
    </xdr:from>
    <xdr:to>
      <xdr:col>3</xdr:col>
      <xdr:colOff>264583</xdr:colOff>
      <xdr:row>59</xdr:row>
      <xdr:rowOff>130175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91584" y="10234083"/>
          <a:ext cx="1714499" cy="511175"/>
        </a:xfrm>
        <a:prstGeom prst="rect">
          <a:avLst/>
        </a:prstGeom>
      </xdr:spPr>
    </xdr:pic>
    <xdr:clientData/>
  </xdr:twoCellAnchor>
  <xdr:twoCellAnchor editAs="oneCell">
    <xdr:from>
      <xdr:col>0</xdr:col>
      <xdr:colOff>564093</xdr:colOff>
      <xdr:row>47</xdr:row>
      <xdr:rowOff>0</xdr:rowOff>
    </xdr:from>
    <xdr:to>
      <xdr:col>4</xdr:col>
      <xdr:colOff>427568</xdr:colOff>
      <xdr:row>51</xdr:row>
      <xdr:rowOff>37999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64093" y="8456083"/>
          <a:ext cx="2325158" cy="7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476249</xdr:colOff>
      <xdr:row>60</xdr:row>
      <xdr:rowOff>63500</xdr:rowOff>
    </xdr:from>
    <xdr:to>
      <xdr:col>4</xdr:col>
      <xdr:colOff>401993</xdr:colOff>
      <xdr:row>64</xdr:row>
      <xdr:rowOff>87841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76249" y="10858500"/>
          <a:ext cx="2381077" cy="740833"/>
        </a:xfrm>
        <a:prstGeom prst="rect">
          <a:avLst/>
        </a:prstGeom>
      </xdr:spPr>
    </xdr:pic>
    <xdr:clientData/>
  </xdr:twoCellAnchor>
  <xdr:twoCellAnchor editAs="oneCell">
    <xdr:from>
      <xdr:col>34</xdr:col>
      <xdr:colOff>354542</xdr:colOff>
      <xdr:row>40</xdr:row>
      <xdr:rowOff>25400</xdr:rowOff>
    </xdr:from>
    <xdr:to>
      <xdr:col>37</xdr:col>
      <xdr:colOff>582084</xdr:colOff>
      <xdr:row>44</xdr:row>
      <xdr:rowOff>48166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28542" y="7222067"/>
          <a:ext cx="2065867" cy="739258"/>
        </a:xfrm>
        <a:prstGeom prst="rect">
          <a:avLst/>
        </a:prstGeom>
      </xdr:spPr>
    </xdr:pic>
    <xdr:clientData/>
  </xdr:twoCellAnchor>
  <xdr:twoCellAnchor editAs="oneCell">
    <xdr:from>
      <xdr:col>34</xdr:col>
      <xdr:colOff>359833</xdr:colOff>
      <xdr:row>35</xdr:row>
      <xdr:rowOff>113243</xdr:rowOff>
    </xdr:from>
    <xdr:to>
      <xdr:col>39</xdr:col>
      <xdr:colOff>69848</xdr:colOff>
      <xdr:row>39</xdr:row>
      <xdr:rowOff>66088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933833" y="6410326"/>
          <a:ext cx="2776007" cy="669336"/>
        </a:xfrm>
        <a:prstGeom prst="rect">
          <a:avLst/>
        </a:prstGeom>
      </xdr:spPr>
    </xdr:pic>
    <xdr:clientData/>
  </xdr:twoCellAnchor>
  <xdr:twoCellAnchor editAs="oneCell">
    <xdr:from>
      <xdr:col>34</xdr:col>
      <xdr:colOff>338668</xdr:colOff>
      <xdr:row>30</xdr:row>
      <xdr:rowOff>101601</xdr:rowOff>
    </xdr:from>
    <xdr:to>
      <xdr:col>36</xdr:col>
      <xdr:colOff>477309</xdr:colOff>
      <xdr:row>34</xdr:row>
      <xdr:rowOff>149323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912668" y="5499101"/>
          <a:ext cx="1366308" cy="767389"/>
        </a:xfrm>
        <a:prstGeom prst="rect">
          <a:avLst/>
        </a:prstGeom>
      </xdr:spPr>
    </xdr:pic>
    <xdr:clientData/>
  </xdr:twoCellAnchor>
  <xdr:twoCellAnchor editAs="oneCell">
    <xdr:from>
      <xdr:col>34</xdr:col>
      <xdr:colOff>285751</xdr:colOff>
      <xdr:row>25</xdr:row>
      <xdr:rowOff>46568</xdr:rowOff>
    </xdr:from>
    <xdr:to>
      <xdr:col>39</xdr:col>
      <xdr:colOff>275168</xdr:colOff>
      <xdr:row>29</xdr:row>
      <xdr:rowOff>66314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0859751" y="4544485"/>
          <a:ext cx="3061759" cy="742588"/>
        </a:xfrm>
        <a:prstGeom prst="rect">
          <a:avLst/>
        </a:prstGeom>
      </xdr:spPr>
    </xdr:pic>
    <xdr:clientData/>
  </xdr:twoCellAnchor>
  <xdr:twoCellAnchor editAs="oneCell">
    <xdr:from>
      <xdr:col>41</xdr:col>
      <xdr:colOff>322792</xdr:colOff>
      <xdr:row>39</xdr:row>
      <xdr:rowOff>176742</xdr:rowOff>
    </xdr:from>
    <xdr:to>
      <xdr:col>44</xdr:col>
      <xdr:colOff>550334</xdr:colOff>
      <xdr:row>44</xdr:row>
      <xdr:rowOff>10066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93625" y="7193492"/>
          <a:ext cx="2069042" cy="736083"/>
        </a:xfrm>
        <a:prstGeom prst="rect">
          <a:avLst/>
        </a:prstGeom>
      </xdr:spPr>
    </xdr:pic>
    <xdr:clientData/>
  </xdr:twoCellAnchor>
  <xdr:twoCellAnchor editAs="oneCell">
    <xdr:from>
      <xdr:col>41</xdr:col>
      <xdr:colOff>328083</xdr:colOff>
      <xdr:row>35</xdr:row>
      <xdr:rowOff>75143</xdr:rowOff>
    </xdr:from>
    <xdr:to>
      <xdr:col>46</xdr:col>
      <xdr:colOff>31749</xdr:colOff>
      <xdr:row>39</xdr:row>
      <xdr:rowOff>31163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198916" y="6372226"/>
          <a:ext cx="2776007" cy="672511"/>
        </a:xfrm>
        <a:prstGeom prst="rect">
          <a:avLst/>
        </a:prstGeom>
      </xdr:spPr>
    </xdr:pic>
    <xdr:clientData/>
  </xdr:twoCellAnchor>
  <xdr:twoCellAnchor editAs="oneCell">
    <xdr:from>
      <xdr:col>41</xdr:col>
      <xdr:colOff>300568</xdr:colOff>
      <xdr:row>30</xdr:row>
      <xdr:rowOff>73026</xdr:rowOff>
    </xdr:from>
    <xdr:to>
      <xdr:col>43</xdr:col>
      <xdr:colOff>445560</xdr:colOff>
      <xdr:row>34</xdr:row>
      <xdr:rowOff>120748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171401" y="5470526"/>
          <a:ext cx="1369483" cy="764214"/>
        </a:xfrm>
        <a:prstGeom prst="rect">
          <a:avLst/>
        </a:prstGeom>
      </xdr:spPr>
    </xdr:pic>
    <xdr:clientData/>
  </xdr:twoCellAnchor>
  <xdr:twoCellAnchor editAs="oneCell">
    <xdr:from>
      <xdr:col>41</xdr:col>
      <xdr:colOff>254001</xdr:colOff>
      <xdr:row>25</xdr:row>
      <xdr:rowOff>17993</xdr:rowOff>
    </xdr:from>
    <xdr:to>
      <xdr:col>46</xdr:col>
      <xdr:colOff>246594</xdr:colOff>
      <xdr:row>29</xdr:row>
      <xdr:rowOff>37739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124834" y="4515910"/>
          <a:ext cx="3061759" cy="739413"/>
        </a:xfrm>
        <a:prstGeom prst="rect">
          <a:avLst/>
        </a:prstGeom>
      </xdr:spPr>
    </xdr:pic>
    <xdr:clientData/>
  </xdr:twoCellAnchor>
  <xdr:twoCellAnchor editAs="oneCell">
    <xdr:from>
      <xdr:col>48</xdr:col>
      <xdr:colOff>147108</xdr:colOff>
      <xdr:row>40</xdr:row>
      <xdr:rowOff>10583</xdr:rowOff>
    </xdr:from>
    <xdr:to>
      <xdr:col>51</xdr:col>
      <xdr:colOff>371475</xdr:colOff>
      <xdr:row>44</xdr:row>
      <xdr:rowOff>26999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314775" y="7207250"/>
          <a:ext cx="2069042" cy="739258"/>
        </a:xfrm>
        <a:prstGeom prst="rect">
          <a:avLst/>
        </a:prstGeom>
      </xdr:spPr>
    </xdr:pic>
    <xdr:clientData/>
  </xdr:twoCellAnchor>
  <xdr:twoCellAnchor editAs="oneCell">
    <xdr:from>
      <xdr:col>48</xdr:col>
      <xdr:colOff>161924</xdr:colOff>
      <xdr:row>35</xdr:row>
      <xdr:rowOff>95251</xdr:rowOff>
    </xdr:from>
    <xdr:to>
      <xdr:col>52</xdr:col>
      <xdr:colOff>488948</xdr:colOff>
      <xdr:row>39</xdr:row>
      <xdr:rowOff>44921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329591" y="6392334"/>
          <a:ext cx="2779182" cy="672511"/>
        </a:xfrm>
        <a:prstGeom prst="rect">
          <a:avLst/>
        </a:prstGeom>
      </xdr:spPr>
    </xdr:pic>
    <xdr:clientData/>
  </xdr:twoCellAnchor>
  <xdr:twoCellAnchor editAs="oneCell">
    <xdr:from>
      <xdr:col>48</xdr:col>
      <xdr:colOff>134409</xdr:colOff>
      <xdr:row>30</xdr:row>
      <xdr:rowOff>83609</xdr:rowOff>
    </xdr:from>
    <xdr:to>
      <xdr:col>50</xdr:col>
      <xdr:colOff>276225</xdr:colOff>
      <xdr:row>34</xdr:row>
      <xdr:rowOff>131331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02076" y="5481109"/>
          <a:ext cx="1372658" cy="767389"/>
        </a:xfrm>
        <a:prstGeom prst="rect">
          <a:avLst/>
        </a:prstGeom>
      </xdr:spPr>
    </xdr:pic>
    <xdr:clientData/>
  </xdr:twoCellAnchor>
  <xdr:twoCellAnchor editAs="oneCell">
    <xdr:from>
      <xdr:col>48</xdr:col>
      <xdr:colOff>87842</xdr:colOff>
      <xdr:row>25</xdr:row>
      <xdr:rowOff>28576</xdr:rowOff>
    </xdr:from>
    <xdr:to>
      <xdr:col>53</xdr:col>
      <xdr:colOff>77259</xdr:colOff>
      <xdr:row>29</xdr:row>
      <xdr:rowOff>45147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255509" y="4526493"/>
          <a:ext cx="3058584" cy="733063"/>
        </a:xfrm>
        <a:prstGeom prst="rect">
          <a:avLst/>
        </a:prstGeom>
      </xdr:spPr>
    </xdr:pic>
    <xdr:clientData/>
  </xdr:twoCellAnchor>
  <xdr:twoCellAnchor editAs="oneCell">
    <xdr:from>
      <xdr:col>55</xdr:col>
      <xdr:colOff>164042</xdr:colOff>
      <xdr:row>40</xdr:row>
      <xdr:rowOff>10583</xdr:rowOff>
    </xdr:from>
    <xdr:to>
      <xdr:col>58</xdr:col>
      <xdr:colOff>397934</xdr:colOff>
      <xdr:row>44</xdr:row>
      <xdr:rowOff>30174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628542" y="7207250"/>
          <a:ext cx="2075392" cy="736083"/>
        </a:xfrm>
        <a:prstGeom prst="rect">
          <a:avLst/>
        </a:prstGeom>
      </xdr:spPr>
    </xdr:pic>
    <xdr:clientData/>
  </xdr:twoCellAnchor>
  <xdr:twoCellAnchor editAs="oneCell">
    <xdr:from>
      <xdr:col>55</xdr:col>
      <xdr:colOff>175683</xdr:colOff>
      <xdr:row>35</xdr:row>
      <xdr:rowOff>92076</xdr:rowOff>
    </xdr:from>
    <xdr:to>
      <xdr:col>59</xdr:col>
      <xdr:colOff>496356</xdr:colOff>
      <xdr:row>39</xdr:row>
      <xdr:rowOff>44921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640183" y="6389159"/>
          <a:ext cx="2776007" cy="675686"/>
        </a:xfrm>
        <a:prstGeom prst="rect">
          <a:avLst/>
        </a:prstGeom>
      </xdr:spPr>
    </xdr:pic>
    <xdr:clientData/>
  </xdr:twoCellAnchor>
  <xdr:twoCellAnchor editAs="oneCell">
    <xdr:from>
      <xdr:col>55</xdr:col>
      <xdr:colOff>151343</xdr:colOff>
      <xdr:row>30</xdr:row>
      <xdr:rowOff>86784</xdr:rowOff>
    </xdr:from>
    <xdr:to>
      <xdr:col>57</xdr:col>
      <xdr:colOff>296334</xdr:colOff>
      <xdr:row>34</xdr:row>
      <xdr:rowOff>131331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3615843" y="5484284"/>
          <a:ext cx="1369483" cy="764214"/>
        </a:xfrm>
        <a:prstGeom prst="rect">
          <a:avLst/>
        </a:prstGeom>
      </xdr:spPr>
    </xdr:pic>
    <xdr:clientData/>
  </xdr:twoCellAnchor>
  <xdr:twoCellAnchor editAs="oneCell">
    <xdr:from>
      <xdr:col>55</xdr:col>
      <xdr:colOff>95251</xdr:colOff>
      <xdr:row>25</xdr:row>
      <xdr:rowOff>25401</xdr:rowOff>
    </xdr:from>
    <xdr:to>
      <xdr:col>60</xdr:col>
      <xdr:colOff>87843</xdr:colOff>
      <xdr:row>29</xdr:row>
      <xdr:rowOff>48322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3559751" y="4523318"/>
          <a:ext cx="3058584" cy="739413"/>
        </a:xfrm>
        <a:prstGeom prst="rect">
          <a:avLst/>
        </a:prstGeom>
      </xdr:spPr>
    </xdr:pic>
    <xdr:clientData/>
  </xdr:twoCellAnchor>
  <xdr:twoCellAnchor editAs="oneCell">
    <xdr:from>
      <xdr:col>34</xdr:col>
      <xdr:colOff>338668</xdr:colOff>
      <xdr:row>20</xdr:row>
      <xdr:rowOff>148168</xdr:rowOff>
    </xdr:from>
    <xdr:to>
      <xdr:col>36</xdr:col>
      <xdr:colOff>419984</xdr:colOff>
      <xdr:row>24</xdr:row>
      <xdr:rowOff>102660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0912668" y="3746501"/>
          <a:ext cx="1308983" cy="674158"/>
        </a:xfrm>
        <a:prstGeom prst="rect">
          <a:avLst/>
        </a:prstGeom>
      </xdr:spPr>
    </xdr:pic>
    <xdr:clientData/>
  </xdr:twoCellAnchor>
  <xdr:twoCellAnchor editAs="oneCell">
    <xdr:from>
      <xdr:col>41</xdr:col>
      <xdr:colOff>258234</xdr:colOff>
      <xdr:row>20</xdr:row>
      <xdr:rowOff>60326</xdr:rowOff>
    </xdr:from>
    <xdr:to>
      <xdr:col>43</xdr:col>
      <xdr:colOff>201085</xdr:colOff>
      <xdr:row>24</xdr:row>
      <xdr:rowOff>104303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129067" y="3658659"/>
          <a:ext cx="1173692" cy="760468"/>
        </a:xfrm>
        <a:prstGeom prst="rect">
          <a:avLst/>
        </a:prstGeom>
      </xdr:spPr>
    </xdr:pic>
    <xdr:clientData/>
  </xdr:twoCellAnchor>
  <xdr:twoCellAnchor editAs="oneCell">
    <xdr:from>
      <xdr:col>55</xdr:col>
      <xdr:colOff>296334</xdr:colOff>
      <xdr:row>20</xdr:row>
      <xdr:rowOff>137585</xdr:rowOff>
    </xdr:from>
    <xdr:to>
      <xdr:col>57</xdr:col>
      <xdr:colOff>34926</xdr:colOff>
      <xdr:row>24</xdr:row>
      <xdr:rowOff>7634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3760834" y="3735918"/>
          <a:ext cx="966259" cy="589715"/>
        </a:xfrm>
        <a:prstGeom prst="rect">
          <a:avLst/>
        </a:prstGeom>
      </xdr:spPr>
    </xdr:pic>
    <xdr:clientData/>
  </xdr:twoCellAnchor>
  <xdr:twoCellAnchor editAs="oneCell">
    <xdr:from>
      <xdr:col>48</xdr:col>
      <xdr:colOff>127000</xdr:colOff>
      <xdr:row>20</xdr:row>
      <xdr:rowOff>63501</xdr:rowOff>
    </xdr:from>
    <xdr:to>
      <xdr:col>50</xdr:col>
      <xdr:colOff>353483</xdr:colOff>
      <xdr:row>24</xdr:row>
      <xdr:rowOff>97444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294667" y="3661834"/>
          <a:ext cx="1457325" cy="753609"/>
        </a:xfrm>
        <a:prstGeom prst="rect">
          <a:avLst/>
        </a:prstGeom>
      </xdr:spPr>
    </xdr:pic>
    <xdr:clientData/>
  </xdr:twoCellAnchor>
  <xdr:twoCellAnchor>
    <xdr:from>
      <xdr:col>22</xdr:col>
      <xdr:colOff>600075</xdr:colOff>
      <xdr:row>25</xdr:row>
      <xdr:rowOff>28575</xdr:rowOff>
    </xdr:from>
    <xdr:to>
      <xdr:col>32</xdr:col>
      <xdr:colOff>539750</xdr:colOff>
      <xdr:row>34</xdr:row>
      <xdr:rowOff>74083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14305492" y="4526492"/>
          <a:ext cx="6194425" cy="1664758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246590</xdr:colOff>
      <xdr:row>1</xdr:row>
      <xdr:rowOff>169333</xdr:rowOff>
    </xdr:from>
    <xdr:to>
      <xdr:col>33</xdr:col>
      <xdr:colOff>257173</xdr:colOff>
      <xdr:row>46</xdr:row>
      <xdr:rowOff>28575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CxnSpPr/>
      </xdr:nvCxnSpPr>
      <xdr:spPr>
        <a:xfrm>
          <a:off x="20820590" y="349250"/>
          <a:ext cx="10583" cy="7955492"/>
        </a:xfrm>
        <a:prstGeom prst="line">
          <a:avLst/>
        </a:prstGeom>
        <a:ln w="15875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42334</xdr:colOff>
      <xdr:row>25</xdr:row>
      <xdr:rowOff>21166</xdr:rowOff>
    </xdr:from>
    <xdr:to>
      <xdr:col>61</xdr:col>
      <xdr:colOff>21167</xdr:colOff>
      <xdr:row>45</xdr:row>
      <xdr:rowOff>74083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1230167" y="4519083"/>
          <a:ext cx="16552333" cy="365125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396094</xdr:colOff>
      <xdr:row>65</xdr:row>
      <xdr:rowOff>131354</xdr:rowOff>
    </xdr:from>
    <xdr:to>
      <xdr:col>10</xdr:col>
      <xdr:colOff>658528</xdr:colOff>
      <xdr:row>92</xdr:row>
      <xdr:rowOff>58123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336550</xdr:colOff>
          <xdr:row>27</xdr:row>
          <xdr:rowOff>76200</xdr:rowOff>
        </xdr:from>
        <xdr:to>
          <xdr:col>9</xdr:col>
          <xdr:colOff>133350</xdr:colOff>
          <xdr:row>29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 Single Iteration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336550</xdr:colOff>
          <xdr:row>30</xdr:row>
          <xdr:rowOff>19050</xdr:rowOff>
        </xdr:from>
        <xdr:to>
          <xdr:col>9</xdr:col>
          <xdr:colOff>133350</xdr:colOff>
          <xdr:row>32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Iteration History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495208</xdr:colOff>
      <xdr:row>35</xdr:row>
      <xdr:rowOff>174201</xdr:rowOff>
    </xdr:from>
    <xdr:to>
      <xdr:col>27</xdr:col>
      <xdr:colOff>214527</xdr:colOff>
      <xdr:row>48</xdr:row>
      <xdr:rowOff>85811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27</xdr:col>
      <xdr:colOff>540607</xdr:colOff>
      <xdr:row>36</xdr:row>
      <xdr:rowOff>17163</xdr:rowOff>
    </xdr:from>
    <xdr:to>
      <xdr:col>32</xdr:col>
      <xdr:colOff>380062</xdr:colOff>
      <xdr:row>48</xdr:row>
      <xdr:rowOff>108976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34</xdr:col>
      <xdr:colOff>94392</xdr:colOff>
      <xdr:row>46</xdr:row>
      <xdr:rowOff>94391</xdr:rowOff>
    </xdr:from>
    <xdr:to>
      <xdr:col>38</xdr:col>
      <xdr:colOff>543103</xdr:colOff>
      <xdr:row>59</xdr:row>
      <xdr:rowOff>6001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41</xdr:col>
      <xdr:colOff>51487</xdr:colOff>
      <xdr:row>46</xdr:row>
      <xdr:rowOff>77229</xdr:rowOff>
    </xdr:from>
    <xdr:to>
      <xdr:col>45</xdr:col>
      <xdr:colOff>500198</xdr:colOff>
      <xdr:row>58</xdr:row>
      <xdr:rowOff>169042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47</xdr:col>
      <xdr:colOff>566351</xdr:colOff>
      <xdr:row>46</xdr:row>
      <xdr:rowOff>51486</xdr:rowOff>
    </xdr:from>
    <xdr:to>
      <xdr:col>52</xdr:col>
      <xdr:colOff>405805</xdr:colOff>
      <xdr:row>58</xdr:row>
      <xdr:rowOff>143299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55</xdr:col>
      <xdr:colOff>102972</xdr:colOff>
      <xdr:row>46</xdr:row>
      <xdr:rowOff>85810</xdr:rowOff>
    </xdr:from>
    <xdr:to>
      <xdr:col>59</xdr:col>
      <xdr:colOff>551683</xdr:colOff>
      <xdr:row>58</xdr:row>
      <xdr:rowOff>177623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32</xdr:row>
          <xdr:rowOff>158750</xdr:rowOff>
        </xdr:from>
        <xdr:to>
          <xdr:col>9</xdr:col>
          <xdr:colOff>6350</xdr:colOff>
          <xdr:row>35</xdr:row>
          <xdr:rowOff>146050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Instantiate Weights - Random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36</xdr:row>
          <xdr:rowOff>69850</xdr:rowOff>
        </xdr:from>
        <xdr:to>
          <xdr:col>9</xdr:col>
          <xdr:colOff>25400</xdr:colOff>
          <xdr:row>39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Instantiate Weights - Good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39</xdr:row>
          <xdr:rowOff>152400</xdr:rowOff>
        </xdr:from>
        <xdr:to>
          <xdr:col>9</xdr:col>
          <xdr:colOff>19050</xdr:colOff>
          <xdr:row>42</xdr:row>
          <xdr:rowOff>158750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Instantiate Weights - Bad 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22</xdr:row>
      <xdr:rowOff>110067</xdr:rowOff>
    </xdr:from>
    <xdr:to>
      <xdr:col>20</xdr:col>
      <xdr:colOff>295206</xdr:colOff>
      <xdr:row>53</xdr:row>
      <xdr:rowOff>43754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164043</xdr:colOff>
      <xdr:row>24</xdr:row>
      <xdr:rowOff>169333</xdr:rowOff>
    </xdr:from>
    <xdr:to>
      <xdr:col>19</xdr:col>
      <xdr:colOff>304800</xdr:colOff>
      <xdr:row>50</xdr:row>
      <xdr:rowOff>179917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13</xdr:col>
      <xdr:colOff>407389</xdr:colOff>
      <xdr:row>32</xdr:row>
      <xdr:rowOff>170754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269874</xdr:colOff>
      <xdr:row>0</xdr:row>
      <xdr:rowOff>82550</xdr:rowOff>
    </xdr:from>
    <xdr:to>
      <xdr:col>12</xdr:col>
      <xdr:colOff>304800</xdr:colOff>
      <xdr:row>33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</xdr:row>
      <xdr:rowOff>0</xdr:rowOff>
    </xdr:from>
    <xdr:to>
      <xdr:col>26</xdr:col>
      <xdr:colOff>407389</xdr:colOff>
      <xdr:row>34</xdr:row>
      <xdr:rowOff>170754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D379-7A15-4C38-8A8E-23B32B128455}">
  <sheetPr codeName="Sheet1"/>
  <dimension ref="B2:BI209"/>
  <sheetViews>
    <sheetView topLeftCell="A4" zoomScale="44" zoomScaleNormal="100" workbookViewId="0">
      <selection activeCell="T20" sqref="T20"/>
    </sheetView>
  </sheetViews>
  <sheetFormatPr defaultRowHeight="14.5" x14ac:dyDescent="0.35"/>
  <cols>
    <col min="11" max="11" width="10.54296875" customWidth="1"/>
    <col min="13" max="13" width="9.90625" customWidth="1"/>
    <col min="23" max="23" width="10.453125" customWidth="1"/>
  </cols>
  <sheetData>
    <row r="2" spans="3:61" ht="15" thickBot="1" x14ac:dyDescent="0.4"/>
    <row r="3" spans="3:61" x14ac:dyDescent="0.35">
      <c r="C3" s="67" t="s">
        <v>5</v>
      </c>
      <c r="D3" s="67"/>
      <c r="E3" s="67"/>
      <c r="G3" s="67" t="s">
        <v>7</v>
      </c>
      <c r="H3" s="67"/>
      <c r="I3" s="67"/>
      <c r="X3" s="62" t="s">
        <v>10</v>
      </c>
      <c r="Y3" s="63"/>
      <c r="Z3" s="63"/>
      <c r="AA3" s="64"/>
      <c r="AC3" s="62" t="s">
        <v>13</v>
      </c>
      <c r="AD3" s="63"/>
      <c r="AE3" s="63"/>
      <c r="AF3" s="64"/>
      <c r="AG3" s="4"/>
      <c r="AI3" s="62" t="s">
        <v>9</v>
      </c>
      <c r="AJ3" s="63"/>
      <c r="AK3" s="63"/>
      <c r="AL3" s="63"/>
      <c r="AM3" s="63"/>
      <c r="AN3" s="64"/>
      <c r="AP3" s="62" t="s">
        <v>12</v>
      </c>
      <c r="AQ3" s="63"/>
      <c r="AR3" s="63"/>
      <c r="AS3" s="63"/>
      <c r="AT3" s="63"/>
      <c r="AU3" s="64"/>
      <c r="AW3" s="62" t="s">
        <v>8</v>
      </c>
      <c r="AX3" s="65"/>
      <c r="AY3" s="65"/>
      <c r="AZ3" s="65"/>
      <c r="BA3" s="65"/>
      <c r="BB3" s="66"/>
      <c r="BD3" s="62" t="s">
        <v>11</v>
      </c>
      <c r="BE3" s="65"/>
      <c r="BF3" s="65"/>
      <c r="BG3" s="65"/>
      <c r="BH3" s="65"/>
      <c r="BI3" s="66"/>
    </row>
    <row r="4" spans="3:61" ht="15" thickBot="1" x14ac:dyDescent="0.4">
      <c r="C4" s="1" t="s">
        <v>3</v>
      </c>
      <c r="D4" s="1" t="s">
        <v>6</v>
      </c>
      <c r="E4" s="1" t="s">
        <v>4</v>
      </c>
      <c r="G4" s="1" t="s">
        <v>3</v>
      </c>
      <c r="H4" s="1" t="s">
        <v>6</v>
      </c>
      <c r="I4" s="1" t="s">
        <v>4</v>
      </c>
      <c r="K4" s="2" t="s">
        <v>18</v>
      </c>
      <c r="M4" s="4" t="s">
        <v>21</v>
      </c>
      <c r="R4" t="s">
        <v>15</v>
      </c>
      <c r="S4" t="s">
        <v>16</v>
      </c>
      <c r="T4" t="s">
        <v>14</v>
      </c>
      <c r="U4" t="s">
        <v>17</v>
      </c>
      <c r="X4" s="8" t="s">
        <v>19</v>
      </c>
      <c r="Y4" s="9" t="s">
        <v>31</v>
      </c>
      <c r="Z4" s="9" t="s">
        <v>20</v>
      </c>
      <c r="AA4" s="10" t="s">
        <v>53</v>
      </c>
      <c r="AC4" s="8" t="s">
        <v>22</v>
      </c>
      <c r="AD4" s="9" t="s">
        <v>23</v>
      </c>
      <c r="AE4" s="9" t="s">
        <v>20</v>
      </c>
      <c r="AF4" s="10" t="s">
        <v>53</v>
      </c>
      <c r="AI4" s="8" t="s">
        <v>52</v>
      </c>
      <c r="AJ4" s="9" t="s">
        <v>51</v>
      </c>
      <c r="AK4" s="9" t="s">
        <v>50</v>
      </c>
      <c r="AL4" s="9" t="s">
        <v>49</v>
      </c>
      <c r="AM4" s="9" t="s">
        <v>20</v>
      </c>
      <c r="AN4" s="10" t="s">
        <v>53</v>
      </c>
      <c r="AP4" s="8" t="s">
        <v>55</v>
      </c>
      <c r="AQ4" s="9" t="s">
        <v>54</v>
      </c>
      <c r="AR4" s="9" t="s">
        <v>50</v>
      </c>
      <c r="AS4" s="9" t="s">
        <v>49</v>
      </c>
      <c r="AT4" s="9" t="s">
        <v>20</v>
      </c>
      <c r="AU4" s="10" t="s">
        <v>53</v>
      </c>
      <c r="AW4" s="8" t="s">
        <v>57</v>
      </c>
      <c r="AX4" s="9" t="s">
        <v>56</v>
      </c>
      <c r="AY4" s="9" t="s">
        <v>50</v>
      </c>
      <c r="AZ4" s="9" t="s">
        <v>49</v>
      </c>
      <c r="BA4" s="9" t="s">
        <v>20</v>
      </c>
      <c r="BB4" s="10" t="s">
        <v>53</v>
      </c>
      <c r="BD4" s="8" t="s">
        <v>59</v>
      </c>
      <c r="BE4" s="9" t="s">
        <v>58</v>
      </c>
      <c r="BF4" s="9" t="s">
        <v>50</v>
      </c>
      <c r="BG4" s="9" t="s">
        <v>49</v>
      </c>
      <c r="BH4" s="9" t="s">
        <v>20</v>
      </c>
      <c r="BI4" s="10" t="s">
        <v>53</v>
      </c>
    </row>
    <row r="5" spans="3:61" x14ac:dyDescent="0.35">
      <c r="C5" s="1">
        <v>22</v>
      </c>
      <c r="D5" s="1">
        <v>55</v>
      </c>
      <c r="E5" s="1">
        <v>0</v>
      </c>
      <c r="G5" s="3">
        <f>C5/MAX($C$5:$C$12)</f>
        <v>0.33333333333333331</v>
      </c>
      <c r="H5" s="3">
        <f>D5/MAX($D$5:$D$12)</f>
        <v>1</v>
      </c>
      <c r="I5">
        <f>E5</f>
        <v>0</v>
      </c>
      <c r="K5" s="6">
        <f>T5</f>
        <v>0.11440965953089975</v>
      </c>
      <c r="M5" s="6">
        <f>(K5-I5)^2</f>
        <v>1.3089570193976401E-2</v>
      </c>
      <c r="O5" s="19" t="s">
        <v>8</v>
      </c>
      <c r="P5" s="47">
        <v>3.8897193411131679</v>
      </c>
      <c r="R5" s="6">
        <f>(U5*$P$7) + $P$10</f>
        <v>-2.0464689621655063</v>
      </c>
      <c r="S5" s="6">
        <f>(G5 * $P$5) + $P$8 + (H5 * $P$6) + $P$9</f>
        <v>-3.3832049699818083</v>
      </c>
      <c r="T5" s="6">
        <f>1/(1+ EXP(-R5))</f>
        <v>0.11440965953089975</v>
      </c>
      <c r="U5" s="6">
        <f>1/(1+ EXP(-S5))</f>
        <v>3.2824493979667718E-2</v>
      </c>
      <c r="W5" s="6"/>
      <c r="X5" s="11">
        <f>Y5*Z5*AA5</f>
        <v>7.6100286653282281E-4</v>
      </c>
      <c r="Y5" s="12">
        <f>U5</f>
        <v>3.2824493979667718E-2</v>
      </c>
      <c r="Z5" s="12">
        <f>$T5 * (1 - $T5)</f>
        <v>0.10132008933692335</v>
      </c>
      <c r="AA5" s="13">
        <f>2 * ($T5 - $I5)</f>
        <v>0.2288193190617995</v>
      </c>
      <c r="AC5" s="11">
        <f>AD5*AE5*AF5</f>
        <v>2.3183993849355496E-2</v>
      </c>
      <c r="AD5" s="12">
        <v>1</v>
      </c>
      <c r="AE5" s="12">
        <f>$T5 * (1 - $T5)</f>
        <v>0.10132008933692335</v>
      </c>
      <c r="AF5" s="13">
        <f>2 * ($T5 - $I5)</f>
        <v>0.2288193190617995</v>
      </c>
      <c r="AG5" s="6"/>
      <c r="AI5" s="11">
        <f>AJ5*AK5*AL5*AM5*AN5</f>
        <v>3.9494020376507188E-3</v>
      </c>
      <c r="AJ5" s="12">
        <f>H5</f>
        <v>1</v>
      </c>
      <c r="AK5" s="12">
        <f>$U5 * (1 - $U5)</f>
        <v>3.1747046574646477E-2</v>
      </c>
      <c r="AL5" s="12">
        <f>$P$7</f>
        <v>5.3658652696770437</v>
      </c>
      <c r="AM5" s="12">
        <f>$T5 * (1 - $T5)</f>
        <v>0.10132008933692335</v>
      </c>
      <c r="AN5" s="13">
        <f>2 * ($T5 - $I5)</f>
        <v>0.2288193190617995</v>
      </c>
      <c r="AP5" s="11">
        <f>AQ5*AR5*AS5*AT5*AU5</f>
        <v>3.9494020376507188E-3</v>
      </c>
      <c r="AQ5" s="12">
        <v>1</v>
      </c>
      <c r="AR5" s="12">
        <f>$U5 * (1 - $U5)</f>
        <v>3.1747046574646477E-2</v>
      </c>
      <c r="AS5" s="12">
        <f>$P$7</f>
        <v>5.3658652696770437</v>
      </c>
      <c r="AT5" s="12">
        <f>$T5 * (1 - $T5)</f>
        <v>0.10132008933692335</v>
      </c>
      <c r="AU5" s="13">
        <f>2 * ($T5 - $I5)</f>
        <v>0.2288193190617995</v>
      </c>
      <c r="AW5" s="11">
        <f>AX5*AY5*AZ5*BA5*BB5</f>
        <v>1.3164673458835729E-3</v>
      </c>
      <c r="AX5" s="12">
        <f>G5</f>
        <v>0.33333333333333331</v>
      </c>
      <c r="AY5" s="12">
        <f>$U5 * (1 - $U5)</f>
        <v>3.1747046574646477E-2</v>
      </c>
      <c r="AZ5" s="12">
        <f>$P$7</f>
        <v>5.3658652696770437</v>
      </c>
      <c r="BA5" s="12">
        <f>$T5 * (1 - $T5)</f>
        <v>0.10132008933692335</v>
      </c>
      <c r="BB5" s="13">
        <f>2 * ($T5 - $I5)</f>
        <v>0.2288193190617995</v>
      </c>
      <c r="BD5" s="11">
        <f>BE5*BF5*BG5*BH5*BI5</f>
        <v>3.9494020376507188E-3</v>
      </c>
      <c r="BE5" s="12">
        <f>1</f>
        <v>1</v>
      </c>
      <c r="BF5" s="12">
        <f>$U5 * (1 - $U5)</f>
        <v>3.1747046574646477E-2</v>
      </c>
      <c r="BG5" s="12">
        <f>$P$7</f>
        <v>5.3658652696770437</v>
      </c>
      <c r="BH5" s="12">
        <f>$T5 * (1 - $T5)</f>
        <v>0.10132008933692335</v>
      </c>
      <c r="BI5" s="13">
        <f>2 * ($T5 - $I5)</f>
        <v>0.2288193190617995</v>
      </c>
    </row>
    <row r="6" spans="3:61" x14ac:dyDescent="0.35">
      <c r="C6" s="1">
        <v>34</v>
      </c>
      <c r="D6" s="1">
        <v>34</v>
      </c>
      <c r="E6" s="1">
        <v>0</v>
      </c>
      <c r="G6" s="3">
        <f t="shared" ref="G6:G12" si="0">C6/MAX($C$5:$C$12)</f>
        <v>0.51515151515151514</v>
      </c>
      <c r="H6" s="3">
        <f t="shared" ref="H6:H12" si="1">D6/MAX($D$5:$D$12)</f>
        <v>0.61818181818181817</v>
      </c>
      <c r="I6">
        <f t="shared" ref="I6:I12" si="2">E6</f>
        <v>0</v>
      </c>
      <c r="K6" s="6">
        <f>T6</f>
        <v>0.27705005771581243</v>
      </c>
      <c r="M6" s="6">
        <f t="shared" ref="M6:M12" si="3">(K6-I6)^2</f>
        <v>7.6756734480335001E-2</v>
      </c>
      <c r="O6" s="20" t="s">
        <v>9</v>
      </c>
      <c r="P6" s="49">
        <v>-3.924021532562818</v>
      </c>
      <c r="R6" s="6">
        <f>(U6*$P$7) + $P$10</f>
        <v>-0.95914178000431094</v>
      </c>
      <c r="S6" s="6">
        <f t="shared" ref="S6:S12" si="4">(G6 * $P$5) + $P$8 + (H6 * $P$6) + $P$9</f>
        <v>-1.1777205046190651</v>
      </c>
      <c r="T6" s="6">
        <f>1/(1+ EXP(-R6))</f>
        <v>0.27705005771581243</v>
      </c>
      <c r="U6" s="6">
        <f>1/(1+ EXP(-S6))</f>
        <v>0.23546230307744231</v>
      </c>
      <c r="W6" s="6"/>
      <c r="X6" s="11">
        <f t="shared" ref="X6:X12" si="5">Y6*Z6*AA6</f>
        <v>2.6132207654403019E-2</v>
      </c>
      <c r="Y6" s="12">
        <f t="shared" ref="Y6:Y12" si="6">U6</f>
        <v>0.23546230307744231</v>
      </c>
      <c r="Z6" s="12">
        <f t="shared" ref="Z6:Z12" si="7">$T6 * (1 - $T6)</f>
        <v>0.20029332323547744</v>
      </c>
      <c r="AA6" s="13">
        <f t="shared" ref="AA6:AA12" si="8">2 * ($T6 - $I6)</f>
        <v>0.55410011543162485</v>
      </c>
      <c r="AC6" s="11">
        <f t="shared" ref="AC6:AC12" si="9">AD6*AE6*AF6</f>
        <v>0.11098255352496179</v>
      </c>
      <c r="AD6" s="12">
        <v>1</v>
      </c>
      <c r="AE6" s="12">
        <f t="shared" ref="AE6:AE12" si="10">$T6 * (1 - $T6)</f>
        <v>0.20029332323547744</v>
      </c>
      <c r="AF6" s="13">
        <f t="shared" ref="AF6:AF12" si="11">2 * ($T6 - $I6)</f>
        <v>0.55410011543162485</v>
      </c>
      <c r="AG6" s="6"/>
      <c r="AI6" s="11">
        <f t="shared" ref="AI6:AI12" si="12">AJ6*AK6*AL6*AM6*AN6</f>
        <v>6.6272140194905002E-2</v>
      </c>
      <c r="AJ6" s="12">
        <f t="shared" ref="AJ6:AJ12" si="13">H6</f>
        <v>0.61818181818181817</v>
      </c>
      <c r="AK6" s="12">
        <f>$U6 * (1 - $U6)</f>
        <v>0.18001980690690902</v>
      </c>
      <c r="AL6" s="12">
        <f t="shared" ref="AL6:AL12" si="14">$P$7</f>
        <v>5.3658652696770437</v>
      </c>
      <c r="AM6" s="12">
        <f t="shared" ref="AM6:AM12" si="15">$T6 * (1 - $T6)</f>
        <v>0.20029332323547744</v>
      </c>
      <c r="AN6" s="13">
        <f t="shared" ref="AN6:AN12" si="16">2 * ($T6 - $I6)</f>
        <v>0.55410011543162485</v>
      </c>
      <c r="AP6" s="11">
        <f t="shared" ref="AP6:AP12" si="17">AQ6*AR6*AS6*AT6*AU6</f>
        <v>0.1072049326682287</v>
      </c>
      <c r="AQ6" s="12">
        <v>1</v>
      </c>
      <c r="AR6" s="12">
        <f>$U6 * (1 - $U6)</f>
        <v>0.18001980690690902</v>
      </c>
      <c r="AS6" s="12">
        <f t="shared" ref="AS6:AS12" si="18">$P$7</f>
        <v>5.3658652696770437</v>
      </c>
      <c r="AT6" s="12">
        <f t="shared" ref="AT6:AT12" si="19">$T6 * (1 - $T6)</f>
        <v>0.20029332323547744</v>
      </c>
      <c r="AU6" s="13">
        <f t="shared" ref="AU6:AU12" si="20">2 * ($T6 - $I6)</f>
        <v>0.55410011543162485</v>
      </c>
      <c r="AW6" s="11">
        <f t="shared" ref="AW6:AW12" si="21">AX6*AY6*AZ6*BA6*BB6</f>
        <v>5.5226783495754175E-2</v>
      </c>
      <c r="AX6" s="12">
        <f t="shared" ref="AX6:AX12" si="22">G6</f>
        <v>0.51515151515151514</v>
      </c>
      <c r="AY6" s="12">
        <f>$U6 * (1 - $U6)</f>
        <v>0.18001980690690902</v>
      </c>
      <c r="AZ6" s="12">
        <f t="shared" ref="AZ6:AZ12" si="23">$P$7</f>
        <v>5.3658652696770437</v>
      </c>
      <c r="BA6" s="12">
        <f t="shared" ref="BA6:BA12" si="24">$T6 * (1 - $T6)</f>
        <v>0.20029332323547744</v>
      </c>
      <c r="BB6" s="13">
        <f t="shared" ref="BB6:BB12" si="25">2 * ($T6 - $I6)</f>
        <v>0.55410011543162485</v>
      </c>
      <c r="BD6" s="11">
        <f t="shared" ref="BD6:BD12" si="26">BE6*BF6*BG6*BH6*BI6</f>
        <v>0.1072049326682287</v>
      </c>
      <c r="BE6" s="12">
        <f>1</f>
        <v>1</v>
      </c>
      <c r="BF6" s="12">
        <f>$U6 * (1 - $U6)</f>
        <v>0.18001980690690902</v>
      </c>
      <c r="BG6" s="12">
        <f t="shared" ref="BG6:BG12" si="27">$P$7</f>
        <v>5.3658652696770437</v>
      </c>
      <c r="BH6" s="12">
        <f t="shared" ref="BH6:BH12" si="28">$T6 * (1 - $T6)</f>
        <v>0.20029332323547744</v>
      </c>
      <c r="BI6" s="13">
        <f t="shared" ref="BI6:BI12" si="29">2 * ($T6 - $I6)</f>
        <v>0.55410011543162485</v>
      </c>
    </row>
    <row r="7" spans="3:61" x14ac:dyDescent="0.35">
      <c r="C7" s="1">
        <v>21</v>
      </c>
      <c r="D7" s="1">
        <v>24</v>
      </c>
      <c r="E7" s="1">
        <v>0</v>
      </c>
      <c r="G7" s="3">
        <f t="shared" si="0"/>
        <v>0.31818181818181818</v>
      </c>
      <c r="H7" s="3">
        <f t="shared" si="1"/>
        <v>0.43636363636363634</v>
      </c>
      <c r="I7">
        <f t="shared" si="2"/>
        <v>0</v>
      </c>
      <c r="K7" s="6">
        <f>T7</f>
        <v>0.26710999916758116</v>
      </c>
      <c r="M7" s="6">
        <f t="shared" si="3"/>
        <v>7.1347751655305214E-2</v>
      </c>
      <c r="O7" s="20" t="s">
        <v>10</v>
      </c>
      <c r="P7" s="49">
        <v>5.3658652696770437</v>
      </c>
      <c r="R7" s="6">
        <f t="shared" ref="R7:R12" si="30">(U7*$P$7) + $P$10</f>
        <v>-1.0093350680882094</v>
      </c>
      <c r="S7" s="6">
        <f t="shared" si="4"/>
        <v>-1.2304188840693284</v>
      </c>
      <c r="T7" s="6">
        <f t="shared" ref="T7:T11" si="31">1/(1+ EXP(-R7))</f>
        <v>0.26710999916758116</v>
      </c>
      <c r="U7" s="6">
        <f t="shared" ref="U7:U11" si="32">1/(1+ EXP(-S7))</f>
        <v>0.22610811963054422</v>
      </c>
      <c r="W7" s="6"/>
      <c r="X7" s="11">
        <f>Y7*Z7*AA7</f>
        <v>2.3646411466651137E-2</v>
      </c>
      <c r="Y7" s="12">
        <f t="shared" si="6"/>
        <v>0.22610811963054422</v>
      </c>
      <c r="Z7" s="12">
        <f t="shared" si="7"/>
        <v>0.19576224751227594</v>
      </c>
      <c r="AA7" s="13">
        <f t="shared" si="8"/>
        <v>0.53421999833516232</v>
      </c>
      <c r="AC7" s="11">
        <f t="shared" si="9"/>
        <v>0.10458010754009568</v>
      </c>
      <c r="AD7" s="12">
        <v>1</v>
      </c>
      <c r="AE7" s="12">
        <f t="shared" si="10"/>
        <v>0.19576224751227594</v>
      </c>
      <c r="AF7" s="13">
        <f t="shared" si="11"/>
        <v>0.53421999833516232</v>
      </c>
      <c r="AG7" s="6"/>
      <c r="AI7" s="11">
        <f t="shared" si="12"/>
        <v>4.2848324915535328E-2</v>
      </c>
      <c r="AJ7" s="12">
        <f t="shared" si="13"/>
        <v>0.43636363636363634</v>
      </c>
      <c r="AK7" s="12">
        <f t="shared" ref="AK7:AK12" si="33">$U7 * (1 - $U7)</f>
        <v>0.17498323786768372</v>
      </c>
      <c r="AL7" s="12">
        <f t="shared" si="14"/>
        <v>5.3658652696770437</v>
      </c>
      <c r="AM7" s="12">
        <f t="shared" si="15"/>
        <v>0.19576224751227594</v>
      </c>
      <c r="AN7" s="13">
        <f t="shared" si="16"/>
        <v>0.53421999833516232</v>
      </c>
      <c r="AP7" s="11">
        <f t="shared" si="17"/>
        <v>9.8194077931435156E-2</v>
      </c>
      <c r="AQ7" s="12">
        <v>1</v>
      </c>
      <c r="AR7" s="12">
        <f t="shared" ref="AR7:AR12" si="34">$U7 * (1 - $U7)</f>
        <v>0.17498323786768372</v>
      </c>
      <c r="AS7" s="12">
        <f t="shared" si="18"/>
        <v>5.3658652696770437</v>
      </c>
      <c r="AT7" s="12">
        <f t="shared" si="19"/>
        <v>0.19576224751227594</v>
      </c>
      <c r="AU7" s="13">
        <f t="shared" si="20"/>
        <v>0.53421999833516232</v>
      </c>
      <c r="AW7" s="11">
        <f t="shared" si="21"/>
        <v>3.1243570250911182E-2</v>
      </c>
      <c r="AX7" s="12">
        <f t="shared" si="22"/>
        <v>0.31818181818181818</v>
      </c>
      <c r="AY7" s="12">
        <f t="shared" ref="AY7:AY12" si="35">$U7 * (1 - $U7)</f>
        <v>0.17498323786768372</v>
      </c>
      <c r="AZ7" s="12">
        <f t="shared" si="23"/>
        <v>5.3658652696770437</v>
      </c>
      <c r="BA7" s="12">
        <f t="shared" si="24"/>
        <v>0.19576224751227594</v>
      </c>
      <c r="BB7" s="13">
        <f t="shared" si="25"/>
        <v>0.53421999833516232</v>
      </c>
      <c r="BD7" s="11">
        <f t="shared" si="26"/>
        <v>9.8194077931435156E-2</v>
      </c>
      <c r="BE7" s="12">
        <f>1</f>
        <v>1</v>
      </c>
      <c r="BF7" s="12">
        <f t="shared" ref="BF7:BF12" si="36">$U7 * (1 - $U7)</f>
        <v>0.17498323786768372</v>
      </c>
      <c r="BG7" s="12">
        <f t="shared" si="27"/>
        <v>5.3658652696770437</v>
      </c>
      <c r="BH7" s="12">
        <f t="shared" si="28"/>
        <v>0.19576224751227594</v>
      </c>
      <c r="BI7" s="13">
        <f t="shared" si="29"/>
        <v>0.53421999833516232</v>
      </c>
    </row>
    <row r="8" spans="3:61" x14ac:dyDescent="0.35">
      <c r="C8" s="1">
        <v>23</v>
      </c>
      <c r="D8" s="1">
        <v>45</v>
      </c>
      <c r="E8" s="1">
        <v>0</v>
      </c>
      <c r="G8" s="3">
        <f t="shared" si="0"/>
        <v>0.34848484848484851</v>
      </c>
      <c r="H8" s="3">
        <f t="shared" si="1"/>
        <v>0.81818181818181823</v>
      </c>
      <c r="I8">
        <f t="shared" si="2"/>
        <v>0</v>
      </c>
      <c r="K8" s="6">
        <f t="shared" ref="K8:K12" si="37">T8</f>
        <v>0.13524835974597427</v>
      </c>
      <c r="M8" s="6">
        <f t="shared" si="3"/>
        <v>1.8292118813976473E-2</v>
      </c>
      <c r="O8" s="20" t="s">
        <v>11</v>
      </c>
      <c r="P8" s="49">
        <v>1.6634330629395568</v>
      </c>
      <c r="R8" s="6">
        <f t="shared" si="30"/>
        <v>-1.8553295545294182</v>
      </c>
      <c r="S8" s="6">
        <f t="shared" si="4"/>
        <v>-2.6108113679838238</v>
      </c>
      <c r="T8" s="6">
        <f>1/(1+ EXP(-R8))</f>
        <v>0.13524835974597427</v>
      </c>
      <c r="U8" s="6">
        <f t="shared" si="32"/>
        <v>6.8445851958264983E-2</v>
      </c>
      <c r="W8" s="6"/>
      <c r="X8" s="11">
        <f t="shared" si="5"/>
        <v>2.1653721029082501E-3</v>
      </c>
      <c r="Y8" s="12">
        <f t="shared" si="6"/>
        <v>6.8445851958264983E-2</v>
      </c>
      <c r="Z8" s="12">
        <f t="shared" si="7"/>
        <v>0.1169562409319978</v>
      </c>
      <c r="AA8" s="13">
        <f t="shared" si="8"/>
        <v>0.27049671949194853</v>
      </c>
      <c r="AC8" s="11">
        <f t="shared" si="9"/>
        <v>3.1636279496215357E-2</v>
      </c>
      <c r="AD8" s="12">
        <v>1</v>
      </c>
      <c r="AE8" s="12">
        <f t="shared" si="10"/>
        <v>0.1169562409319978</v>
      </c>
      <c r="AF8" s="13">
        <f t="shared" si="11"/>
        <v>0.27049671949194853</v>
      </c>
      <c r="AG8" s="6"/>
      <c r="AI8" s="11">
        <f t="shared" si="12"/>
        <v>8.8558495438922843E-3</v>
      </c>
      <c r="AJ8" s="12">
        <f t="shared" si="13"/>
        <v>0.81818181818181823</v>
      </c>
      <c r="AK8" s="12">
        <f t="shared" si="33"/>
        <v>6.3761017307972248E-2</v>
      </c>
      <c r="AL8" s="12">
        <f t="shared" si="14"/>
        <v>5.3658652696770437</v>
      </c>
      <c r="AM8" s="12">
        <f t="shared" si="15"/>
        <v>0.1169562409319978</v>
      </c>
      <c r="AN8" s="13">
        <f t="shared" si="16"/>
        <v>0.27049671949194853</v>
      </c>
      <c r="AP8" s="11">
        <f t="shared" si="17"/>
        <v>1.0823816109201679E-2</v>
      </c>
      <c r="AQ8" s="12">
        <v>1</v>
      </c>
      <c r="AR8" s="12">
        <f t="shared" si="34"/>
        <v>6.3761017307972248E-2</v>
      </c>
      <c r="AS8" s="12">
        <f t="shared" si="18"/>
        <v>5.3658652696770437</v>
      </c>
      <c r="AT8" s="12">
        <f t="shared" si="19"/>
        <v>0.1169562409319978</v>
      </c>
      <c r="AU8" s="13">
        <f t="shared" si="20"/>
        <v>0.27049671949194853</v>
      </c>
      <c r="AW8" s="11">
        <f t="shared" si="21"/>
        <v>3.7719359168430101E-3</v>
      </c>
      <c r="AX8" s="12">
        <f t="shared" si="22"/>
        <v>0.34848484848484851</v>
      </c>
      <c r="AY8" s="12">
        <f t="shared" si="35"/>
        <v>6.3761017307972248E-2</v>
      </c>
      <c r="AZ8" s="12">
        <f t="shared" si="23"/>
        <v>5.3658652696770437</v>
      </c>
      <c r="BA8" s="12">
        <f t="shared" si="24"/>
        <v>0.1169562409319978</v>
      </c>
      <c r="BB8" s="13">
        <f t="shared" si="25"/>
        <v>0.27049671949194853</v>
      </c>
      <c r="BD8" s="11">
        <f t="shared" si="26"/>
        <v>1.0823816109201679E-2</v>
      </c>
      <c r="BE8" s="12">
        <f>1</f>
        <v>1</v>
      </c>
      <c r="BF8" s="12">
        <f t="shared" si="36"/>
        <v>6.3761017307972248E-2</v>
      </c>
      <c r="BG8" s="12">
        <f t="shared" si="27"/>
        <v>5.3658652696770437</v>
      </c>
      <c r="BH8" s="12">
        <f t="shared" si="28"/>
        <v>0.1169562409319978</v>
      </c>
      <c r="BI8" s="13">
        <f t="shared" si="29"/>
        <v>0.27049671949194853</v>
      </c>
    </row>
    <row r="9" spans="3:61" x14ac:dyDescent="0.35">
      <c r="C9" s="1">
        <v>44</v>
      </c>
      <c r="D9" s="1">
        <v>11</v>
      </c>
      <c r="E9" s="1">
        <v>1</v>
      </c>
      <c r="G9" s="3">
        <f t="shared" si="0"/>
        <v>0.66666666666666663</v>
      </c>
      <c r="H9" s="3">
        <f t="shared" si="1"/>
        <v>0.2</v>
      </c>
      <c r="I9">
        <f t="shared" si="2"/>
        <v>1</v>
      </c>
      <c r="K9" s="6">
        <f t="shared" si="37"/>
        <v>0.8525772886993962</v>
      </c>
      <c r="M9" s="6">
        <f t="shared" si="3"/>
        <v>2.1733455807221178E-2</v>
      </c>
      <c r="O9" s="20" t="s">
        <v>12</v>
      </c>
      <c r="P9" s="49">
        <v>-2.4191896140629363</v>
      </c>
      <c r="R9" s="6">
        <f t="shared" si="30"/>
        <v>1.7549598190129818</v>
      </c>
      <c r="S9" s="6">
        <f t="shared" si="4"/>
        <v>1.0525853697728351</v>
      </c>
      <c r="T9" s="6">
        <f t="shared" si="31"/>
        <v>0.8525772886993962</v>
      </c>
      <c r="U9" s="6">
        <f t="shared" si="32"/>
        <v>0.74127105201396692</v>
      </c>
      <c r="W9" s="6"/>
      <c r="X9" s="11">
        <f t="shared" si="5"/>
        <v>-2.7470691014340052E-2</v>
      </c>
      <c r="Y9" s="12">
        <f t="shared" si="6"/>
        <v>0.74127105201396692</v>
      </c>
      <c r="Z9" s="12">
        <f t="shared" si="7"/>
        <v>0.12568925549338264</v>
      </c>
      <c r="AA9" s="13">
        <f t="shared" si="8"/>
        <v>-0.29484542260120761</v>
      </c>
      <c r="AC9" s="11">
        <f t="shared" si="9"/>
        <v>-3.705890165237756E-2</v>
      </c>
      <c r="AD9" s="12">
        <v>1</v>
      </c>
      <c r="AE9" s="12">
        <f t="shared" si="10"/>
        <v>0.12568925549338264</v>
      </c>
      <c r="AF9" s="13">
        <f t="shared" si="11"/>
        <v>-0.29484542260120761</v>
      </c>
      <c r="AG9" s="6"/>
      <c r="AI9" s="11">
        <f t="shared" si="12"/>
        <v>-7.6275377590512136E-3</v>
      </c>
      <c r="AJ9" s="12">
        <f t="shared" si="13"/>
        <v>0.2</v>
      </c>
      <c r="AK9" s="12">
        <f t="shared" si="33"/>
        <v>0.19178827946007368</v>
      </c>
      <c r="AL9" s="12">
        <f t="shared" si="14"/>
        <v>5.3658652696770437</v>
      </c>
      <c r="AM9" s="12">
        <f t="shared" si="15"/>
        <v>0.12568925549338264</v>
      </c>
      <c r="AN9" s="13">
        <f t="shared" si="16"/>
        <v>-0.29484542260120761</v>
      </c>
      <c r="AP9" s="11">
        <f t="shared" si="17"/>
        <v>-3.8137688795256065E-2</v>
      </c>
      <c r="AQ9" s="12">
        <v>1</v>
      </c>
      <c r="AR9" s="12">
        <f t="shared" si="34"/>
        <v>0.19178827946007368</v>
      </c>
      <c r="AS9" s="12">
        <f t="shared" si="18"/>
        <v>5.3658652696770437</v>
      </c>
      <c r="AT9" s="12">
        <f t="shared" si="19"/>
        <v>0.12568925549338264</v>
      </c>
      <c r="AU9" s="13">
        <f t="shared" si="20"/>
        <v>-0.29484542260120761</v>
      </c>
      <c r="AW9" s="11">
        <f t="shared" si="21"/>
        <v>-2.5425125863504049E-2</v>
      </c>
      <c r="AX9" s="12">
        <f t="shared" si="22"/>
        <v>0.66666666666666663</v>
      </c>
      <c r="AY9" s="12">
        <f t="shared" si="35"/>
        <v>0.19178827946007368</v>
      </c>
      <c r="AZ9" s="12">
        <f t="shared" si="23"/>
        <v>5.3658652696770437</v>
      </c>
      <c r="BA9" s="12">
        <f t="shared" si="24"/>
        <v>0.12568925549338264</v>
      </c>
      <c r="BB9" s="13">
        <f t="shared" si="25"/>
        <v>-0.29484542260120761</v>
      </c>
      <c r="BD9" s="11">
        <f t="shared" si="26"/>
        <v>-3.8137688795256065E-2</v>
      </c>
      <c r="BE9" s="12">
        <f>1</f>
        <v>1</v>
      </c>
      <c r="BF9" s="12">
        <f t="shared" si="36"/>
        <v>0.19178827946007368</v>
      </c>
      <c r="BG9" s="12">
        <f t="shared" si="27"/>
        <v>5.3658652696770437</v>
      </c>
      <c r="BH9" s="12">
        <f t="shared" si="28"/>
        <v>0.12568925549338264</v>
      </c>
      <c r="BI9" s="13">
        <f t="shared" si="29"/>
        <v>-0.29484542260120761</v>
      </c>
    </row>
    <row r="10" spans="3:61" ht="15" thickBot="1" x14ac:dyDescent="0.4">
      <c r="C10" s="1">
        <v>66</v>
      </c>
      <c r="D10" s="1">
        <v>21</v>
      </c>
      <c r="E10" s="1">
        <v>1</v>
      </c>
      <c r="G10" s="3">
        <f t="shared" si="0"/>
        <v>1</v>
      </c>
      <c r="H10" s="3">
        <f t="shared" si="1"/>
        <v>0.38181818181818183</v>
      </c>
      <c r="I10">
        <f t="shared" si="2"/>
        <v>1</v>
      </c>
      <c r="K10" s="6">
        <f t="shared" si="37"/>
        <v>0.90622206097992863</v>
      </c>
      <c r="M10" s="6">
        <f t="shared" si="3"/>
        <v>8.7943018468522229E-3</v>
      </c>
      <c r="O10" s="21" t="s">
        <v>13</v>
      </c>
      <c r="P10" s="48">
        <v>-2.2226007744057288</v>
      </c>
      <c r="R10" s="6">
        <f t="shared" si="30"/>
        <v>2.268354739763522</v>
      </c>
      <c r="S10" s="6">
        <f t="shared" si="4"/>
        <v>1.6357000230112573</v>
      </c>
      <c r="T10" s="6">
        <f t="shared" si="31"/>
        <v>0.90622206097992863</v>
      </c>
      <c r="U10" s="6">
        <f t="shared" si="32"/>
        <v>0.83694898929870987</v>
      </c>
      <c r="W10" s="6"/>
      <c r="X10" s="11">
        <f t="shared" si="5"/>
        <v>-1.3340281167965004E-2</v>
      </c>
      <c r="Y10" s="12">
        <f t="shared" si="6"/>
        <v>0.83694898929870987</v>
      </c>
      <c r="Z10" s="12">
        <f t="shared" si="7"/>
        <v>8.4983637173219148E-2</v>
      </c>
      <c r="AA10" s="13">
        <f t="shared" si="8"/>
        <v>-0.18755587804014273</v>
      </c>
      <c r="AC10" s="11">
        <f t="shared" si="9"/>
        <v>-1.5939180689068029E-2</v>
      </c>
      <c r="AD10" s="12">
        <v>1</v>
      </c>
      <c r="AE10" s="12">
        <f t="shared" si="10"/>
        <v>8.4983637173219148E-2</v>
      </c>
      <c r="AF10" s="13">
        <f t="shared" si="11"/>
        <v>-0.18755587804014273</v>
      </c>
      <c r="AG10" s="6"/>
      <c r="AI10" s="11">
        <f t="shared" si="12"/>
        <v>-4.4564069970265251E-3</v>
      </c>
      <c r="AJ10" s="12">
        <f t="shared" si="13"/>
        <v>0.38181818181818183</v>
      </c>
      <c r="AK10" s="12">
        <f t="shared" si="33"/>
        <v>0.13646537861057789</v>
      </c>
      <c r="AL10" s="12">
        <f t="shared" si="14"/>
        <v>5.3658652696770437</v>
      </c>
      <c r="AM10" s="12">
        <f t="shared" si="15"/>
        <v>8.4983637173219148E-2</v>
      </c>
      <c r="AN10" s="13">
        <f t="shared" si="16"/>
        <v>-0.18755587804014273</v>
      </c>
      <c r="AP10" s="11">
        <f t="shared" si="17"/>
        <v>-1.1671542135069471E-2</v>
      </c>
      <c r="AQ10" s="12">
        <v>1</v>
      </c>
      <c r="AR10" s="12">
        <f t="shared" si="34"/>
        <v>0.13646537861057789</v>
      </c>
      <c r="AS10" s="12">
        <f t="shared" si="18"/>
        <v>5.3658652696770437</v>
      </c>
      <c r="AT10" s="12">
        <f t="shared" si="19"/>
        <v>8.4983637173219148E-2</v>
      </c>
      <c r="AU10" s="13">
        <f t="shared" si="20"/>
        <v>-0.18755587804014273</v>
      </c>
      <c r="AW10" s="11">
        <f t="shared" si="21"/>
        <v>-1.1671542135069471E-2</v>
      </c>
      <c r="AX10" s="12">
        <f t="shared" si="22"/>
        <v>1</v>
      </c>
      <c r="AY10" s="12">
        <f t="shared" si="35"/>
        <v>0.13646537861057789</v>
      </c>
      <c r="AZ10" s="12">
        <f t="shared" si="23"/>
        <v>5.3658652696770437</v>
      </c>
      <c r="BA10" s="12">
        <f t="shared" si="24"/>
        <v>8.4983637173219148E-2</v>
      </c>
      <c r="BB10" s="13">
        <f t="shared" si="25"/>
        <v>-0.18755587804014273</v>
      </c>
      <c r="BD10" s="11">
        <f t="shared" si="26"/>
        <v>-1.1671542135069471E-2</v>
      </c>
      <c r="BE10" s="12">
        <f>1</f>
        <v>1</v>
      </c>
      <c r="BF10" s="12">
        <f t="shared" si="36"/>
        <v>0.13646537861057789</v>
      </c>
      <c r="BG10" s="12">
        <f t="shared" si="27"/>
        <v>5.3658652696770437</v>
      </c>
      <c r="BH10" s="12">
        <f t="shared" si="28"/>
        <v>8.4983637173219148E-2</v>
      </c>
      <c r="BI10" s="13">
        <f t="shared" si="29"/>
        <v>-0.18755587804014273</v>
      </c>
    </row>
    <row r="11" spans="3:61" x14ac:dyDescent="0.35">
      <c r="C11" s="1">
        <v>45</v>
      </c>
      <c r="D11" s="1">
        <v>23</v>
      </c>
      <c r="E11" s="1">
        <v>1</v>
      </c>
      <c r="G11" s="3">
        <f t="shared" si="0"/>
        <v>0.68181818181818177</v>
      </c>
      <c r="H11" s="3">
        <f t="shared" si="1"/>
        <v>0.41818181818181815</v>
      </c>
      <c r="I11">
        <f t="shared" si="2"/>
        <v>1</v>
      </c>
      <c r="K11" s="6">
        <f t="shared" si="37"/>
        <v>0.69019967339526789</v>
      </c>
      <c r="M11" s="6">
        <f t="shared" si="3"/>
        <v>9.5976242364398681E-2</v>
      </c>
      <c r="R11" s="6">
        <f t="shared" si="30"/>
        <v>0.8010529552347383</v>
      </c>
      <c r="S11" s="6">
        <f t="shared" si="4"/>
        <v>0.25537035874569325</v>
      </c>
      <c r="T11" s="6">
        <f t="shared" si="31"/>
        <v>0.69019967339526789</v>
      </c>
      <c r="U11" s="6">
        <f t="shared" si="32"/>
        <v>0.5634978848103751</v>
      </c>
      <c r="W11" s="6"/>
      <c r="X11" s="11">
        <f t="shared" si="5"/>
        <v>-7.4655322835537455E-2</v>
      </c>
      <c r="Y11" s="12">
        <f t="shared" si="6"/>
        <v>0.5634978848103751</v>
      </c>
      <c r="Z11" s="12">
        <f t="shared" si="7"/>
        <v>0.21382408424033342</v>
      </c>
      <c r="AA11" s="13">
        <f t="shared" si="8"/>
        <v>-0.61960065320946422</v>
      </c>
      <c r="AC11" s="11">
        <f t="shared" si="9"/>
        <v>-0.13248554226722609</v>
      </c>
      <c r="AD11" s="12">
        <v>1</v>
      </c>
      <c r="AE11" s="12">
        <f t="shared" si="10"/>
        <v>0.21382408424033342</v>
      </c>
      <c r="AF11" s="13">
        <f t="shared" si="11"/>
        <v>-0.61960065320946422</v>
      </c>
      <c r="AG11" s="6"/>
      <c r="AI11" s="11">
        <f t="shared" si="12"/>
        <v>-7.312266998950355E-2</v>
      </c>
      <c r="AJ11" s="12">
        <f t="shared" si="13"/>
        <v>0.41818181818181815</v>
      </c>
      <c r="AK11" s="12">
        <f t="shared" si="33"/>
        <v>0.24596801862460835</v>
      </c>
      <c r="AL11" s="12">
        <f t="shared" si="14"/>
        <v>5.3658652696770437</v>
      </c>
      <c r="AM11" s="12">
        <f t="shared" si="15"/>
        <v>0.21382408424033342</v>
      </c>
      <c r="AN11" s="13">
        <f t="shared" si="16"/>
        <v>-0.61960065320946422</v>
      </c>
      <c r="AP11" s="11">
        <f t="shared" si="17"/>
        <v>-0.17485855867055197</v>
      </c>
      <c r="AQ11" s="12">
        <v>1</v>
      </c>
      <c r="AR11" s="12">
        <f t="shared" si="34"/>
        <v>0.24596801862460835</v>
      </c>
      <c r="AS11" s="12">
        <f t="shared" si="18"/>
        <v>5.3658652696770437</v>
      </c>
      <c r="AT11" s="12">
        <f t="shared" si="19"/>
        <v>0.21382408424033342</v>
      </c>
      <c r="AU11" s="13">
        <f t="shared" si="20"/>
        <v>-0.61960065320946422</v>
      </c>
      <c r="AW11" s="11">
        <f t="shared" si="21"/>
        <v>-0.11922174454810362</v>
      </c>
      <c r="AX11" s="12">
        <f t="shared" si="22"/>
        <v>0.68181818181818177</v>
      </c>
      <c r="AY11" s="12">
        <f t="shared" si="35"/>
        <v>0.24596801862460835</v>
      </c>
      <c r="AZ11" s="12">
        <f t="shared" si="23"/>
        <v>5.3658652696770437</v>
      </c>
      <c r="BA11" s="12">
        <f t="shared" si="24"/>
        <v>0.21382408424033342</v>
      </c>
      <c r="BB11" s="13">
        <f t="shared" si="25"/>
        <v>-0.61960065320946422</v>
      </c>
      <c r="BD11" s="11">
        <f t="shared" si="26"/>
        <v>-0.17485855867055197</v>
      </c>
      <c r="BE11" s="12">
        <f>1</f>
        <v>1</v>
      </c>
      <c r="BF11" s="12">
        <f t="shared" si="36"/>
        <v>0.24596801862460835</v>
      </c>
      <c r="BG11" s="12">
        <f t="shared" si="27"/>
        <v>5.3658652696770437</v>
      </c>
      <c r="BH11" s="12">
        <f t="shared" si="28"/>
        <v>0.21382408424033342</v>
      </c>
      <c r="BI11" s="13">
        <f t="shared" si="29"/>
        <v>-0.61960065320946422</v>
      </c>
    </row>
    <row r="12" spans="3:61" x14ac:dyDescent="0.35">
      <c r="C12" s="1">
        <v>34</v>
      </c>
      <c r="D12" s="1">
        <v>8</v>
      </c>
      <c r="E12" s="1">
        <v>1</v>
      </c>
      <c r="G12" s="3">
        <f t="shared" si="0"/>
        <v>0.51515151515151514</v>
      </c>
      <c r="H12" s="3">
        <f t="shared" si="1"/>
        <v>0.14545454545454545</v>
      </c>
      <c r="I12">
        <f t="shared" si="2"/>
        <v>1</v>
      </c>
      <c r="K12" s="6">
        <f t="shared" si="37"/>
        <v>0.79177573882745123</v>
      </c>
      <c r="M12" s="6">
        <f t="shared" si="3"/>
        <v>4.3357342940853805E-2</v>
      </c>
      <c r="O12" s="23" t="s">
        <v>62</v>
      </c>
      <c r="P12" s="22">
        <v>1</v>
      </c>
      <c r="R12" s="6">
        <f t="shared" si="30"/>
        <v>1.335662516073199</v>
      </c>
      <c r="S12" s="6">
        <f t="shared" si="4"/>
        <v>0.67727149259244923</v>
      </c>
      <c r="T12" s="6">
        <f t="shared" ref="T12" si="38">1/(1+ EXP(-R12))</f>
        <v>0.79177573882745123</v>
      </c>
      <c r="U12" s="6">
        <f t="shared" ref="U12" si="39">1/(1+ EXP(-S12))</f>
        <v>0.66312945101081333</v>
      </c>
      <c r="W12" s="6"/>
      <c r="X12" s="11">
        <f t="shared" si="5"/>
        <v>-4.5529529434184042E-2</v>
      </c>
      <c r="Y12" s="12">
        <f t="shared" si="6"/>
        <v>0.66312945101081333</v>
      </c>
      <c r="Z12" s="12">
        <f t="shared" si="7"/>
        <v>0.16486691823169497</v>
      </c>
      <c r="AA12" s="13">
        <f t="shared" si="8"/>
        <v>-0.41644852234509755</v>
      </c>
      <c r="AC12" s="11">
        <f t="shared" si="9"/>
        <v>-6.8658584481179397E-2</v>
      </c>
      <c r="AD12" s="12">
        <v>1</v>
      </c>
      <c r="AE12" s="12">
        <f t="shared" si="10"/>
        <v>0.16486691823169497</v>
      </c>
      <c r="AF12" s="13">
        <f t="shared" si="11"/>
        <v>-0.41644852234509755</v>
      </c>
      <c r="AG12" s="6"/>
      <c r="AI12" s="11">
        <f t="shared" si="12"/>
        <v>-1.1970802547954898E-2</v>
      </c>
      <c r="AJ12" s="12">
        <f t="shared" si="13"/>
        <v>0.14545454545454545</v>
      </c>
      <c r="AK12" s="12">
        <f t="shared" si="33"/>
        <v>0.22338878221291064</v>
      </c>
      <c r="AL12" s="12">
        <f t="shared" si="14"/>
        <v>5.3658652696770437</v>
      </c>
      <c r="AM12" s="12">
        <f t="shared" si="15"/>
        <v>0.16486691823169497</v>
      </c>
      <c r="AN12" s="13">
        <f t="shared" si="16"/>
        <v>-0.41644852234509755</v>
      </c>
      <c r="AP12" s="11">
        <f t="shared" si="17"/>
        <v>-8.2299267517189925E-2</v>
      </c>
      <c r="AQ12" s="12">
        <v>1</v>
      </c>
      <c r="AR12" s="12">
        <f t="shared" si="34"/>
        <v>0.22338878221291064</v>
      </c>
      <c r="AS12" s="12">
        <f t="shared" si="18"/>
        <v>5.3658652696770437</v>
      </c>
      <c r="AT12" s="12">
        <f t="shared" si="19"/>
        <v>0.16486691823169497</v>
      </c>
      <c r="AU12" s="13">
        <f t="shared" si="20"/>
        <v>-0.41644852234509755</v>
      </c>
      <c r="AW12" s="11">
        <f t="shared" si="21"/>
        <v>-4.2396592357340265E-2</v>
      </c>
      <c r="AX12" s="12">
        <f t="shared" si="22"/>
        <v>0.51515151515151514</v>
      </c>
      <c r="AY12" s="12">
        <f t="shared" si="35"/>
        <v>0.22338878221291064</v>
      </c>
      <c r="AZ12" s="12">
        <f t="shared" si="23"/>
        <v>5.3658652696770437</v>
      </c>
      <c r="BA12" s="12">
        <f t="shared" si="24"/>
        <v>0.16486691823169497</v>
      </c>
      <c r="BB12" s="13">
        <f t="shared" si="25"/>
        <v>-0.41644852234509755</v>
      </c>
      <c r="BD12" s="11">
        <f t="shared" si="26"/>
        <v>-8.2299267517189925E-2</v>
      </c>
      <c r="BE12" s="12">
        <f>1</f>
        <v>1</v>
      </c>
      <c r="BF12" s="12">
        <f t="shared" si="36"/>
        <v>0.22338878221291064</v>
      </c>
      <c r="BG12" s="12">
        <f t="shared" si="27"/>
        <v>5.3658652696770437</v>
      </c>
      <c r="BH12" s="12">
        <f t="shared" si="28"/>
        <v>0.16486691823169497</v>
      </c>
      <c r="BI12" s="13">
        <f t="shared" si="29"/>
        <v>-0.41644852234509755</v>
      </c>
    </row>
    <row r="13" spans="3:61" x14ac:dyDescent="0.35">
      <c r="M13" s="6"/>
      <c r="X13" s="8"/>
      <c r="Y13" s="9"/>
      <c r="Z13" s="9"/>
      <c r="AA13" s="10"/>
      <c r="AC13" s="8"/>
      <c r="AD13" s="9"/>
      <c r="AE13" s="9"/>
      <c r="AF13" s="10"/>
      <c r="AI13" s="8"/>
      <c r="AJ13" s="9"/>
      <c r="AK13" s="9"/>
      <c r="AL13" s="9"/>
      <c r="AM13" s="9"/>
      <c r="AN13" s="10"/>
      <c r="AP13" s="8"/>
      <c r="AQ13" s="9"/>
      <c r="AR13" s="9"/>
      <c r="AS13" s="9"/>
      <c r="AT13" s="9"/>
      <c r="AU13" s="10"/>
      <c r="AW13" s="8"/>
      <c r="AX13" s="9"/>
      <c r="AY13" s="9"/>
      <c r="AZ13" s="9"/>
      <c r="BA13" s="9"/>
      <c r="BB13" s="10"/>
      <c r="BD13" s="8"/>
      <c r="BE13" s="9"/>
      <c r="BF13" s="9"/>
      <c r="BG13" s="9"/>
      <c r="BH13" s="9"/>
      <c r="BI13" s="10"/>
    </row>
    <row r="14" spans="3:61" ht="15" thickBot="1" x14ac:dyDescent="0.4">
      <c r="M14" s="6">
        <f>SUM(M5:M12)</f>
        <v>0.34934751810291897</v>
      </c>
      <c r="W14" s="6" t="s">
        <v>61</v>
      </c>
      <c r="X14" s="14" t="s">
        <v>60</v>
      </c>
      <c r="Y14" s="16">
        <f>SUM(X5:X12)</f>
        <v>-0.10829083036153134</v>
      </c>
      <c r="Z14" s="17"/>
      <c r="AA14" s="48">
        <f>P7-(Y14*P12)</f>
        <v>5.4741561000385754</v>
      </c>
      <c r="AB14" s="7"/>
      <c r="AC14" s="14" t="s">
        <v>60</v>
      </c>
      <c r="AD14" s="18">
        <f>SUM(AC5:AC12)</f>
        <v>1.624072532077725E-2</v>
      </c>
      <c r="AE14" s="17"/>
      <c r="AF14" s="48">
        <f>P10-(AD14*P12)</f>
        <v>-2.2388414997265063</v>
      </c>
      <c r="AG14" s="7"/>
      <c r="AH14" s="7"/>
      <c r="AI14" s="14" t="s">
        <v>60</v>
      </c>
      <c r="AJ14" s="18">
        <f>SUM(AI5:AI12)</f>
        <v>2.4748299398447159E-2</v>
      </c>
      <c r="AK14" s="17"/>
      <c r="AL14" s="17"/>
      <c r="AM14" s="17"/>
      <c r="AN14" s="48">
        <f>P6-(AJ14*P12)</f>
        <v>-3.9487698319612652</v>
      </c>
      <c r="AO14" s="7"/>
      <c r="AP14" s="14" t="s">
        <v>60</v>
      </c>
      <c r="AQ14" s="18">
        <f>SUM(AP5:AP12)</f>
        <v>-8.6794828371551155E-2</v>
      </c>
      <c r="AR14" s="17"/>
      <c r="AS14" s="17"/>
      <c r="AT14" s="17"/>
      <c r="AU14" s="48">
        <f>P9-(P12*AJ14)</f>
        <v>-2.4439379134613834</v>
      </c>
      <c r="AV14" s="7"/>
      <c r="AW14" s="14" t="s">
        <v>60</v>
      </c>
      <c r="AX14" s="18">
        <f>SUM(AW5:AW12)</f>
        <v>-0.10715624789462548</v>
      </c>
      <c r="AY14" s="17"/>
      <c r="AZ14" s="17"/>
      <c r="BA14" s="17"/>
      <c r="BB14" s="48">
        <f>P5-(P12*AX14)</f>
        <v>3.9968755890077934</v>
      </c>
      <c r="BC14" s="7"/>
      <c r="BD14" s="14" t="s">
        <v>60</v>
      </c>
      <c r="BE14" s="18">
        <f>SUM(BD5:BD12)</f>
        <v>-8.6794828371551155E-2</v>
      </c>
      <c r="BF14" s="15"/>
      <c r="BG14" s="15"/>
      <c r="BH14" s="15"/>
      <c r="BI14" s="48">
        <f>P8-(P12*BE14)</f>
        <v>1.750227891311108</v>
      </c>
    </row>
    <row r="16" spans="3:61" x14ac:dyDescent="0.35">
      <c r="C16" t="s">
        <v>0</v>
      </c>
      <c r="F16" t="s">
        <v>1</v>
      </c>
      <c r="I16" t="s">
        <v>2</v>
      </c>
      <c r="M16" s="5"/>
    </row>
    <row r="17" spans="2:58" x14ac:dyDescent="0.35">
      <c r="M17" s="5"/>
      <c r="X17" t="s">
        <v>32</v>
      </c>
      <c r="Y17" t="s">
        <v>25</v>
      </c>
      <c r="AC17" t="s">
        <v>34</v>
      </c>
      <c r="AD17" t="s">
        <v>25</v>
      </c>
      <c r="AW17" t="s">
        <v>38</v>
      </c>
      <c r="AX17" t="s">
        <v>25</v>
      </c>
    </row>
    <row r="18" spans="2:58" x14ac:dyDescent="0.35">
      <c r="AI18" t="s">
        <v>36</v>
      </c>
      <c r="AJ18" t="s">
        <v>25</v>
      </c>
      <c r="AP18" t="s">
        <v>37</v>
      </c>
      <c r="AQ18" t="s">
        <v>25</v>
      </c>
      <c r="BD18" t="s">
        <v>39</v>
      </c>
      <c r="BE18" t="s">
        <v>25</v>
      </c>
    </row>
    <row r="19" spans="2:58" x14ac:dyDescent="0.35">
      <c r="M19" s="5"/>
    </row>
    <row r="20" spans="2:58" x14ac:dyDescent="0.35">
      <c r="M20" s="5"/>
    </row>
    <row r="21" spans="2:58" x14ac:dyDescent="0.35">
      <c r="M21" s="5"/>
    </row>
    <row r="22" spans="2:58" x14ac:dyDescent="0.35">
      <c r="M22" s="5"/>
      <c r="X22" t="s">
        <v>33</v>
      </c>
      <c r="Y22" t="s">
        <v>25</v>
      </c>
    </row>
    <row r="23" spans="2:58" x14ac:dyDescent="0.35">
      <c r="M23" s="5"/>
      <c r="AC23" t="s">
        <v>35</v>
      </c>
      <c r="AD23" t="s">
        <v>25</v>
      </c>
      <c r="AJ23" t="s">
        <v>45</v>
      </c>
      <c r="AK23" t="s">
        <v>25</v>
      </c>
      <c r="AQ23" t="s">
        <v>46</v>
      </c>
      <c r="AR23" t="s">
        <v>25</v>
      </c>
      <c r="AX23" t="s">
        <v>48</v>
      </c>
      <c r="AY23" t="s">
        <v>25</v>
      </c>
      <c r="BE23" t="s">
        <v>47</v>
      </c>
      <c r="BF23" t="s">
        <v>25</v>
      </c>
    </row>
    <row r="24" spans="2:58" x14ac:dyDescent="0.35">
      <c r="M24" s="5"/>
    </row>
    <row r="26" spans="2:58" x14ac:dyDescent="0.35">
      <c r="M26" s="5"/>
    </row>
    <row r="27" spans="2:58" x14ac:dyDescent="0.35">
      <c r="M27" s="5"/>
      <c r="X27" t="s">
        <v>29</v>
      </c>
      <c r="Y27" t="s">
        <v>25</v>
      </c>
    </row>
    <row r="28" spans="2:58" x14ac:dyDescent="0.35">
      <c r="AJ28" t="s">
        <v>44</v>
      </c>
      <c r="AK28" t="s">
        <v>25</v>
      </c>
    </row>
    <row r="29" spans="2:58" x14ac:dyDescent="0.35">
      <c r="M29" s="5"/>
    </row>
    <row r="30" spans="2:58" x14ac:dyDescent="0.35">
      <c r="M30" s="5"/>
    </row>
    <row r="32" spans="2:58" x14ac:dyDescent="0.35">
      <c r="B32" t="s">
        <v>24</v>
      </c>
      <c r="C32" t="s">
        <v>25</v>
      </c>
      <c r="X32" t="s">
        <v>30</v>
      </c>
      <c r="Y32" t="s">
        <v>25</v>
      </c>
    </row>
    <row r="33" spans="2:37" x14ac:dyDescent="0.35">
      <c r="AJ33" t="s">
        <v>43</v>
      </c>
      <c r="AK33" t="s">
        <v>25</v>
      </c>
    </row>
    <row r="39" spans="2:37" x14ac:dyDescent="0.35">
      <c r="B39" t="s">
        <v>26</v>
      </c>
      <c r="C39" t="s">
        <v>25</v>
      </c>
    </row>
    <row r="44" spans="2:37" x14ac:dyDescent="0.35">
      <c r="B44" t="s">
        <v>27</v>
      </c>
      <c r="C44" t="s">
        <v>25</v>
      </c>
    </row>
    <row r="47" spans="2:37" x14ac:dyDescent="0.35">
      <c r="X47" s="6"/>
    </row>
    <row r="49" spans="2:61" x14ac:dyDescent="0.35">
      <c r="B49" t="s">
        <v>41</v>
      </c>
      <c r="C49" t="s">
        <v>25</v>
      </c>
    </row>
    <row r="50" spans="2:61" x14ac:dyDescent="0.35">
      <c r="X50" s="50"/>
      <c r="Y50" s="50"/>
      <c r="Z50" s="50"/>
      <c r="AA50" s="50"/>
      <c r="AC50" s="50"/>
      <c r="AD50" s="50"/>
      <c r="AE50" s="50"/>
      <c r="AF50" s="50"/>
      <c r="AI50" s="50"/>
      <c r="AJ50" s="50"/>
      <c r="AK50" s="50"/>
      <c r="AL50" s="50"/>
      <c r="AM50" s="50"/>
      <c r="AN50" s="50"/>
      <c r="AP50" s="50"/>
      <c r="AQ50" s="50"/>
      <c r="AR50" s="50"/>
      <c r="AS50" s="50"/>
      <c r="AT50" s="50"/>
      <c r="AU50" s="50"/>
      <c r="AW50" s="50"/>
      <c r="AX50" s="50"/>
      <c r="AY50" s="50"/>
      <c r="AZ50" s="50"/>
      <c r="BA50" s="50"/>
      <c r="BB50" s="50"/>
      <c r="BD50" s="50"/>
      <c r="BE50" s="50"/>
      <c r="BF50" s="50"/>
      <c r="BG50" s="50"/>
      <c r="BH50" s="50"/>
      <c r="BI50" s="50"/>
    </row>
    <row r="54" spans="2:61" x14ac:dyDescent="0.35">
      <c r="B54" t="s">
        <v>28</v>
      </c>
      <c r="C54" t="s">
        <v>25</v>
      </c>
    </row>
    <row r="59" spans="2:61" x14ac:dyDescent="0.35">
      <c r="B59" t="s">
        <v>40</v>
      </c>
      <c r="C59" t="s">
        <v>25</v>
      </c>
    </row>
    <row r="62" spans="2:61" x14ac:dyDescent="0.35">
      <c r="B62" t="s">
        <v>42</v>
      </c>
    </row>
    <row r="96" ht="15" thickBot="1" x14ac:dyDescent="0.4"/>
    <row r="97" spans="2:24" x14ac:dyDescent="0.35">
      <c r="B97" s="59" t="s">
        <v>75</v>
      </c>
      <c r="C97" s="60"/>
      <c r="D97" s="61"/>
      <c r="F97" s="54" t="s">
        <v>79</v>
      </c>
      <c r="G97" s="55"/>
      <c r="H97" s="56" t="s">
        <v>78</v>
      </c>
      <c r="J97" s="7" t="s">
        <v>80</v>
      </c>
    </row>
    <row r="98" spans="2:24" x14ac:dyDescent="0.35">
      <c r="B98" s="51" t="s">
        <v>76</v>
      </c>
      <c r="C98" s="9"/>
      <c r="D98" s="13">
        <f ca="1">RAND()*($B$102-$B$99)+$B$99</f>
        <v>-1.4930427248475735</v>
      </c>
      <c r="F98" s="57">
        <v>1.3962170471593613</v>
      </c>
      <c r="G98" s="9"/>
      <c r="H98" s="13">
        <v>-1.55</v>
      </c>
      <c r="J98">
        <v>4.7474861721640647</v>
      </c>
    </row>
    <row r="99" spans="2:24" x14ac:dyDescent="0.35">
      <c r="B99" s="51">
        <v>-2</v>
      </c>
      <c r="C99" s="9"/>
      <c r="D99" s="13">
        <f ca="1">RAND()*($B$102-$B$99)+$B$99</f>
        <v>1.3526915029279638</v>
      </c>
      <c r="F99" s="57">
        <v>0.82834412705083371</v>
      </c>
      <c r="G99" s="9"/>
      <c r="H99" s="13">
        <v>-1.5</v>
      </c>
      <c r="J99">
        <v>-4.3473182622491784</v>
      </c>
    </row>
    <row r="100" spans="2:24" x14ac:dyDescent="0.35">
      <c r="B100" s="51"/>
      <c r="C100" s="9"/>
      <c r="D100" s="13">
        <f t="shared" ref="D100:D103" ca="1" si="40">RAND()*($B$102-$B$99)+$B$99</f>
        <v>0.40499650167984536</v>
      </c>
      <c r="F100" s="57">
        <v>-0.32190521449133513</v>
      </c>
      <c r="G100" s="9"/>
      <c r="H100" s="13">
        <v>1</v>
      </c>
      <c r="J100">
        <v>6.1845770085473468</v>
      </c>
    </row>
    <row r="101" spans="2:24" x14ac:dyDescent="0.35">
      <c r="B101" s="51" t="s">
        <v>77</v>
      </c>
      <c r="C101" s="9"/>
      <c r="D101" s="13">
        <f t="shared" ca="1" si="40"/>
        <v>-0.80911079257508334</v>
      </c>
      <c r="F101" s="57">
        <v>-6.718850069702513E-2</v>
      </c>
      <c r="G101" s="9"/>
      <c r="H101" s="13">
        <v>-0.1</v>
      </c>
      <c r="J101">
        <v>1.9268642753118306</v>
      </c>
    </row>
    <row r="102" spans="2:24" x14ac:dyDescent="0.35">
      <c r="B102" s="51">
        <f>2</f>
        <v>2</v>
      </c>
      <c r="C102" s="9"/>
      <c r="D102" s="13">
        <f t="shared" ca="1" si="40"/>
        <v>-1.0923366235411418</v>
      </c>
      <c r="F102" s="57">
        <v>0.56716790388124216</v>
      </c>
      <c r="G102" s="9"/>
      <c r="H102" s="13">
        <v>0.55000000000000004</v>
      </c>
      <c r="J102">
        <v>-2.9103268422333981</v>
      </c>
    </row>
    <row r="103" spans="2:24" ht="15" thickBot="1" x14ac:dyDescent="0.4">
      <c r="B103" s="52"/>
      <c r="C103" s="15"/>
      <c r="D103" s="53">
        <f t="shared" ca="1" si="40"/>
        <v>1.3838328244640858</v>
      </c>
      <c r="F103" s="58">
        <v>0.24616521202017116</v>
      </c>
      <c r="G103" s="15"/>
      <c r="H103" s="53">
        <v>-0.2</v>
      </c>
      <c r="J103">
        <v>-2.6263064562867067</v>
      </c>
    </row>
    <row r="107" spans="2:24" ht="15" thickBot="1" x14ac:dyDescent="0.4"/>
    <row r="108" spans="2:24" ht="21.5" thickBot="1" x14ac:dyDescent="0.55000000000000004">
      <c r="B108" s="71" t="s">
        <v>63</v>
      </c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3"/>
    </row>
    <row r="109" spans="2:24" x14ac:dyDescent="0.35">
      <c r="B109" s="74" t="s">
        <v>6</v>
      </c>
      <c r="C109" s="27">
        <v>1</v>
      </c>
      <c r="D109" s="40">
        <f>1/(1+EXP(-D135))</f>
        <v>0.10217778882520712</v>
      </c>
      <c r="E109" s="39">
        <f t="shared" ref="E109:W110" si="41">1/(1+EXP(-E135))</f>
        <v>0.10314276865510509</v>
      </c>
      <c r="F109" s="39">
        <f t="shared" si="41"/>
        <v>0.10432058212348129</v>
      </c>
      <c r="G109" s="39">
        <f t="shared" si="41"/>
        <v>0.10575955324290309</v>
      </c>
      <c r="H109" s="39">
        <f t="shared" si="41"/>
        <v>0.1075195808619086</v>
      </c>
      <c r="I109" s="39">
        <f t="shared" si="41"/>
        <v>0.10967515229880002</v>
      </c>
      <c r="J109" s="39">
        <f t="shared" si="41"/>
        <v>0.11231922011116302</v>
      </c>
      <c r="K109" s="39">
        <f t="shared" si="41"/>
        <v>0.11556820015623906</v>
      </c>
      <c r="L109" s="39">
        <f t="shared" si="41"/>
        <v>0.11956841345965638</v>
      </c>
      <c r="M109" s="39">
        <f t="shared" si="41"/>
        <v>0.12450435477095299</v>
      </c>
      <c r="N109" s="39">
        <f t="shared" si="41"/>
        <v>0.13060919926373382</v>
      </c>
      <c r="O109" s="39">
        <f t="shared" si="41"/>
        <v>0.1381778950308786</v>
      </c>
      <c r="P109" s="39">
        <f t="shared" si="41"/>
        <v>0.14758291168666501</v>
      </c>
      <c r="Q109" s="39">
        <f t="shared" si="41"/>
        <v>0.15929200050082679</v>
      </c>
      <c r="R109" s="39">
        <f t="shared" si="41"/>
        <v>0.17388579142047411</v>
      </c>
      <c r="S109" s="39">
        <f t="shared" si="41"/>
        <v>0.19207015486200665</v>
      </c>
      <c r="T109" s="39">
        <f t="shared" si="41"/>
        <v>0.21467339259398757</v>
      </c>
      <c r="U109" s="39">
        <f t="shared" si="41"/>
        <v>0.24261139671835208</v>
      </c>
      <c r="V109" s="39">
        <f t="shared" si="41"/>
        <v>0.27679673054885173</v>
      </c>
      <c r="W109" s="39">
        <f t="shared" si="41"/>
        <v>0.31796622632921623</v>
      </c>
      <c r="X109" s="41">
        <f>1/(1+EXP(-X135))</f>
        <v>0.36641828788595543</v>
      </c>
    </row>
    <row r="110" spans="2:24" x14ac:dyDescent="0.35">
      <c r="B110" s="75"/>
      <c r="C110" s="24">
        <v>0.95</v>
      </c>
      <c r="D110" s="42">
        <f>1/(1+EXP(-D136))</f>
        <v>0.10315216157151424</v>
      </c>
      <c r="E110" s="38">
        <f t="shared" si="41"/>
        <v>0.10433205178637213</v>
      </c>
      <c r="F110" s="38">
        <f t="shared" si="41"/>
        <v>0.10577357340071956</v>
      </c>
      <c r="G110" s="38">
        <f t="shared" si="41"/>
        <v>0.10753673963701997</v>
      </c>
      <c r="H110" s="38">
        <f t="shared" si="41"/>
        <v>0.10969618226855329</v>
      </c>
      <c r="I110" s="38">
        <f t="shared" si="41"/>
        <v>0.11234503705787074</v>
      </c>
      <c r="J110" s="38">
        <f t="shared" si="41"/>
        <v>0.11559995304347477</v>
      </c>
      <c r="K110" s="38">
        <f t="shared" si="41"/>
        <v>0.11960754876722701</v>
      </c>
      <c r="L110" s="38">
        <f t="shared" si="41"/>
        <v>0.12455269877073186</v>
      </c>
      <c r="M110" s="38">
        <f t="shared" si="41"/>
        <v>0.13066906178314736</v>
      </c>
      <c r="N110" s="38">
        <f t="shared" si="41"/>
        <v>0.13825219697765712</v>
      </c>
      <c r="O110" s="38">
        <f t="shared" si="41"/>
        <v>0.14767533464443178</v>
      </c>
      <c r="P110" s="38">
        <f t="shared" si="41"/>
        <v>0.15940714746300436</v>
      </c>
      <c r="Q110" s="38">
        <f t="shared" si="41"/>
        <v>0.17402932907668914</v>
      </c>
      <c r="R110" s="38">
        <f t="shared" si="41"/>
        <v>0.19224887431918986</v>
      </c>
      <c r="S110" s="38">
        <f t="shared" si="41"/>
        <v>0.21489507266487182</v>
      </c>
      <c r="T110" s="38">
        <f t="shared" si="41"/>
        <v>0.24288428667989029</v>
      </c>
      <c r="U110" s="38">
        <f t="shared" si="41"/>
        <v>0.27712841852743136</v>
      </c>
      <c r="V110" s="38">
        <f t="shared" si="41"/>
        <v>0.31836170541633552</v>
      </c>
      <c r="W110" s="38">
        <f t="shared" si="41"/>
        <v>0.36687730351563924</v>
      </c>
      <c r="X110" s="43">
        <f>1/(1+EXP(-X136))</f>
        <v>0.42221356646344282</v>
      </c>
    </row>
    <row r="111" spans="2:24" x14ac:dyDescent="0.35">
      <c r="B111" s="75"/>
      <c r="C111" s="24">
        <v>0.9</v>
      </c>
      <c r="D111" s="42">
        <f t="shared" ref="D111:X111" si="42">1/(1+EXP(-D137))</f>
        <v>0.10434354172151471</v>
      </c>
      <c r="E111" s="38">
        <f t="shared" si="42"/>
        <v>0.10578761847856362</v>
      </c>
      <c r="F111" s="38">
        <f t="shared" si="42"/>
        <v>0.10755392911125027</v>
      </c>
      <c r="G111" s="38">
        <f t="shared" si="42"/>
        <v>0.10971725014832993</v>
      </c>
      <c r="H111" s="38">
        <f t="shared" si="42"/>
        <v>0.11237090094479206</v>
      </c>
      <c r="I111" s="38">
        <f t="shared" si="42"/>
        <v>0.11563176421998796</v>
      </c>
      <c r="J111" s="38">
        <f t="shared" si="42"/>
        <v>0.11964675667370726</v>
      </c>
      <c r="K111" s="38">
        <f t="shared" si="42"/>
        <v>0.12460113345597258</v>
      </c>
      <c r="L111" s="38">
        <f t="shared" si="42"/>
        <v>0.13072903787074636</v>
      </c>
      <c r="M111" s="38">
        <f t="shared" si="42"/>
        <v>0.13832664140154366</v>
      </c>
      <c r="N111" s="38">
        <f t="shared" si="42"/>
        <v>0.1477679364095269</v>
      </c>
      <c r="O111" s="38">
        <f t="shared" si="42"/>
        <v>0.15952251838243242</v>
      </c>
      <c r="P111" s="38">
        <f t="shared" si="42"/>
        <v>0.17417314567751671</v>
      </c>
      <c r="Q111" s="38">
        <f t="shared" si="42"/>
        <v>0.19242793742087871</v>
      </c>
      <c r="R111" s="38">
        <f t="shared" si="42"/>
        <v>0.21511716821382368</v>
      </c>
      <c r="S111" s="38">
        <f t="shared" si="42"/>
        <v>0.24315766414761211</v>
      </c>
      <c r="T111" s="38">
        <f t="shared" si="42"/>
        <v>0.27746065284959998</v>
      </c>
      <c r="U111" s="38">
        <f t="shared" si="42"/>
        <v>0.31875775578022703</v>
      </c>
      <c r="V111" s="38">
        <f t="shared" si="42"/>
        <v>0.36733685629142199</v>
      </c>
      <c r="W111" s="38">
        <f t="shared" si="42"/>
        <v>0.42272833155112483</v>
      </c>
      <c r="X111" s="43">
        <f t="shared" si="42"/>
        <v>0.48345829173205496</v>
      </c>
    </row>
    <row r="112" spans="2:24" x14ac:dyDescent="0.35">
      <c r="B112" s="75"/>
      <c r="C112" s="24">
        <v>0.85</v>
      </c>
      <c r="D112" s="42">
        <f t="shared" ref="D112:X112" si="43">1/(1+EXP(-D138))</f>
        <v>0.10580168852206741</v>
      </c>
      <c r="E112" s="38">
        <f t="shared" si="43"/>
        <v>0.10757114934143321</v>
      </c>
      <c r="F112" s="38">
        <f t="shared" si="43"/>
        <v>0.10973835600916915</v>
      </c>
      <c r="G112" s="38">
        <f t="shared" si="43"/>
        <v>0.11239681186104657</v>
      </c>
      <c r="H112" s="38">
        <f t="shared" si="43"/>
        <v>0.11566363379796908</v>
      </c>
      <c r="I112" s="38">
        <f t="shared" si="43"/>
        <v>0.11968603732074699</v>
      </c>
      <c r="J112" s="38">
        <f t="shared" si="43"/>
        <v>0.12464965900585287</v>
      </c>
      <c r="K112" s="38">
        <f t="shared" si="43"/>
        <v>0.13078912775317722</v>
      </c>
      <c r="L112" s="38">
        <f t="shared" si="43"/>
        <v>0.13840122858836373</v>
      </c>
      <c r="M112" s="38">
        <f t="shared" si="43"/>
        <v>0.14786071733963554</v>
      </c>
      <c r="N112" s="38">
        <f t="shared" si="43"/>
        <v>0.15963811370008546</v>
      </c>
      <c r="O112" s="38">
        <f t="shared" si="43"/>
        <v>0.17431724175259272</v>
      </c>
      <c r="P112" s="38">
        <f t="shared" si="43"/>
        <v>0.19260734477574565</v>
      </c>
      <c r="Q112" s="38">
        <f t="shared" si="43"/>
        <v>0.21533967988957897</v>
      </c>
      <c r="R112" s="38">
        <f t="shared" si="43"/>
        <v>0.2434315297232196</v>
      </c>
      <c r="S112" s="38">
        <f t="shared" si="43"/>
        <v>0.27779343391879707</v>
      </c>
      <c r="T112" s="38">
        <f t="shared" si="43"/>
        <v>0.31915437741526392</v>
      </c>
      <c r="U112" s="38">
        <f t="shared" si="43"/>
        <v>0.3677969455791073</v>
      </c>
      <c r="V112" s="38">
        <f t="shared" si="43"/>
        <v>0.42324351870957361</v>
      </c>
      <c r="W112" s="38">
        <f t="shared" si="43"/>
        <v>0.4840108370097852</v>
      </c>
      <c r="X112" s="43">
        <f t="shared" si="43"/>
        <v>0.54760446191589596</v>
      </c>
    </row>
    <row r="113" spans="2:24" x14ac:dyDescent="0.35">
      <c r="B113" s="75"/>
      <c r="C113" s="24">
        <v>0.8</v>
      </c>
      <c r="D113" s="42">
        <f t="shared" ref="D113:X113" si="44">1/(1+EXP(-D139))</f>
        <v>0.10758840038451362</v>
      </c>
      <c r="E113" s="38">
        <f t="shared" si="44"/>
        <v>0.10975949992225113</v>
      </c>
      <c r="F113" s="38">
        <f t="shared" si="44"/>
        <v>0.11242276989593368</v>
      </c>
      <c r="G113" s="38">
        <f t="shared" si="44"/>
        <v>0.11569556188983847</v>
      </c>
      <c r="H113" s="38">
        <f t="shared" si="44"/>
        <v>0.11972539085028903</v>
      </c>
      <c r="I113" s="38">
        <f t="shared" si="44"/>
        <v>0.12469827559992272</v>
      </c>
      <c r="J113" s="38">
        <f t="shared" si="44"/>
        <v>0.13084933165755455</v>
      </c>
      <c r="K113" s="38">
        <f t="shared" si="44"/>
        <v>0.13847595882452055</v>
      </c>
      <c r="L113" s="38">
        <f t="shared" si="44"/>
        <v>0.14795367779313168</v>
      </c>
      <c r="M113" s="38">
        <f t="shared" si="44"/>
        <v>0.15975393385771039</v>
      </c>
      <c r="N113" s="38">
        <f t="shared" si="44"/>
        <v>0.17446161783232281</v>
      </c>
      <c r="O113" s="38">
        <f t="shared" si="44"/>
        <v>0.19278709699304264</v>
      </c>
      <c r="P113" s="38">
        <f t="shared" si="44"/>
        <v>0.21556260834092503</v>
      </c>
      <c r="Q113" s="38">
        <f t="shared" si="44"/>
        <v>0.2437058840074271</v>
      </c>
      <c r="R113" s="38">
        <f t="shared" si="44"/>
        <v>0.27812676213584359</v>
      </c>
      <c r="S113" s="38">
        <f t="shared" si="44"/>
        <v>0.31955157031118309</v>
      </c>
      <c r="T113" s="38">
        <f t="shared" si="44"/>
        <v>0.36825757073817683</v>
      </c>
      <c r="U113" s="38">
        <f t="shared" si="44"/>
        <v>0.42375912655029568</v>
      </c>
      <c r="V113" s="38">
        <f t="shared" si="44"/>
        <v>0.48456360663239323</v>
      </c>
      <c r="W113" s="38">
        <f t="shared" si="44"/>
        <v>0.54816868127715923</v>
      </c>
      <c r="X113" s="43">
        <f t="shared" si="44"/>
        <v>0.61141956658254015</v>
      </c>
    </row>
    <row r="114" spans="2:24" x14ac:dyDescent="0.35">
      <c r="B114" s="75"/>
      <c r="C114" s="24">
        <v>0.75</v>
      </c>
      <c r="D114" s="42">
        <f t="shared" ref="D114:X114" si="45">1/(1+EXP(-D140))</f>
        <v>0.10978068195889759</v>
      </c>
      <c r="E114" s="38">
        <f t="shared" si="45"/>
        <v>0.11244877513893288</v>
      </c>
      <c r="F114" s="38">
        <f t="shared" si="45"/>
        <v>0.11572754860824641</v>
      </c>
      <c r="G114" s="38">
        <f t="shared" si="45"/>
        <v>0.11976481740456991</v>
      </c>
      <c r="H114" s="38">
        <f t="shared" si="45"/>
        <v>0.12474698341810533</v>
      </c>
      <c r="I114" s="38">
        <f t="shared" si="45"/>
        <v>0.13090964981146253</v>
      </c>
      <c r="J114" s="38">
        <f t="shared" si="45"/>
        <v>0.13855083239699642</v>
      </c>
      <c r="K114" s="38">
        <f t="shared" si="45"/>
        <v>0.14804681812907924</v>
      </c>
      <c r="L114" s="38">
        <f t="shared" si="45"/>
        <v>0.15986997929782704</v>
      </c>
      <c r="M114" s="38">
        <f t="shared" si="45"/>
        <v>0.17460627444788224</v>
      </c>
      <c r="N114" s="38">
        <f t="shared" si="45"/>
        <v>0.1929671946825984</v>
      </c>
      <c r="O114" s="38">
        <f t="shared" si="45"/>
        <v>0.21578595421669311</v>
      </c>
      <c r="P114" s="38">
        <f t="shared" si="45"/>
        <v>0.24398072759995063</v>
      </c>
      <c r="Q114" s="38">
        <f t="shared" si="45"/>
        <v>0.27846063789892428</v>
      </c>
      <c r="R114" s="38">
        <f t="shared" si="45"/>
        <v>0.31994933445306872</v>
      </c>
      <c r="S114" s="38">
        <f t="shared" si="45"/>
        <v>0.36871873112178111</v>
      </c>
      <c r="T114" s="38">
        <f t="shared" si="45"/>
        <v>0.42427515367828167</v>
      </c>
      <c r="U114" s="38">
        <f t="shared" si="45"/>
        <v>0.48511659856833184</v>
      </c>
      <c r="V114" s="38">
        <f t="shared" si="45"/>
        <v>0.54873287314349217</v>
      </c>
      <c r="W114" s="38">
        <f t="shared" si="45"/>
        <v>0.61196605161407003</v>
      </c>
      <c r="X114" s="43">
        <f t="shared" si="45"/>
        <v>0.67166050578033609</v>
      </c>
    </row>
    <row r="115" spans="2:24" x14ac:dyDescent="0.35">
      <c r="B115" s="75"/>
      <c r="C115" s="24">
        <v>0.7</v>
      </c>
      <c r="D115" s="42">
        <f t="shared" ref="D115:X115" si="46">1/(1+EXP(-D141))</f>
        <v>0.11247482767970424</v>
      </c>
      <c r="E115" s="38">
        <f t="shared" si="46"/>
        <v>0.11575959406607386</v>
      </c>
      <c r="F115" s="38">
        <f t="shared" si="46"/>
        <v>0.11980431712612048</v>
      </c>
      <c r="G115" s="38">
        <f t="shared" si="46"/>
        <v>0.12479578264069781</v>
      </c>
      <c r="H115" s="38">
        <f t="shared" si="46"/>
        <v>0.13097008244295535</v>
      </c>
      <c r="I115" s="38">
        <f t="shared" si="46"/>
        <v>0.13862584959335356</v>
      </c>
      <c r="J115" s="38">
        <f t="shared" si="46"/>
        <v>0.14814013870723292</v>
      </c>
      <c r="K115" s="38">
        <f t="shared" si="46"/>
        <v>0.15998625046372858</v>
      </c>
      <c r="L115" s="38">
        <f t="shared" si="46"/>
        <v>0.17475121213121489</v>
      </c>
      <c r="M115" s="38">
        <f t="shared" si="46"/>
        <v>0.19314763845481608</v>
      </c>
      <c r="N115" s="38">
        <f t="shared" si="46"/>
        <v>0.21600971816575235</v>
      </c>
      <c r="O115" s="38">
        <f t="shared" si="46"/>
        <v>0.24425606109949544</v>
      </c>
      <c r="P115" s="38">
        <f t="shared" si="46"/>
        <v>0.27879506160357265</v>
      </c>
      <c r="Q115" s="38">
        <f t="shared" si="46"/>
        <v>0.3203476698213325</v>
      </c>
      <c r="R115" s="38">
        <f t="shared" si="46"/>
        <v>0.36918042607672996</v>
      </c>
      <c r="S115" s="38">
        <f t="shared" si="46"/>
        <v>0.42479159869201527</v>
      </c>
      <c r="T115" s="38">
        <f t="shared" si="46"/>
        <v>0.48566981078177013</v>
      </c>
      <c r="U115" s="38">
        <f t="shared" si="46"/>
        <v>0.54929703522318651</v>
      </c>
      <c r="V115" s="38">
        <f t="shared" si="46"/>
        <v>0.61251225682003996</v>
      </c>
      <c r="W115" s="38">
        <f t="shared" si="46"/>
        <v>0.67216306385160274</v>
      </c>
      <c r="X115" s="43">
        <f t="shared" si="46"/>
        <v>0.7257740789332281</v>
      </c>
    </row>
    <row r="116" spans="2:24" x14ac:dyDescent="0.35">
      <c r="B116" s="75"/>
      <c r="C116" s="24">
        <v>0.65</v>
      </c>
      <c r="D116" s="42">
        <f t="shared" ref="D116:X116" si="47">1/(1+EXP(-D142))</f>
        <v>0.11579169837643273</v>
      </c>
      <c r="E116" s="38">
        <f t="shared" si="47"/>
        <v>0.11984389015776648</v>
      </c>
      <c r="F116" s="38">
        <f t="shared" si="47"/>
        <v>0.12484467344837182</v>
      </c>
      <c r="G116" s="38">
        <f t="shared" si="47"/>
        <v>0.13103062978055843</v>
      </c>
      <c r="H116" s="38">
        <f t="shared" si="47"/>
        <v>0.13870101070173507</v>
      </c>
      <c r="I116" s="38">
        <f t="shared" si="47"/>
        <v>0.14823363988803909</v>
      </c>
      <c r="J116" s="38">
        <f t="shared" si="47"/>
        <v>0.16010274779948194</v>
      </c>
      <c r="K116" s="38">
        <f t="shared" si="47"/>
        <v>0.17489643141503242</v>
      </c>
      <c r="L116" s="38">
        <f t="shared" si="47"/>
        <v>0.1933284289206694</v>
      </c>
      <c r="M116" s="38">
        <f t="shared" si="47"/>
        <v>0.21623390083700289</v>
      </c>
      <c r="N116" s="38">
        <f t="shared" si="47"/>
        <v>0.24453188510374402</v>
      </c>
      <c r="O116" s="38">
        <f t="shared" si="47"/>
        <v>0.27913003364265226</v>
      </c>
      <c r="P116" s="38">
        <f t="shared" si="47"/>
        <v>0.32074657639169762</v>
      </c>
      <c r="Q116" s="38">
        <f t="shared" si="47"/>
        <v>0.36964265494348159</v>
      </c>
      <c r="R116" s="38">
        <f t="shared" si="47"/>
        <v>0.42530846018348206</v>
      </c>
      <c r="S116" s="38">
        <f t="shared" si="47"/>
        <v>0.48622324123262406</v>
      </c>
      <c r="T116" s="38">
        <f t="shared" si="47"/>
        <v>0.54986116522452144</v>
      </c>
      <c r="U116" s="38">
        <f t="shared" si="47"/>
        <v>0.61305818016803271</v>
      </c>
      <c r="V116" s="38">
        <f t="shared" si="47"/>
        <v>0.67266514491302654</v>
      </c>
      <c r="W116" s="38">
        <f t="shared" si="47"/>
        <v>0.72621495863537289</v>
      </c>
      <c r="X116" s="43">
        <f t="shared" si="47"/>
        <v>0.77231216971663397</v>
      </c>
    </row>
    <row r="117" spans="2:24" x14ac:dyDescent="0.35">
      <c r="B117" s="75"/>
      <c r="C117" s="24">
        <v>0.6</v>
      </c>
      <c r="D117" s="42">
        <f t="shared" ref="D117:X117" si="48">1/(1+EXP(-D143))</f>
        <v>0.11988353664262912</v>
      </c>
      <c r="E117" s="38">
        <f t="shared" si="48"/>
        <v>0.12489365602217467</v>
      </c>
      <c r="F117" s="38">
        <f t="shared" si="48"/>
        <v>0.13109129205326939</v>
      </c>
      <c r="G117" s="38">
        <f t="shared" si="48"/>
        <v>0.13877631601086607</v>
      </c>
      <c r="H117" s="38">
        <f t="shared" si="48"/>
        <v>0.14832732203263682</v>
      </c>
      <c r="I117" s="38">
        <f t="shared" si="48"/>
        <v>0.16021947174992848</v>
      </c>
      <c r="J117" s="38">
        <f t="shared" si="48"/>
        <v>0.17504193283281388</v>
      </c>
      <c r="K117" s="38">
        <f t="shared" si="48"/>
        <v>0.19350956669170036</v>
      </c>
      <c r="L117" s="38">
        <f t="shared" si="48"/>
        <v>0.21645850287936888</v>
      </c>
      <c r="M117" s="38">
        <f t="shared" si="48"/>
        <v>0.24480820020934527</v>
      </c>
      <c r="N117" s="38">
        <f t="shared" si="48"/>
        <v>0.27946555440634124</v>
      </c>
      <c r="O117" s="38">
        <f t="shared" si="48"/>
        <v>0.32114605413518027</v>
      </c>
      <c r="P117" s="38">
        <f t="shared" si="48"/>
        <v>0.37010541705613437</v>
      </c>
      <c r="Q117" s="38">
        <f t="shared" si="48"/>
        <v>0.42582573673817742</v>
      </c>
      <c r="R117" s="38">
        <f t="shared" si="48"/>
        <v>0.48677688787658885</v>
      </c>
      <c r="S117" s="38">
        <f t="shared" si="48"/>
        <v>0.55042526085580656</v>
      </c>
      <c r="T117" s="38">
        <f t="shared" si="48"/>
        <v>0.61360381963004196</v>
      </c>
      <c r="U117" s="38">
        <f t="shared" si="48"/>
        <v>0.67316674760360851</v>
      </c>
      <c r="V117" s="38">
        <f t="shared" si="48"/>
        <v>0.72665525152769594</v>
      </c>
      <c r="W117" s="38">
        <f t="shared" si="48"/>
        <v>0.77268388764348039</v>
      </c>
      <c r="X117" s="43">
        <f t="shared" si="48"/>
        <v>0.81094246654826407</v>
      </c>
    </row>
    <row r="118" spans="2:24" x14ac:dyDescent="0.35">
      <c r="B118" s="75"/>
      <c r="C118" s="24">
        <v>0.55000000000000004</v>
      </c>
      <c r="D118" s="42">
        <f t="shared" ref="D118:X118" si="49">1/(1+EXP(-D144))</f>
        <v>0.12494273054352985</v>
      </c>
      <c r="E118" s="38">
        <f t="shared" si="49"/>
        <v>0.13115206949055866</v>
      </c>
      <c r="F118" s="38">
        <f t="shared" si="49"/>
        <v>0.13885176581005457</v>
      </c>
      <c r="G118" s="38">
        <f t="shared" si="49"/>
        <v>0.14842118550285871</v>
      </c>
      <c r="H118" s="38">
        <f t="shared" si="49"/>
        <v>0.16033642276068419</v>
      </c>
      <c r="I118" s="38">
        <f t="shared" si="49"/>
        <v>0.17518771691880483</v>
      </c>
      <c r="J118" s="38">
        <f t="shared" si="49"/>
        <v>0.19369105238001535</v>
      </c>
      <c r="K118" s="38">
        <f t="shared" si="49"/>
        <v>0.21668352494179152</v>
      </c>
      <c r="L118" s="38">
        <f t="shared" si="49"/>
        <v>0.24508500701190078</v>
      </c>
      <c r="M118" s="38">
        <f t="shared" si="49"/>
        <v>0.27980162428211491</v>
      </c>
      <c r="N118" s="38">
        <f t="shared" si="49"/>
        <v>0.32154610301807135</v>
      </c>
      <c r="O118" s="38">
        <f t="shared" si="49"/>
        <v>0.37056871174241562</v>
      </c>
      <c r="P118" s="38">
        <f t="shared" si="49"/>
        <v>0.42634342693511623</v>
      </c>
      <c r="Q118" s="38">
        <f t="shared" si="49"/>
        <v>0.48733074866516635</v>
      </c>
      <c r="R118" s="38">
        <f t="shared" si="49"/>
        <v>0.5509893198254231</v>
      </c>
      <c r="S118" s="38">
        <f t="shared" si="49"/>
        <v>0.61414917318250684</v>
      </c>
      <c r="T118" s="38">
        <f t="shared" si="49"/>
        <v>0.67366787056926181</v>
      </c>
      <c r="U118" s="38">
        <f t="shared" si="49"/>
        <v>0.72709495705621241</v>
      </c>
      <c r="V118" s="38">
        <f t="shared" si="49"/>
        <v>0.77305499603988026</v>
      </c>
      <c r="W118" s="38">
        <f t="shared" si="49"/>
        <v>0.81124632790333906</v>
      </c>
      <c r="X118" s="43">
        <f t="shared" si="49"/>
        <v>0.84216630619817157</v>
      </c>
    </row>
    <row r="119" spans="2:24" x14ac:dyDescent="0.35">
      <c r="B119" s="75"/>
      <c r="C119" s="24">
        <v>0.5</v>
      </c>
      <c r="D119" s="42">
        <f t="shared" ref="D119:X119" si="50">1/(1+EXP(-D145))</f>
        <v>0.13121296232237073</v>
      </c>
      <c r="E119" s="38">
        <f t="shared" si="50"/>
        <v>0.13892736038919262</v>
      </c>
      <c r="F119" s="38">
        <f t="shared" si="50"/>
        <v>0.14851523066123168</v>
      </c>
      <c r="G119" s="38">
        <f t="shared" si="50"/>
        <v>0.16045360127814018</v>
      </c>
      <c r="H119" s="38">
        <f t="shared" si="50"/>
        <v>0.17533378420801662</v>
      </c>
      <c r="I119" s="38">
        <f t="shared" si="50"/>
        <v>0.19387288659828342</v>
      </c>
      <c r="J119" s="38">
        <f t="shared" si="50"/>
        <v>0.21690896767322243</v>
      </c>
      <c r="K119" s="38">
        <f t="shared" si="50"/>
        <v>0.24536230610595408</v>
      </c>
      <c r="L119" s="38">
        <f t="shared" si="50"/>
        <v>0.28013824365472911</v>
      </c>
      <c r="M119" s="38">
        <f t="shared" si="50"/>
        <v>0.32194672300192068</v>
      </c>
      <c r="N119" s="38">
        <f t="shared" si="50"/>
        <v>0.37103253832367278</v>
      </c>
      <c r="O119" s="38">
        <f t="shared" si="50"/>
        <v>0.42686152934684174</v>
      </c>
      <c r="P119" s="38">
        <f t="shared" si="50"/>
        <v>0.48788482154569984</v>
      </c>
      <c r="Q119" s="38">
        <f t="shared" si="50"/>
        <v>0.55155333984186472</v>
      </c>
      <c r="R119" s="38">
        <f t="shared" si="50"/>
        <v>0.61469423880634422</v>
      </c>
      <c r="S119" s="38">
        <f t="shared" si="50"/>
        <v>0.6741685124628235</v>
      </c>
      <c r="T119" s="38">
        <f t="shared" si="50"/>
        <v>0.72753407467373055</v>
      </c>
      <c r="U119" s="38">
        <f t="shared" si="50"/>
        <v>0.77342549503209779</v>
      </c>
      <c r="V119" s="38">
        <f t="shared" si="50"/>
        <v>0.81154962097076933</v>
      </c>
      <c r="W119" s="38">
        <f t="shared" si="50"/>
        <v>0.84240925509707643</v>
      </c>
      <c r="X119" s="43">
        <f t="shared" si="50"/>
        <v>0.8669463733468693</v>
      </c>
    </row>
    <row r="120" spans="2:24" x14ac:dyDescent="0.35">
      <c r="B120" s="75"/>
      <c r="C120" s="24">
        <v>0.45</v>
      </c>
      <c r="D120" s="42">
        <f t="shared" ref="D120:X120" si="51">1/(1+EXP(-D146))</f>
        <v>0.13900310003875707</v>
      </c>
      <c r="E120" s="38">
        <f t="shared" si="51"/>
        <v>0.1486094578709781</v>
      </c>
      <c r="F120" s="38">
        <f t="shared" si="51"/>
        <v>0.16057100774946317</v>
      </c>
      <c r="G120" s="38">
        <f t="shared" si="51"/>
        <v>0.17548013523622549</v>
      </c>
      <c r="H120" s="38">
        <f t="shared" si="51"/>
        <v>0.19405506995973162</v>
      </c>
      <c r="I120" s="38">
        <f t="shared" si="51"/>
        <v>0.21713483172261686</v>
      </c>
      <c r="J120" s="38">
        <f t="shared" si="51"/>
        <v>0.24564009808497766</v>
      </c>
      <c r="K120" s="38">
        <f t="shared" si="51"/>
        <v>0.2804754129062027</v>
      </c>
      <c r="L120" s="38">
        <f t="shared" si="51"/>
        <v>0.32234791404351715</v>
      </c>
      <c r="M120" s="38">
        <f t="shared" si="51"/>
        <v>0.37149689611486481</v>
      </c>
      <c r="N120" s="38">
        <f t="shared" si="51"/>
        <v>0.42738004253943401</v>
      </c>
      <c r="O120" s="38">
        <f t="shared" si="51"/>
        <v>0.48843910446140132</v>
      </c>
      <c r="P120" s="38">
        <f t="shared" si="51"/>
        <v>0.55211731861378022</v>
      </c>
      <c r="Q120" s="38">
        <f t="shared" si="51"/>
        <v>0.61523901448697982</v>
      </c>
      <c r="R120" s="38">
        <f t="shared" si="51"/>
        <v>0.67466867194406388</v>
      </c>
      <c r="S120" s="38">
        <f t="shared" si="51"/>
        <v>0.7279726038398423</v>
      </c>
      <c r="T120" s="38">
        <f t="shared" si="51"/>
        <v>0.77379538475129839</v>
      </c>
      <c r="U120" s="38">
        <f t="shared" si="51"/>
        <v>0.81185234630447944</v>
      </c>
      <c r="V120" s="38">
        <f t="shared" si="51"/>
        <v>0.84265171148440643</v>
      </c>
      <c r="W120" s="38">
        <f t="shared" si="51"/>
        <v>0.86713785742359983</v>
      </c>
      <c r="X120" s="43">
        <f t="shared" si="51"/>
        <v>0.88639464945321111</v>
      </c>
    </row>
    <row r="121" spans="2:24" x14ac:dyDescent="0.35">
      <c r="B121" s="75"/>
      <c r="C121" s="24">
        <v>0.4</v>
      </c>
      <c r="D121" s="42">
        <f t="shared" ref="D121:X121" si="52">1/(1+EXP(-D147))</f>
        <v>0.14870386749601652</v>
      </c>
      <c r="E121" s="38">
        <f t="shared" si="52"/>
        <v>0.16068864262259591</v>
      </c>
      <c r="F121" s="38">
        <f t="shared" si="52"/>
        <v>0.17562677053997208</v>
      </c>
      <c r="G121" s="38">
        <f t="shared" si="52"/>
        <v>0.19423760307814317</v>
      </c>
      <c r="H121" s="38">
        <f t="shared" si="52"/>
        <v>0.21736111773892602</v>
      </c>
      <c r="I121" s="38">
        <f t="shared" si="52"/>
        <v>0.24591838354136186</v>
      </c>
      <c r="J121" s="38">
        <f t="shared" si="52"/>
        <v>0.28081313241580114</v>
      </c>
      <c r="K121" s="38">
        <f t="shared" si="52"/>
        <v>0.32274967609487287</v>
      </c>
      <c r="L121" s="38">
        <f t="shared" si="52"/>
        <v>0.37196178442455191</v>
      </c>
      <c r="M121" s="38">
        <f t="shared" si="52"/>
        <v>0.42789896507252162</v>
      </c>
      <c r="N121" s="38">
        <f t="shared" si="52"/>
        <v>0.48899359535138437</v>
      </c>
      <c r="O121" s="38">
        <f t="shared" si="52"/>
        <v>0.55268125385001321</v>
      </c>
      <c r="P121" s="38">
        <f t="shared" si="52"/>
        <v>0.6157834982143815</v>
      </c>
      <c r="Q121" s="38">
        <f t="shared" si="52"/>
        <v>0.67516834767969547</v>
      </c>
      <c r="R121" s="38">
        <f t="shared" si="52"/>
        <v>0.72841054402091243</v>
      </c>
      <c r="S121" s="38">
        <f t="shared" si="52"/>
        <v>0.77416466533352901</v>
      </c>
      <c r="T121" s="38">
        <f t="shared" si="52"/>
        <v>0.81215450446097215</v>
      </c>
      <c r="U121" s="38">
        <f t="shared" si="52"/>
        <v>0.8428936760971385</v>
      </c>
      <c r="V121" s="38">
        <f t="shared" si="52"/>
        <v>0.86732893521569687</v>
      </c>
      <c r="W121" s="38">
        <f t="shared" si="52"/>
        <v>0.88654438012169567</v>
      </c>
      <c r="X121" s="43">
        <f t="shared" si="52"/>
        <v>0.90157494628505608</v>
      </c>
    </row>
    <row r="122" spans="2:24" x14ac:dyDescent="0.35">
      <c r="B122" s="75"/>
      <c r="C122" s="24">
        <v>0.35</v>
      </c>
      <c r="D122" s="42">
        <f t="shared" ref="D122:X122" si="53">1/(1+EXP(-D148))</f>
        <v>0.16080650634625751</v>
      </c>
      <c r="E122" s="38">
        <f t="shared" si="53"/>
        <v>0.17577369065656046</v>
      </c>
      <c r="F122" s="38">
        <f t="shared" si="53"/>
        <v>0.19442048656785357</v>
      </c>
      <c r="G122" s="38">
        <f t="shared" si="53"/>
        <v>0.21758782637109073</v>
      </c>
      <c r="H122" s="38">
        <f t="shared" si="53"/>
        <v>0.24619716306640141</v>
      </c>
      <c r="I122" s="38">
        <f t="shared" si="53"/>
        <v>0.28115140256001947</v>
      </c>
      <c r="J122" s="38">
        <f t="shared" si="53"/>
        <v>0.32315200910320396</v>
      </c>
      <c r="K122" s="38">
        <f t="shared" si="53"/>
        <v>0.37242720255488704</v>
      </c>
      <c r="L122" s="38">
        <f t="shared" si="53"/>
        <v>0.428418295499289</v>
      </c>
      <c r="M122" s="38">
        <f t="shared" si="53"/>
        <v>0.48954829215069662</v>
      </c>
      <c r="N122" s="38">
        <f t="shared" si="53"/>
        <v>0.55324514325964524</v>
      </c>
      <c r="O122" s="38">
        <f t="shared" si="53"/>
        <v>0.61632768798309012</v>
      </c>
      <c r="P122" s="38">
        <f t="shared" si="53"/>
        <v>0.67566753834338311</v>
      </c>
      <c r="Q122" s="38">
        <f t="shared" si="53"/>
        <v>0.7288478946900665</v>
      </c>
      <c r="R122" s="38">
        <f t="shared" si="53"/>
        <v>0.77453333691969972</v>
      </c>
      <c r="S122" s="38">
        <f t="shared" si="53"/>
        <v>0.81245609599930879</v>
      </c>
      <c r="T122" s="38">
        <f t="shared" si="53"/>
        <v>0.84313514967297143</v>
      </c>
      <c r="U122" s="38">
        <f t="shared" si="53"/>
        <v>0.86751960747242673</v>
      </c>
      <c r="V122" s="38">
        <f t="shared" si="53"/>
        <v>0.88669378628751339</v>
      </c>
      <c r="W122" s="38">
        <f t="shared" si="53"/>
        <v>0.90169167098293168</v>
      </c>
      <c r="X122" s="43">
        <f t="shared" si="53"/>
        <v>0.91340840812196233</v>
      </c>
    </row>
    <row r="123" spans="2:24" x14ac:dyDescent="0.35">
      <c r="B123" s="75"/>
      <c r="C123" s="24">
        <v>0.3</v>
      </c>
      <c r="D123" s="42">
        <f t="shared" ref="D123:X123" si="54">1/(1+EXP(-D149))</f>
        <v>0.17592089612405723</v>
      </c>
      <c r="E123" s="38">
        <f t="shared" si="54"/>
        <v>0.19460372104374768</v>
      </c>
      <c r="F123" s="38">
        <f t="shared" si="54"/>
        <v>0.21781495826803404</v>
      </c>
      <c r="G123" s="38">
        <f t="shared" si="54"/>
        <v>0.2464764372502842</v>
      </c>
      <c r="H123" s="38">
        <f t="shared" si="54"/>
        <v>0.28149022371256488</v>
      </c>
      <c r="I123" s="38">
        <f t="shared" si="54"/>
        <v>0.32355491301091494</v>
      </c>
      <c r="J123" s="38">
        <f t="shared" si="54"/>
        <v>0.37289314980160609</v>
      </c>
      <c r="K123" s="38">
        <f t="shared" si="54"/>
        <v>0.42893803236648781</v>
      </c>
      <c r="L123" s="38">
        <f t="shared" si="54"/>
        <v>0.49010319279034875</v>
      </c>
      <c r="M123" s="38">
        <f t="shared" si="54"/>
        <v>0.55380898455203675</v>
      </c>
      <c r="N123" s="38">
        <f t="shared" si="54"/>
        <v>0.61687158179225143</v>
      </c>
      <c r="O123" s="38">
        <f t="shared" si="54"/>
        <v>0.67616624261575353</v>
      </c>
      <c r="P123" s="38">
        <f t="shared" si="54"/>
        <v>0.7292846553271799</v>
      </c>
      <c r="Q123" s="38">
        <f t="shared" si="54"/>
        <v>0.77490139965556049</v>
      </c>
      <c r="R123" s="38">
        <f t="shared" si="54"/>
        <v>0.81275712148109158</v>
      </c>
      <c r="S123" s="38">
        <f t="shared" si="54"/>
        <v>0.84337613295031433</v>
      </c>
      <c r="T123" s="38">
        <f t="shared" si="54"/>
        <v>0.86770987494265694</v>
      </c>
      <c r="U123" s="38">
        <f t="shared" si="54"/>
        <v>0.88684286862092443</v>
      </c>
      <c r="V123" s="38">
        <f t="shared" si="54"/>
        <v>0.90180814159426548</v>
      </c>
      <c r="W123" s="38">
        <f t="shared" si="54"/>
        <v>0.91349943828752522</v>
      </c>
      <c r="X123" s="43">
        <f t="shared" si="54"/>
        <v>0.92264726183889989</v>
      </c>
    </row>
    <row r="124" spans="2:24" x14ac:dyDescent="0.35">
      <c r="B124" s="75"/>
      <c r="C124" s="24">
        <v>0.25</v>
      </c>
      <c r="D124" s="42">
        <f t="shared" ref="D124:X124" si="55">1/(1+EXP(-D150))</f>
        <v>0.19478730712125664</v>
      </c>
      <c r="E124" s="38">
        <f t="shared" si="55"/>
        <v>0.21804251407865455</v>
      </c>
      <c r="F124" s="38">
        <f t="shared" si="55"/>
        <v>0.24675620668207862</v>
      </c>
      <c r="G124" s="38">
        <f t="shared" si="55"/>
        <v>0.28182959624434017</v>
      </c>
      <c r="H124" s="38">
        <f t="shared" si="55"/>
        <v>0.32395838775557939</v>
      </c>
      <c r="I124" s="38">
        <f t="shared" si="55"/>
        <v>0.37335962545402063</v>
      </c>
      <c r="J124" s="38">
        <f t="shared" si="55"/>
        <v>0.42945817421444632</v>
      </c>
      <c r="K124" s="38">
        <f t="shared" si="55"/>
        <v>0.4906582951973481</v>
      </c>
      <c r="L124" s="38">
        <f t="shared" si="55"/>
        <v>0.55437277543686914</v>
      </c>
      <c r="M124" s="38">
        <f t="shared" si="55"/>
        <v>0.61741517764564879</v>
      </c>
      <c r="N124" s="38">
        <f t="shared" si="55"/>
        <v>0.67666445918440177</v>
      </c>
      <c r="O124" s="38">
        <f>1/(1+EXP(-O150))</f>
        <v>0.72972082541886718</v>
      </c>
      <c r="P124" s="38">
        <f t="shared" si="55"/>
        <v>0.7752688536916833</v>
      </c>
      <c r="Q124" s="38">
        <f t="shared" si="55"/>
        <v>0.81305758147044382</v>
      </c>
      <c r="R124" s="38">
        <f t="shared" si="55"/>
        <v>0.84361662666827275</v>
      </c>
      <c r="S124" s="38">
        <f t="shared" si="55"/>
        <v>0.86789973837485057</v>
      </c>
      <c r="T124" s="38">
        <f t="shared" si="55"/>
        <v>0.88699162779128649</v>
      </c>
      <c r="U124" s="38">
        <f t="shared" si="55"/>
        <v>0.90192435867673904</v>
      </c>
      <c r="V124" s="38">
        <f t="shared" si="55"/>
        <v>0.91359027165449569</v>
      </c>
      <c r="W124" s="38">
        <f t="shared" si="55"/>
        <v>0.92271844205922815</v>
      </c>
      <c r="X124" s="43">
        <f t="shared" si="55"/>
        <v>0.92988462219269929</v>
      </c>
    </row>
    <row r="125" spans="2:24" x14ac:dyDescent="0.35">
      <c r="B125" s="75"/>
      <c r="C125" s="24">
        <v>0.2</v>
      </c>
      <c r="D125" s="42">
        <f t="shared" ref="D125:X125" si="56">1/(1+EXP(-D151))</f>
        <v>0.21827049445181848</v>
      </c>
      <c r="E125" s="38">
        <f t="shared" si="56"/>
        <v>0.24703647194972111</v>
      </c>
      <c r="F125" s="38">
        <f t="shared" si="56"/>
        <v>0.28216952052342631</v>
      </c>
      <c r="G125" s="38">
        <f t="shared" si="56"/>
        <v>0.32436243326992359</v>
      </c>
      <c r="H125" s="38">
        <f t="shared" si="56"/>
        <v>0.37382662879500733</v>
      </c>
      <c r="I125" s="38">
        <f t="shared" si="56"/>
        <v>0.42997871957708084</v>
      </c>
      <c r="J125" s="38">
        <f t="shared" si="56"/>
        <v>0.4912135972947298</v>
      </c>
      <c r="K125" s="38">
        <f t="shared" si="56"/>
        <v>0.55493651362418472</v>
      </c>
      <c r="L125" s="38">
        <f t="shared" si="56"/>
        <v>0.61795847355173328</v>
      </c>
      <c r="M125" s="38">
        <f t="shared" si="56"/>
        <v>0.67716218674390383</v>
      </c>
      <c r="N125" s="38">
        <f t="shared" si="56"/>
        <v>0.73015640445846963</v>
      </c>
      <c r="O125" s="38">
        <f t="shared" si="56"/>
        <v>0.77563569918344033</v>
      </c>
      <c r="P125" s="38">
        <f t="shared" si="56"/>
        <v>0.81335747653399149</v>
      </c>
      <c r="Q125" s="38">
        <f t="shared" si="56"/>
        <v>0.84385663156663715</v>
      </c>
      <c r="R125" s="38">
        <f t="shared" si="56"/>
        <v>0.86808919851705846</v>
      </c>
      <c r="S125" s="38">
        <f t="shared" si="56"/>
        <v>0.8871400644670504</v>
      </c>
      <c r="T125" s="38">
        <f t="shared" si="56"/>
        <v>0.90204032278701496</v>
      </c>
      <c r="U125" s="38">
        <f t="shared" si="56"/>
        <v>0.91368090866733309</v>
      </c>
      <c r="V125" s="38">
        <f t="shared" si="56"/>
        <v>0.92278947054070648</v>
      </c>
      <c r="W125" s="38">
        <f t="shared" si="56"/>
        <v>0.92994050316766541</v>
      </c>
      <c r="X125" s="43">
        <f t="shared" si="56"/>
        <v>0.93557877885464125</v>
      </c>
    </row>
    <row r="126" spans="2:24" x14ac:dyDescent="0.35">
      <c r="B126" s="75"/>
      <c r="C126" s="24">
        <v>0.15</v>
      </c>
      <c r="D126" s="42">
        <f t="shared" ref="D126:X126" si="57">1/(1+EXP(-D152))</f>
        <v>0.24731723364000388</v>
      </c>
      <c r="E126" s="38">
        <f t="shared" si="57"/>
        <v>0.2825099969150654</v>
      </c>
      <c r="F126" s="38">
        <f t="shared" si="57"/>
        <v>0.32476704948180862</v>
      </c>
      <c r="G126" s="38">
        <f t="shared" si="57"/>
        <v>0.37429415910100056</v>
      </c>
      <c r="H126" s="38">
        <f t="shared" si="57"/>
        <v>0.43049966698190439</v>
      </c>
      <c r="I126" s="38">
        <f t="shared" si="57"/>
        <v>0.4917690970015885</v>
      </c>
      <c r="J126" s="38">
        <f t="shared" si="57"/>
        <v>0.5555001968244293</v>
      </c>
      <c r="K126" s="38">
        <f t="shared" si="57"/>
        <v>0.61850146752365531</v>
      </c>
      <c r="L126" s="38">
        <f t="shared" si="57"/>
        <v>0.67765942399582169</v>
      </c>
      <c r="M126" s="38">
        <f t="shared" si="57"/>
        <v>0.73059139194604461</v>
      </c>
      <c r="N126" s="38">
        <f t="shared" si="57"/>
        <v>0.77600193629098424</v>
      </c>
      <c r="O126" s="38">
        <f t="shared" si="57"/>
        <v>0.81365680724084344</v>
      </c>
      <c r="P126" s="38">
        <f t="shared" si="57"/>
        <v>0.84409614838586811</v>
      </c>
      <c r="Q126" s="38">
        <f t="shared" si="57"/>
        <v>0.86827825611691256</v>
      </c>
      <c r="R126" s="38">
        <f t="shared" si="57"/>
        <v>0.88728817931576021</v>
      </c>
      <c r="S126" s="38">
        <f t="shared" si="57"/>
        <v>0.90215603448073578</v>
      </c>
      <c r="T126" s="38">
        <f t="shared" si="57"/>
        <v>0.91377134976955732</v>
      </c>
      <c r="U126" s="38">
        <f t="shared" si="57"/>
        <v>0.92286034762873614</v>
      </c>
      <c r="V126" s="38">
        <f t="shared" si="57"/>
        <v>0.92999626716755113</v>
      </c>
      <c r="W126" s="38">
        <f t="shared" si="57"/>
        <v>0.9356228529897227</v>
      </c>
      <c r="X126" s="43">
        <f t="shared" si="57"/>
        <v>0.94008016723775312</v>
      </c>
    </row>
    <row r="127" spans="2:24" x14ac:dyDescent="0.35">
      <c r="B127" s="75"/>
      <c r="C127" s="24">
        <v>0.1</v>
      </c>
      <c r="D127" s="42">
        <f t="shared" ref="D127:X127" si="58">1/(1+EXP(-D153))</f>
        <v>0.28285102578164345</v>
      </c>
      <c r="E127" s="38">
        <f t="shared" si="58"/>
        <v>0.32517223631421288</v>
      </c>
      <c r="F127" s="38">
        <f t="shared" si="58"/>
        <v>0.37476221564198364</v>
      </c>
      <c r="G127" s="38">
        <f t="shared" si="58"/>
        <v>0.43102101495003886</v>
      </c>
      <c r="H127" s="38">
        <f t="shared" si="58"/>
        <v>0.49232479223311065</v>
      </c>
      <c r="I127" s="38">
        <f t="shared" si="58"/>
        <v>0.55606382274849409</v>
      </c>
      <c r="J127" s="38">
        <f t="shared" si="58"/>
        <v>0.61904415757929498</v>
      </c>
      <c r="K127" s="38">
        <f t="shared" si="58"/>
        <v>0.67815616964871361</v>
      </c>
      <c r="L127" s="38">
        <f t="shared" si="58"/>
        <v>0.73102578738835244</v>
      </c>
      <c r="M127" s="38">
        <f t="shared" si="58"/>
        <v>0.77636756517922778</v>
      </c>
      <c r="N127" s="38">
        <f t="shared" si="58"/>
        <v>0.81395557416257258</v>
      </c>
      <c r="O127" s="38">
        <f t="shared" si="58"/>
        <v>0.84433517786708512</v>
      </c>
      <c r="P127" s="38">
        <f t="shared" si="58"/>
        <v>0.86846691192162051</v>
      </c>
      <c r="Q127" s="38">
        <f t="shared" si="58"/>
        <v>0.88743597300404853</v>
      </c>
      <c r="R127" s="38">
        <f t="shared" si="58"/>
        <v>0.90227149431252562</v>
      </c>
      <c r="S127" s="38">
        <f t="shared" si="58"/>
        <v>0.91386159540375045</v>
      </c>
      <c r="T127" s="38">
        <f t="shared" si="58"/>
        <v>0.92293107366793237</v>
      </c>
      <c r="U127" s="38">
        <f t="shared" si="58"/>
        <v>0.93005191445712898</v>
      </c>
      <c r="V127" s="38">
        <f t="shared" si="58"/>
        <v>0.93566683670897499</v>
      </c>
      <c r="W127" s="38">
        <f t="shared" si="58"/>
        <v>0.94011509725855213</v>
      </c>
      <c r="X127" s="43">
        <f t="shared" si="58"/>
        <v>0.9436557170145119</v>
      </c>
    </row>
    <row r="128" spans="2:24" x14ac:dyDescent="0.35">
      <c r="B128" s="75"/>
      <c r="C128" s="24">
        <v>0.05</v>
      </c>
      <c r="D128" s="42">
        <f t="shared" ref="D128:X128" si="59">1/(1+EXP(-D154))</f>
        <v>0.32557799368521489</v>
      </c>
      <c r="E128" s="38">
        <f t="shared" si="59"/>
        <v>0.37523079768148032</v>
      </c>
      <c r="F128" s="38">
        <f t="shared" si="59"/>
        <v>0.43154276199622565</v>
      </c>
      <c r="G128" s="38">
        <f t="shared" si="59"/>
        <v>0.49288068090060699</v>
      </c>
      <c r="H128" s="38">
        <f t="shared" si="59"/>
        <v>0.55662738910775611</v>
      </c>
      <c r="I128" s="38">
        <f t="shared" si="59"/>
        <v>0.61958654174129535</v>
      </c>
      <c r="J128" s="38">
        <f t="shared" si="59"/>
        <v>0.67865242241814128</v>
      </c>
      <c r="K128" s="38">
        <f t="shared" si="59"/>
        <v>0.73145959029884622</v>
      </c>
      <c r="L128" s="38">
        <f t="shared" si="59"/>
        <v>0.77673258601782336</v>
      </c>
      <c r="M128" s="38">
        <f t="shared" si="59"/>
        <v>0.81425377787319919</v>
      </c>
      <c r="N128" s="38">
        <f t="shared" si="59"/>
        <v>0.84457372075205295</v>
      </c>
      <c r="O128" s="38">
        <f t="shared" si="59"/>
        <v>0.86865516667795761</v>
      </c>
      <c r="P128" s="38">
        <f t="shared" si="59"/>
        <v>0.88758344619763607</v>
      </c>
      <c r="Q128" s="38">
        <f t="shared" si="59"/>
        <v>0.90238670283598976</v>
      </c>
      <c r="R128" s="38">
        <f t="shared" si="59"/>
        <v>0.91395164601155765</v>
      </c>
      <c r="S128" s="38">
        <f t="shared" si="59"/>
        <v>0.923001649002126</v>
      </c>
      <c r="T128" s="38">
        <f t="shared" si="59"/>
        <v>0.93010744530054723</v>
      </c>
      <c r="U128" s="38">
        <f t="shared" si="59"/>
        <v>0.93571073021414741</v>
      </c>
      <c r="V128" s="38">
        <f t="shared" si="59"/>
        <v>0.9401499570855244</v>
      </c>
      <c r="W128" s="38">
        <f t="shared" si="59"/>
        <v>0.94368353051976606</v>
      </c>
      <c r="X128" s="43">
        <f t="shared" si="59"/>
        <v>0.94650885585256472</v>
      </c>
    </row>
    <row r="129" spans="2:24" ht="15" thickBot="1" x14ac:dyDescent="0.4">
      <c r="B129" s="76"/>
      <c r="C129" s="25">
        <v>0</v>
      </c>
      <c r="D129" s="44">
        <f t="shared" ref="D129:X129" si="60">1/(1+EXP(-D155))</f>
        <v>0.37569990447654672</v>
      </c>
      <c r="E129" s="45">
        <f t="shared" si="60"/>
        <v>0.43206490662883656</v>
      </c>
      <c r="F129" s="45">
        <f t="shared" si="60"/>
        <v>0.49343676091154492</v>
      </c>
      <c r="G129" s="45">
        <f t="shared" si="60"/>
        <v>0.55719089361412055</v>
      </c>
      <c r="H129" s="45">
        <f t="shared" si="60"/>
        <v>0.62012861803708941</v>
      </c>
      <c r="I129" s="45">
        <f t="shared" si="60"/>
        <v>0.67914818102667851</v>
      </c>
      <c r="J129" s="45">
        <f t="shared" si="60"/>
        <v>0.73189280019765812</v>
      </c>
      <c r="K129" s="45">
        <f t="shared" si="60"/>
        <v>0.77709699898114204</v>
      </c>
      <c r="L129" s="45">
        <f t="shared" si="60"/>
        <v>0.81455141894916905</v>
      </c>
      <c r="M129" s="45">
        <f t="shared" si="60"/>
        <v>0.84481177778316996</v>
      </c>
      <c r="N129" s="45">
        <f t="shared" si="60"/>
        <v>0.86884302113226097</v>
      </c>
      <c r="O129" s="45">
        <f t="shared" si="60"/>
        <v>0.88773059956132838</v>
      </c>
      <c r="P129" s="45">
        <f t="shared" si="60"/>
        <v>0.90250166060371395</v>
      </c>
      <c r="Q129" s="45">
        <f t="shared" si="60"/>
        <v>0.91404150203368806</v>
      </c>
      <c r="R129" s="45">
        <f t="shared" si="60"/>
        <v>0.92307207397436475</v>
      </c>
      <c r="S129" s="45">
        <f t="shared" si="60"/>
        <v>0.93016285996133208</v>
      </c>
      <c r="T129" s="45">
        <f t="shared" si="60"/>
        <v>0.93575453370650885</v>
      </c>
      <c r="U129" s="45">
        <f t="shared" si="60"/>
        <v>0.94018474687226139</v>
      </c>
      <c r="V129" s="45">
        <f t="shared" si="60"/>
        <v>0.94371128924081382</v>
      </c>
      <c r="W129" s="45">
        <f t="shared" si="60"/>
        <v>0.94653110025071385</v>
      </c>
      <c r="X129" s="46">
        <f t="shared" si="60"/>
        <v>0.94879513817230732</v>
      </c>
    </row>
    <row r="130" spans="2:24" x14ac:dyDescent="0.35">
      <c r="C130" s="9"/>
      <c r="D130" s="28">
        <v>0</v>
      </c>
      <c r="E130" s="26">
        <v>0.05</v>
      </c>
      <c r="F130" s="26">
        <v>0.1</v>
      </c>
      <c r="G130" s="26">
        <v>0.15</v>
      </c>
      <c r="H130" s="26">
        <v>0.2</v>
      </c>
      <c r="I130" s="26">
        <v>0.25</v>
      </c>
      <c r="J130" s="26">
        <v>0.3</v>
      </c>
      <c r="K130" s="26">
        <v>0.35</v>
      </c>
      <c r="L130" s="26">
        <v>0.4</v>
      </c>
      <c r="M130" s="26">
        <v>0.45</v>
      </c>
      <c r="N130" s="26">
        <v>0.5</v>
      </c>
      <c r="O130" s="26">
        <v>0.55000000000000004</v>
      </c>
      <c r="P130" s="26">
        <v>0.6</v>
      </c>
      <c r="Q130" s="26">
        <v>0.65</v>
      </c>
      <c r="R130" s="26">
        <v>0.7</v>
      </c>
      <c r="S130" s="26">
        <v>0.75</v>
      </c>
      <c r="T130" s="26">
        <v>0.8</v>
      </c>
      <c r="U130" s="26">
        <v>0.85</v>
      </c>
      <c r="V130" s="26">
        <v>0.9</v>
      </c>
      <c r="W130" s="26">
        <v>0.95</v>
      </c>
      <c r="X130" s="27">
        <v>1</v>
      </c>
    </row>
    <row r="131" spans="2:24" ht="21.5" thickBot="1" x14ac:dyDescent="0.55000000000000004">
      <c r="C131" s="9"/>
      <c r="D131" s="68" t="s">
        <v>64</v>
      </c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R131" s="69"/>
      <c r="S131" s="69"/>
      <c r="T131" s="69"/>
      <c r="U131" s="69"/>
      <c r="V131" s="69"/>
      <c r="W131" s="69"/>
      <c r="X131" s="70"/>
    </row>
    <row r="133" spans="2:24" ht="15" thickBot="1" x14ac:dyDescent="0.4"/>
    <row r="134" spans="2:24" ht="21.5" thickBot="1" x14ac:dyDescent="0.55000000000000004">
      <c r="B134" s="71" t="s">
        <v>15</v>
      </c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3"/>
    </row>
    <row r="135" spans="2:24" x14ac:dyDescent="0.35">
      <c r="B135" s="74" t="s">
        <v>6</v>
      </c>
      <c r="C135" s="27">
        <v>1</v>
      </c>
      <c r="D135" s="40">
        <f>(D161*$P$7) + $P$10</f>
        <v>-2.173257741926903</v>
      </c>
      <c r="E135" s="39">
        <f t="shared" ref="E135:X135" si="61">(E161*$P$7) + $P$10</f>
        <v>-2.1627825550881958</v>
      </c>
      <c r="F135" s="39">
        <f t="shared" si="61"/>
        <v>-2.1501138780691949</v>
      </c>
      <c r="G135" s="39">
        <f t="shared" si="61"/>
        <v>-2.1348065432749284</v>
      </c>
      <c r="H135" s="39">
        <f t="shared" si="61"/>
        <v>-2.1163315955385449</v>
      </c>
      <c r="I135" s="39">
        <f t="shared" si="61"/>
        <v>-2.0940635578592599</v>
      </c>
      <c r="J135" s="39">
        <f t="shared" si="61"/>
        <v>-2.0672671994571727</v>
      </c>
      <c r="K135" s="39">
        <f t="shared" si="61"/>
        <v>-2.0350845714991723</v>
      </c>
      <c r="L135" s="39">
        <f t="shared" si="61"/>
        <v>-1.9965235213689243</v>
      </c>
      <c r="M135" s="39">
        <f t="shared" si="61"/>
        <v>-1.9504494843017677</v>
      </c>
      <c r="N135" s="39">
        <f t="shared" si="61"/>
        <v>-1.8955830845067689</v>
      </c>
      <c r="O135" s="39">
        <f t="shared" si="61"/>
        <v>-1.8305069252046877</v>
      </c>
      <c r="P135" s="39">
        <f t="shared" si="61"/>
        <v>-1.7536858163340348</v>
      </c>
      <c r="Q135" s="39">
        <f t="shared" si="61"/>
        <v>-1.663505394292085</v>
      </c>
      <c r="R135" s="39">
        <f t="shared" si="61"/>
        <v>-1.5583343184464209</v>
      </c>
      <c r="S135" s="39">
        <f t="shared" si="61"/>
        <v>-1.4366145342318621</v>
      </c>
      <c r="T135" s="39">
        <f t="shared" si="61"/>
        <v>-1.2969819227381314</v>
      </c>
      <c r="U135" s="39">
        <f t="shared" si="61"/>
        <v>-1.1384154953841892</v>
      </c>
      <c r="V135" s="39">
        <f t="shared" si="61"/>
        <v>-0.96040691780683551</v>
      </c>
      <c r="W135" s="39">
        <f t="shared" si="61"/>
        <v>-0.76313400750075844</v>
      </c>
      <c r="X135" s="41">
        <f t="shared" si="61"/>
        <v>-0.54761343272039587</v>
      </c>
    </row>
    <row r="136" spans="2:24" x14ac:dyDescent="0.35">
      <c r="B136" s="75"/>
      <c r="C136" s="24">
        <v>0.95</v>
      </c>
      <c r="D136" s="42">
        <f>(D162*$P$7) + $P$10</f>
        <v>-2.1626810188993377</v>
      </c>
      <c r="E136" s="38">
        <f t="shared" ref="E136:X136" si="62">(E162*$P$7) + $P$10</f>
        <v>-2.1499911321777154</v>
      </c>
      <c r="F136" s="38">
        <f t="shared" si="62"/>
        <v>-2.1346583073030576</v>
      </c>
      <c r="G136" s="38">
        <f t="shared" si="62"/>
        <v>-2.1161527947021077</v>
      </c>
      <c r="H136" s="38">
        <f t="shared" si="62"/>
        <v>-2.0938482075981586</v>
      </c>
      <c r="I136" s="38">
        <f t="shared" si="62"/>
        <v>-2.0670082885237653</v>
      </c>
      <c r="J136" s="38">
        <f t="shared" si="62"/>
        <v>-2.0347739520376269</v>
      </c>
      <c r="K136" s="38">
        <f t="shared" si="62"/>
        <v>-1.9961518190607708</v>
      </c>
      <c r="L136" s="38">
        <f t="shared" si="62"/>
        <v>-1.9500060474988579</v>
      </c>
      <c r="M136" s="38">
        <f t="shared" si="62"/>
        <v>-1.89505599832856</v>
      </c>
      <c r="N136" s="38">
        <f t="shared" si="62"/>
        <v>-1.8298831243408806</v>
      </c>
      <c r="O136" s="38">
        <f t="shared" si="62"/>
        <v>-1.7529513375893377</v>
      </c>
      <c r="P136" s="38">
        <f t="shared" si="62"/>
        <v>-1.6626458145799325</v>
      </c>
      <c r="Q136" s="38">
        <f t="shared" si="62"/>
        <v>-1.5573354226115637</v>
      </c>
      <c r="R136" s="38">
        <f t="shared" si="62"/>
        <v>-1.435463245232335</v>
      </c>
      <c r="S136" s="38">
        <f t="shared" si="62"/>
        <v>-1.2956674993616755</v>
      </c>
      <c r="T136" s="38">
        <f t="shared" si="62"/>
        <v>-1.1369309560850893</v>
      </c>
      <c r="U136" s="38">
        <f t="shared" si="62"/>
        <v>-0.95875058384786849</v>
      </c>
      <c r="V136" s="38">
        <f t="shared" si="62"/>
        <v>-0.7613109825015727</v>
      </c>
      <c r="W136" s="38">
        <f t="shared" si="62"/>
        <v>-0.54563676735899547</v>
      </c>
      <c r="X136" s="43">
        <f t="shared" si="62"/>
        <v>-0.31369304055524738</v>
      </c>
    </row>
    <row r="137" spans="2:24" x14ac:dyDescent="0.35">
      <c r="B137" s="75"/>
      <c r="C137" s="24">
        <v>0.9</v>
      </c>
      <c r="D137" s="42">
        <f t="shared" ref="D137:X137" si="63">(D163*$P$7) + $P$10</f>
        <v>-2.1498681812900822</v>
      </c>
      <c r="E137" s="38">
        <f t="shared" si="63"/>
        <v>-2.1345098252198098</v>
      </c>
      <c r="F137" s="38">
        <f t="shared" si="63"/>
        <v>-2.1159736991271458</v>
      </c>
      <c r="G137" s="38">
        <f t="shared" si="63"/>
        <v>-2.0936325054254321</v>
      </c>
      <c r="H137" s="38">
        <f t="shared" si="63"/>
        <v>-2.0667489589442507</v>
      </c>
      <c r="I137" s="38">
        <f t="shared" si="63"/>
        <v>-2.0344628367308704</v>
      </c>
      <c r="J137" s="38">
        <f t="shared" si="63"/>
        <v>-1.9957795325920091</v>
      </c>
      <c r="K137" s="38">
        <f t="shared" si="63"/>
        <v>-1.9495619269002227</v>
      </c>
      <c r="L137" s="38">
        <f t="shared" si="63"/>
        <v>-1.8945281179078148</v>
      </c>
      <c r="M137" s="38">
        <f t="shared" si="63"/>
        <v>-1.8292584095274627</v>
      </c>
      <c r="N137" s="38">
        <f t="shared" si="63"/>
        <v>-1.7522158189111594</v>
      </c>
      <c r="O137" s="38">
        <f t="shared" si="63"/>
        <v>-1.6617850674981756</v>
      </c>
      <c r="P137" s="38">
        <f t="shared" si="63"/>
        <v>-1.5563352375421933</v>
      </c>
      <c r="Q137" s="38">
        <f t="shared" si="63"/>
        <v>-1.4343105601184509</v>
      </c>
      <c r="R137" s="38">
        <f t="shared" si="63"/>
        <v>-1.2943515996483999</v>
      </c>
      <c r="S137" s="38">
        <f t="shared" si="63"/>
        <v>-1.1354449001831777</v>
      </c>
      <c r="T137" s="38">
        <f t="shared" si="63"/>
        <v>-0.95709274662730093</v>
      </c>
      <c r="U137" s="38">
        <f t="shared" si="63"/>
        <v>-0.75948653324496584</v>
      </c>
      <c r="V137" s="38">
        <f t="shared" si="63"/>
        <v>-0.54365883043058894</v>
      </c>
      <c r="W137" s="38">
        <f t="shared" si="63"/>
        <v>-0.31158325437914258</v>
      </c>
      <c r="X137" s="43">
        <f t="shared" si="63"/>
        <v>-6.6190989078046325E-2</v>
      </c>
    </row>
    <row r="138" spans="2:24" x14ac:dyDescent="0.35">
      <c r="B138" s="75"/>
      <c r="C138" s="24">
        <v>0.85</v>
      </c>
      <c r="D138" s="42">
        <f t="shared" ref="D138:X138" si="64">(D164*$P$7) + $P$10</f>
        <v>-2.1343610966306912</v>
      </c>
      <c r="E138" s="38">
        <f t="shared" si="64"/>
        <v>-2.1157943083483466</v>
      </c>
      <c r="F138" s="38">
        <f t="shared" si="64"/>
        <v>-2.0934164507958011</v>
      </c>
      <c r="G138" s="38">
        <f t="shared" si="64"/>
        <v>-2.0664892100847601</v>
      </c>
      <c r="H138" s="38">
        <f t="shared" si="64"/>
        <v>-2.0341512248493556</v>
      </c>
      <c r="I138" s="38">
        <f t="shared" si="64"/>
        <v>-1.9954066611333225</v>
      </c>
      <c r="J138" s="38">
        <f t="shared" si="64"/>
        <v>-1.9491171215777097</v>
      </c>
      <c r="K138" s="38">
        <f t="shared" si="64"/>
        <v>-1.8939994422261295</v>
      </c>
      <c r="L138" s="38">
        <f t="shared" si="64"/>
        <v>-1.8286327796752289</v>
      </c>
      <c r="M138" s="38">
        <f t="shared" si="64"/>
        <v>-1.7514792591734036</v>
      </c>
      <c r="N138" s="38">
        <f t="shared" si="64"/>
        <v>-1.6609231519357108</v>
      </c>
      <c r="O138" s="38">
        <f t="shared" si="64"/>
        <v>-1.5553337622146755</v>
      </c>
      <c r="P138" s="38">
        <f t="shared" si="64"/>
        <v>-1.4331564780476183</v>
      </c>
      <c r="Q138" s="38">
        <f t="shared" si="64"/>
        <v>-1.2930342230483018</v>
      </c>
      <c r="R138" s="38">
        <f t="shared" si="64"/>
        <v>-1.1339573275422667</v>
      </c>
      <c r="S138" s="38">
        <f t="shared" si="64"/>
        <v>-0.95543340653936637</v>
      </c>
      <c r="T138" s="38">
        <f t="shared" si="64"/>
        <v>-0.75766066074775584</v>
      </c>
      <c r="U138" s="38">
        <f t="shared" si="64"/>
        <v>-0.54167962361975697</v>
      </c>
      <c r="V138" s="38">
        <f t="shared" si="64"/>
        <v>-0.30947242685201082</v>
      </c>
      <c r="W138" s="38">
        <f t="shared" si="64"/>
        <v>-6.3978466322017535E-2</v>
      </c>
      <c r="X138" s="43">
        <f t="shared" si="64"/>
        <v>0.19099636008483412</v>
      </c>
    </row>
    <row r="139" spans="2:24" x14ac:dyDescent="0.35">
      <c r="B139" s="75"/>
      <c r="C139" s="24">
        <v>0.8</v>
      </c>
      <c r="D139" s="42">
        <f t="shared" ref="D139:X139" si="65">(D165*$P$7) + $P$10</f>
        <v>-2.1156146218997298</v>
      </c>
      <c r="E139" s="38">
        <f t="shared" si="65"/>
        <v>-2.0932000431632414</v>
      </c>
      <c r="F139" s="38">
        <f t="shared" si="65"/>
        <v>-2.0662290413106086</v>
      </c>
      <c r="G139" s="38">
        <f t="shared" si="65"/>
        <v>-2.0338391156626661</v>
      </c>
      <c r="H139" s="38">
        <f t="shared" si="65"/>
        <v>-1.9950332038545102</v>
      </c>
      <c r="I139" s="38">
        <f t="shared" si="65"/>
        <v>-1.9486716306023188</v>
      </c>
      <c r="J139" s="38">
        <f t="shared" si="65"/>
        <v>-1.8934699702643736</v>
      </c>
      <c r="K139" s="38">
        <f t="shared" si="65"/>
        <v>-1.8280062336944782</v>
      </c>
      <c r="L139" s="38">
        <f t="shared" si="65"/>
        <v>-1.7507416572498518</v>
      </c>
      <c r="M139" s="38">
        <f t="shared" si="65"/>
        <v>-1.6600600667818579</v>
      </c>
      <c r="N139" s="38">
        <f t="shared" si="65"/>
        <v>-1.5543309956065345</v>
      </c>
      <c r="O139" s="38">
        <f t="shared" si="65"/>
        <v>-1.4320009981793183</v>
      </c>
      <c r="P139" s="38">
        <f t="shared" si="65"/>
        <v>-1.2917153690144918</v>
      </c>
      <c r="Q139" s="38">
        <f t="shared" si="65"/>
        <v>-1.1324682380303615</v>
      </c>
      <c r="R139" s="38">
        <f t="shared" si="65"/>
        <v>-0.95377256398343757</v>
      </c>
      <c r="S139" s="38">
        <f t="shared" si="65"/>
        <v>-0.75583336603253914</v>
      </c>
      <c r="T139" s="38">
        <f t="shared" si="65"/>
        <v>-0.53969914861698576</v>
      </c>
      <c r="U139" s="38">
        <f t="shared" si="65"/>
        <v>-0.30736056030957437</v>
      </c>
      <c r="V139" s="38">
        <f t="shared" si="65"/>
        <v>-6.1765201861441632E-2</v>
      </c>
      <c r="W139" s="38">
        <f t="shared" si="65"/>
        <v>0.19327413061928267</v>
      </c>
      <c r="X139" s="43">
        <f t="shared" si="65"/>
        <v>0.45328322765783646</v>
      </c>
    </row>
    <row r="140" spans="2:24" x14ac:dyDescent="0.35">
      <c r="B140" s="75"/>
      <c r="C140" s="24">
        <v>0.75</v>
      </c>
      <c r="D140" s="42">
        <f t="shared" ref="D140:X140" si="66">(D166*$P$7) + $P$10</f>
        <v>-2.0929832819809828</v>
      </c>
      <c r="E140" s="38">
        <f t="shared" si="66"/>
        <v>-2.0659684519862953</v>
      </c>
      <c r="F140" s="38">
        <f t="shared" si="66"/>
        <v>-2.0335265084395191</v>
      </c>
      <c r="G140" s="38">
        <f t="shared" si="66"/>
        <v>-1.9946591599244861</v>
      </c>
      <c r="H140" s="38">
        <f t="shared" si="66"/>
        <v>-1.9482254530442051</v>
      </c>
      <c r="I140" s="38">
        <f t="shared" si="66"/>
        <v>-1.8929397010026883</v>
      </c>
      <c r="J140" s="38">
        <f t="shared" si="66"/>
        <v>-1.8273787704950142</v>
      </c>
      <c r="K140" s="38">
        <f t="shared" si="66"/>
        <v>-1.7500030120141656</v>
      </c>
      <c r="L140" s="38">
        <f t="shared" si="66"/>
        <v>-1.6591958109263656</v>
      </c>
      <c r="M140" s="38">
        <f t="shared" si="66"/>
        <v>-1.5533269366964579</v>
      </c>
      <c r="N140" s="38">
        <f t="shared" si="66"/>
        <v>-1.430844119675112</v>
      </c>
      <c r="O140" s="38">
        <f t="shared" si="66"/>
        <v>-1.2903950370032047</v>
      </c>
      <c r="P140" s="38">
        <f t="shared" si="66"/>
        <v>-1.1309776315196614</v>
      </c>
      <c r="Q140" s="38">
        <f t="shared" si="66"/>
        <v>-0.95211021936403806</v>
      </c>
      <c r="R140" s="38">
        <f t="shared" si="66"/>
        <v>-0.75400465012768891</v>
      </c>
      <c r="S140" s="38">
        <f t="shared" si="66"/>
        <v>-0.53771740711866101</v>
      </c>
      <c r="T140" s="38">
        <f t="shared" si="66"/>
        <v>-0.30524765709291657</v>
      </c>
      <c r="U140" s="38">
        <f t="shared" si="66"/>
        <v>-5.9551198580195308E-2</v>
      </c>
      <c r="V140" s="38">
        <f t="shared" si="66"/>
        <v>0.195552290050371</v>
      </c>
      <c r="W140" s="38">
        <f t="shared" si="66"/>
        <v>0.45558397811913975</v>
      </c>
      <c r="X140" s="43">
        <f t="shared" si="66"/>
        <v>0.71570489668638659</v>
      </c>
    </row>
    <row r="141" spans="2:24" x14ac:dyDescent="0.35">
      <c r="B141" s="75"/>
      <c r="C141" s="24">
        <v>0.7</v>
      </c>
      <c r="D141" s="42">
        <f t="shared" ref="D141:X141" si="67">(D167*$P$7) + $P$10</f>
        <v>-2.065707441475503</v>
      </c>
      <c r="E141" s="38">
        <f t="shared" si="67"/>
        <v>-2.0332134024477617</v>
      </c>
      <c r="F141" s="38">
        <f t="shared" si="67"/>
        <v>-1.9942845285112796</v>
      </c>
      <c r="G141" s="38">
        <f t="shared" si="67"/>
        <v>-1.9477785879726772</v>
      </c>
      <c r="H141" s="38">
        <f t="shared" si="67"/>
        <v>-1.8924086334204917</v>
      </c>
      <c r="I141" s="38">
        <f t="shared" si="67"/>
        <v>-1.8267503889861481</v>
      </c>
      <c r="J141" s="38">
        <f t="shared" si="67"/>
        <v>-1.7492633223398921</v>
      </c>
      <c r="K141" s="38">
        <f t="shared" si="67"/>
        <v>-1.658330383259417</v>
      </c>
      <c r="L141" s="38">
        <f t="shared" si="67"/>
        <v>-1.5523215844643059</v>
      </c>
      <c r="M141" s="38">
        <f t="shared" si="67"/>
        <v>-1.4296858416986469</v>
      </c>
      <c r="N141" s="38">
        <f t="shared" si="67"/>
        <v>-1.2890732264738092</v>
      </c>
      <c r="O141" s="38">
        <f t="shared" si="67"/>
        <v>-1.1294855078865735</v>
      </c>
      <c r="P141" s="38">
        <f t="shared" si="67"/>
        <v>-0.95044637309084146</v>
      </c>
      <c r="Q141" s="38">
        <f t="shared" si="67"/>
        <v>-0.75217451406736591</v>
      </c>
      <c r="R141" s="38">
        <f t="shared" si="67"/>
        <v>-0.53573440082706414</v>
      </c>
      <c r="S141" s="38">
        <f t="shared" si="67"/>
        <v>-0.30313371954847046</v>
      </c>
      <c r="T141" s="38">
        <f t="shared" si="67"/>
        <v>-5.7336459366256864E-2</v>
      </c>
      <c r="U141" s="38">
        <f t="shared" si="67"/>
        <v>0.19783083512613642</v>
      </c>
      <c r="V141" s="38">
        <f t="shared" si="67"/>
        <v>0.45788473556360332</v>
      </c>
      <c r="W141" s="38">
        <f t="shared" si="67"/>
        <v>0.71798462675125219</v>
      </c>
      <c r="X141" s="43">
        <f t="shared" si="67"/>
        <v>0.97328648426280662</v>
      </c>
    </row>
    <row r="142" spans="2:24" x14ac:dyDescent="0.35">
      <c r="B142" s="75"/>
      <c r="C142" s="24">
        <v>0.65</v>
      </c>
      <c r="D142" s="42">
        <f t="shared" ref="D142:X142" si="68">(D168*$P$7) + $P$10</f>
        <v>-2.0328997969543745</v>
      </c>
      <c r="E142" s="38">
        <f t="shared" si="68"/>
        <v>-1.993909308782035</v>
      </c>
      <c r="F142" s="38">
        <f t="shared" si="68"/>
        <v>-1.9473310344561992</v>
      </c>
      <c r="G142" s="38">
        <f t="shared" si="68"/>
        <v>-1.8918767664964777</v>
      </c>
      <c r="H142" s="38">
        <f t="shared" si="68"/>
        <v>-1.8261210880767018</v>
      </c>
      <c r="I142" s="38">
        <f t="shared" si="68"/>
        <v>-1.7485225871004666</v>
      </c>
      <c r="J142" s="38">
        <f t="shared" si="68"/>
        <v>-1.6574637826716359</v>
      </c>
      <c r="K142" s="38">
        <f t="shared" si="68"/>
        <v>-1.5513149378911191</v>
      </c>
      <c r="L142" s="38">
        <f t="shared" si="68"/>
        <v>-1.428526163415669</v>
      </c>
      <c r="M142" s="38">
        <f t="shared" si="68"/>
        <v>-1.2877499368888143</v>
      </c>
      <c r="N142" s="38">
        <f t="shared" si="68"/>
        <v>-1.1279918670117222</v>
      </c>
      <c r="O142" s="38">
        <f t="shared" si="68"/>
        <v>-0.94878102557868682</v>
      </c>
      <c r="P142" s="38">
        <f t="shared" si="68"/>
        <v>-0.7503429588915167</v>
      </c>
      <c r="Q142" s="38">
        <f t="shared" si="68"/>
        <v>-0.53375013145037675</v>
      </c>
      <c r="R142" s="38">
        <f t="shared" si="68"/>
        <v>-0.30101875002800793</v>
      </c>
      <c r="S142" s="38">
        <f t="shared" si="68"/>
        <v>-5.5120987111692443E-2</v>
      </c>
      <c r="T142" s="38">
        <f t="shared" si="68"/>
        <v>0.20010976259237578</v>
      </c>
      <c r="U142" s="38">
        <f t="shared" si="68"/>
        <v>0.4601854966072958</v>
      </c>
      <c r="V142" s="38">
        <f t="shared" si="68"/>
        <v>0.72026398135543168</v>
      </c>
      <c r="W142" s="38">
        <f t="shared" si="68"/>
        <v>0.97550277935081287</v>
      </c>
      <c r="X142" s="43">
        <f t="shared" si="68"/>
        <v>1.2214133078420377</v>
      </c>
    </row>
    <row r="143" spans="2:24" x14ac:dyDescent="0.35">
      <c r="B143" s="75"/>
      <c r="C143" s="24">
        <v>0.6</v>
      </c>
      <c r="D143" s="42">
        <f t="shared" ref="D143:X143" si="69">(D169*$P$7) + $P$10</f>
        <v>-1.9935334999030132</v>
      </c>
      <c r="E143" s="38">
        <f t="shared" si="69"/>
        <v>-1.9468827915623901</v>
      </c>
      <c r="F143" s="38">
        <f t="shared" si="69"/>
        <v>-1.8913440992086179</v>
      </c>
      <c r="G143" s="38">
        <f t="shared" si="69"/>
        <v>-1.82549086667501</v>
      </c>
      <c r="H143" s="38">
        <f t="shared" si="69"/>
        <v>-1.7477808051692176</v>
      </c>
      <c r="I143" s="38">
        <f t="shared" si="69"/>
        <v>-1.6565960080540905</v>
      </c>
      <c r="J143" s="38">
        <f t="shared" si="69"/>
        <v>-1.5503069959591245</v>
      </c>
      <c r="K143" s="38">
        <f t="shared" si="69"/>
        <v>-1.4273650839940284</v>
      </c>
      <c r="L143" s="38">
        <f t="shared" si="69"/>
        <v>-1.2864251677138825</v>
      </c>
      <c r="M143" s="38">
        <f t="shared" si="69"/>
        <v>-1.1264967087799522</v>
      </c>
      <c r="N143" s="38">
        <f t="shared" si="69"/>
        <v>-0.94711417724758062</v>
      </c>
      <c r="O143" s="38">
        <f t="shared" si="69"/>
        <v>-0.74850998564587834</v>
      </c>
      <c r="P143" s="38">
        <f t="shared" si="69"/>
        <v>-0.53176460070267062</v>
      </c>
      <c r="Q143" s="38">
        <f t="shared" si="69"/>
        <v>-0.29890275088863838</v>
      </c>
      <c r="R143" s="38">
        <f t="shared" si="69"/>
        <v>-5.2904784712634711E-2</v>
      </c>
      <c r="S143" s="38">
        <f t="shared" si="69"/>
        <v>0.20238906919267041</v>
      </c>
      <c r="T143" s="38">
        <f t="shared" si="69"/>
        <v>0.46248625786626008</v>
      </c>
      <c r="U143" s="38">
        <f t="shared" si="69"/>
        <v>0.72254295724003148</v>
      </c>
      <c r="V143" s="38">
        <f t="shared" si="69"/>
        <v>0.97771834466309526</v>
      </c>
      <c r="W143" s="38">
        <f t="shared" si="69"/>
        <v>1.2235284084926734</v>
      </c>
      <c r="X143" s="43">
        <f t="shared" si="69"/>
        <v>1.4561457316942086</v>
      </c>
    </row>
    <row r="144" spans="2:24" x14ac:dyDescent="0.35">
      <c r="B144" s="75"/>
      <c r="C144" s="24">
        <v>0.55000000000000004</v>
      </c>
      <c r="D144" s="42">
        <f t="shared" ref="D144:X144" si="70">(D170*$P$7) + $P$10</f>
        <v>-1.9464338583580265</v>
      </c>
      <c r="E144" s="38">
        <f t="shared" si="70"/>
        <v>-1.8908106305341641</v>
      </c>
      <c r="F144" s="38">
        <f t="shared" si="70"/>
        <v>-1.8248597236889235</v>
      </c>
      <c r="G144" s="38">
        <f t="shared" si="70"/>
        <v>-1.7470379754193703</v>
      </c>
      <c r="H144" s="38">
        <f t="shared" si="70"/>
        <v>-1.6557270582983019</v>
      </c>
      <c r="I144" s="38">
        <f t="shared" si="70"/>
        <v>-1.5492977576517428</v>
      </c>
      <c r="J144" s="38">
        <f t="shared" si="70"/>
        <v>-1.4262026026036927</v>
      </c>
      <c r="K144" s="38">
        <f t="shared" si="70"/>
        <v>-1.2850989184178379</v>
      </c>
      <c r="L144" s="38">
        <f t="shared" si="70"/>
        <v>-1.1250000330803456</v>
      </c>
      <c r="M144" s="38">
        <f t="shared" si="70"/>
        <v>-0.94544582852270498</v>
      </c>
      <c r="N144" s="38">
        <f t="shared" si="70"/>
        <v>-0.74667559538198591</v>
      </c>
      <c r="O144" s="38">
        <f t="shared" si="70"/>
        <v>-0.52977781030391391</v>
      </c>
      <c r="P144" s="38">
        <f t="shared" si="70"/>
        <v>-0.29678572449279472</v>
      </c>
      <c r="Q144" s="38">
        <f t="shared" si="70"/>
        <v>-5.0687855069280641E-2</v>
      </c>
      <c r="R144" s="38">
        <f t="shared" si="70"/>
        <v>0.20466875166840381</v>
      </c>
      <c r="S144" s="38">
        <f t="shared" si="70"/>
        <v>0.46478701595653815</v>
      </c>
      <c r="T144" s="38">
        <f t="shared" si="70"/>
        <v>0.72482155114835001</v>
      </c>
      <c r="U144" s="38">
        <f t="shared" si="70"/>
        <v>0.97993317730300289</v>
      </c>
      <c r="V144" s="38">
        <f t="shared" si="70"/>
        <v>1.2256424774668924</v>
      </c>
      <c r="W144" s="38">
        <f t="shared" si="70"/>
        <v>1.4581288987840391</v>
      </c>
      <c r="X144" s="43">
        <f t="shared" si="70"/>
        <v>1.6744356002279175</v>
      </c>
    </row>
    <row r="145" spans="2:24" x14ac:dyDescent="0.35">
      <c r="B145" s="75"/>
      <c r="C145" s="24">
        <v>0.5</v>
      </c>
      <c r="D145" s="42">
        <f t="shared" ref="D145:X145" si="71">(D171*$P$7) + $P$10</f>
        <v>-1.890276359449649</v>
      </c>
      <c r="E145" s="38">
        <f t="shared" si="71"/>
        <v>-1.8242276580258103</v>
      </c>
      <c r="F145" s="38">
        <f t="shared" si="71"/>
        <v>-1.7462940967240512</v>
      </c>
      <c r="G145" s="38">
        <f t="shared" si="71"/>
        <v>-1.6548569322962474</v>
      </c>
      <c r="H145" s="38">
        <f t="shared" si="71"/>
        <v>-1.5482872219535975</v>
      </c>
      <c r="I145" s="38">
        <f t="shared" si="71"/>
        <v>-1.4250387184167486</v>
      </c>
      <c r="J145" s="38">
        <f t="shared" si="71"/>
        <v>-1.2837711884726759</v>
      </c>
      <c r="K145" s="38">
        <f t="shared" si="71"/>
        <v>-1.1235018398062264</v>
      </c>
      <c r="L145" s="38">
        <f t="shared" si="71"/>
        <v>-0.94377597983442518</v>
      </c>
      <c r="M145" s="38">
        <f t="shared" si="71"/>
        <v>-0.74483978915716742</v>
      </c>
      <c r="N145" s="38">
        <f t="shared" si="71"/>
        <v>-0.52778976197996474</v>
      </c>
      <c r="O145" s="38">
        <f t="shared" si="71"/>
        <v>-0.29466767320822718</v>
      </c>
      <c r="P145" s="38">
        <f t="shared" si="71"/>
        <v>-4.8470201085862641E-2</v>
      </c>
      <c r="Q145" s="38">
        <f t="shared" si="71"/>
        <v>0.20694880675877636</v>
      </c>
      <c r="R145" s="38">
        <f t="shared" si="71"/>
        <v>0.46708776749419378</v>
      </c>
      <c r="S145" s="38">
        <f t="shared" si="71"/>
        <v>0.72709975982590258</v>
      </c>
      <c r="T145" s="38">
        <f t="shared" si="71"/>
        <v>0.9821472743779518</v>
      </c>
      <c r="U145" s="38">
        <f t="shared" si="71"/>
        <v>1.2277555124122448</v>
      </c>
      <c r="V145" s="38">
        <f t="shared" si="71"/>
        <v>1.4601108012976023</v>
      </c>
      <c r="W145" s="38">
        <f t="shared" si="71"/>
        <v>1.67626449687776</v>
      </c>
      <c r="X145" s="43">
        <f t="shared" si="71"/>
        <v>1.8742248668762</v>
      </c>
    </row>
    <row r="146" spans="2:24" x14ac:dyDescent="0.35">
      <c r="B146" s="75"/>
      <c r="C146" s="24">
        <v>0.45</v>
      </c>
      <c r="D146" s="42">
        <f t="shared" ref="D146:X146" si="72">(D172*$P$7) + $P$10</f>
        <v>-1.8235946685925615</v>
      </c>
      <c r="E146" s="38">
        <f t="shared" si="72"/>
        <v>-1.745549167956292</v>
      </c>
      <c r="F146" s="38">
        <f t="shared" si="72"/>
        <v>-1.6539856289403687</v>
      </c>
      <c r="G146" s="38">
        <f t="shared" si="72"/>
        <v>-1.5472753878505203</v>
      </c>
      <c r="H146" s="38">
        <f t="shared" si="72"/>
        <v>-1.423873430607419</v>
      </c>
      <c r="I146" s="38">
        <f t="shared" si="72"/>
        <v>-1.2824419773535718</v>
      </c>
      <c r="J146" s="38">
        <f t="shared" si="72"/>
        <v>-1.122002128855172</v>
      </c>
      <c r="K146" s="38">
        <f t="shared" si="72"/>
        <v>-0.94210463161829816</v>
      </c>
      <c r="L146" s="38">
        <f t="shared" si="72"/>
        <v>-0.743002568034556</v>
      </c>
      <c r="M146" s="38">
        <f t="shared" si="72"/>
        <v>-0.52580045746256898</v>
      </c>
      <c r="N146" s="38">
        <f t="shared" si="72"/>
        <v>-0.29254859940799904</v>
      </c>
      <c r="O146" s="38">
        <f t="shared" si="72"/>
        <v>-4.6251825670650337E-2</v>
      </c>
      <c r="P146" s="38">
        <f t="shared" si="72"/>
        <v>0.20922923120082881</v>
      </c>
      <c r="Q146" s="38">
        <f t="shared" si="72"/>
        <v>0.46938850909532626</v>
      </c>
      <c r="R146" s="38">
        <f t="shared" si="72"/>
        <v>0.72937758002044051</v>
      </c>
      <c r="S146" s="38">
        <f t="shared" si="72"/>
        <v>0.98436063299944188</v>
      </c>
      <c r="T146" s="38">
        <f t="shared" si="72"/>
        <v>1.229867510981618</v>
      </c>
      <c r="U146" s="38">
        <f t="shared" si="72"/>
        <v>1.4620914375318681</v>
      </c>
      <c r="V146" s="38">
        <f t="shared" si="72"/>
        <v>1.678091972469224</v>
      </c>
      <c r="W146" s="38">
        <f t="shared" si="72"/>
        <v>1.8758859005633655</v>
      </c>
      <c r="X146" s="43">
        <f t="shared" si="72"/>
        <v>2.0544316746465254</v>
      </c>
    </row>
    <row r="147" spans="2:24" x14ac:dyDescent="0.35">
      <c r="B147" s="75"/>
      <c r="C147" s="24">
        <v>0.4</v>
      </c>
      <c r="D147" s="42">
        <f t="shared" ref="D147:X147" si="73">(D173*$P$7) + $P$10</f>
        <v>-1.7448031879890336</v>
      </c>
      <c r="E147" s="38">
        <f t="shared" si="73"/>
        <v>-1.6531131471235745</v>
      </c>
      <c r="F147" s="38">
        <f t="shared" si="73"/>
        <v>-1.5462622543295601</v>
      </c>
      <c r="G147" s="38">
        <f t="shared" si="73"/>
        <v>-1.4227067383520651</v>
      </c>
      <c r="H147" s="38">
        <f t="shared" si="73"/>
        <v>-1.2811112845388921</v>
      </c>
      <c r="I147" s="38">
        <f t="shared" si="73"/>
        <v>-1.1205009001290183</v>
      </c>
      <c r="J147" s="38">
        <f t="shared" si="73"/>
        <v>-0.94043178431507868</v>
      </c>
      <c r="K147" s="38">
        <f t="shared" si="73"/>
        <v>-0.74116393308308726</v>
      </c>
      <c r="L147" s="38">
        <f t="shared" si="73"/>
        <v>-0.52380989848935977</v>
      </c>
      <c r="M147" s="38">
        <f t="shared" si="73"/>
        <v>-0.29042850547046983</v>
      </c>
      <c r="N147" s="38">
        <f t="shared" si="73"/>
        <v>-4.4032731735926589E-2</v>
      </c>
      <c r="O147" s="38">
        <f t="shared" si="73"/>
        <v>0.21151002172945521</v>
      </c>
      <c r="P147" s="38">
        <f t="shared" si="73"/>
        <v>0.47168923737609481</v>
      </c>
      <c r="Q147" s="38">
        <f t="shared" si="73"/>
        <v>0.7316550084819613</v>
      </c>
      <c r="R147" s="38">
        <f t="shared" si="73"/>
        <v>0.98657325028307508</v>
      </c>
      <c r="S147" s="38">
        <f t="shared" si="73"/>
        <v>1.2319784708332455</v>
      </c>
      <c r="T147" s="38">
        <f t="shared" si="73"/>
        <v>1.4640708057897003</v>
      </c>
      <c r="U147" s="38">
        <f t="shared" si="73"/>
        <v>1.6799180259732021</v>
      </c>
      <c r="V147" s="38">
        <f t="shared" si="73"/>
        <v>1.8775454318337186</v>
      </c>
      <c r="W147" s="38">
        <f t="shared" si="73"/>
        <v>2.0559194402728371</v>
      </c>
      <c r="X147" s="43">
        <f t="shared" si="73"/>
        <v>2.2148477917048437</v>
      </c>
    </row>
    <row r="148" spans="2:24" x14ac:dyDescent="0.35">
      <c r="B148" s="75"/>
      <c r="C148" s="24">
        <v>0.35</v>
      </c>
      <c r="D148" s="42">
        <f t="shared" ref="D148:X148" si="74">(D174*$P$7) + $P$10</f>
        <v>-1.6522394857392491</v>
      </c>
      <c r="E148" s="38">
        <f t="shared" si="74"/>
        <v>-1.5452478203789886</v>
      </c>
      <c r="F148" s="38">
        <f t="shared" si="74"/>
        <v>-1.4215386408291986</v>
      </c>
      <c r="G148" s="38">
        <f t="shared" si="74"/>
        <v>-1.2797791095102031</v>
      </c>
      <c r="H148" s="38">
        <f t="shared" si="74"/>
        <v>-1.1189981535338751</v>
      </c>
      <c r="I148" s="38">
        <f t="shared" si="74"/>
        <v>-0.93875743837072423</v>
      </c>
      <c r="J148" s="38">
        <f t="shared" si="74"/>
        <v>-0.73932388537750748</v>
      </c>
      <c r="K148" s="38">
        <f t="shared" si="74"/>
        <v>-0.52181808680385444</v>
      </c>
      <c r="L148" s="38">
        <f t="shared" si="74"/>
        <v>-0.28830739377929415</v>
      </c>
      <c r="M148" s="38">
        <f t="shared" si="74"/>
        <v>-4.1812922197972391E-2</v>
      </c>
      <c r="N148" s="38">
        <f t="shared" si="74"/>
        <v>0.21379117507742418</v>
      </c>
      <c r="O148" s="38">
        <f t="shared" si="74"/>
        <v>0.47398994895273638</v>
      </c>
      <c r="P148" s="38">
        <f t="shared" si="74"/>
        <v>0.73393204196273665</v>
      </c>
      <c r="Q148" s="38">
        <f t="shared" si="74"/>
        <v>0.98878512334856028</v>
      </c>
      <c r="R148" s="38">
        <f t="shared" si="74"/>
        <v>1.2340883896307258</v>
      </c>
      <c r="S148" s="38">
        <f t="shared" si="74"/>
        <v>1.466048904379861</v>
      </c>
      <c r="T148" s="38">
        <f t="shared" si="74"/>
        <v>1.6817426563663611</v>
      </c>
      <c r="U148" s="38">
        <f t="shared" si="74"/>
        <v>1.8792034602872327</v>
      </c>
      <c r="V148" s="38">
        <f t="shared" si="74"/>
        <v>2.0574056891431241</v>
      </c>
      <c r="W148" s="38">
        <f t="shared" si="74"/>
        <v>2.2161638792930729</v>
      </c>
      <c r="X148" s="43">
        <f t="shared" si="74"/>
        <v>2.3559803866324804</v>
      </c>
    </row>
    <row r="149" spans="2:24" x14ac:dyDescent="0.35">
      <c r="B149" s="75"/>
      <c r="C149" s="24">
        <v>0.3</v>
      </c>
      <c r="D149" s="42">
        <f t="shared" ref="D149:X149" si="75">(D175*$P$7) + $P$10</f>
        <v>-1.5442320849883104</v>
      </c>
      <c r="E149" s="38">
        <f t="shared" si="75"/>
        <v>-1.4203691372194904</v>
      </c>
      <c r="F149" s="38">
        <f t="shared" si="75"/>
        <v>-1.2784454517522805</v>
      </c>
      <c r="G149" s="38">
        <f t="shared" si="75"/>
        <v>-1.1174938889801296</v>
      </c>
      <c r="H149" s="38">
        <f t="shared" si="75"/>
        <v>-0.93708159423640636</v>
      </c>
      <c r="I149" s="38">
        <f t="shared" si="75"/>
        <v>-0.73748242599837077</v>
      </c>
      <c r="J149" s="38">
        <f t="shared" si="75"/>
        <v>-0.51982502415545473</v>
      </c>
      <c r="K149" s="38">
        <f t="shared" si="75"/>
        <v>-0.28618526672341149</v>
      </c>
      <c r="L149" s="38">
        <f t="shared" si="75"/>
        <v>-3.9592399977059323E-2</v>
      </c>
      <c r="M149" s="38">
        <f t="shared" si="75"/>
        <v>0.21607268797539936</v>
      </c>
      <c r="N149" s="38">
        <f t="shared" si="75"/>
        <v>0.47629064044158431</v>
      </c>
      <c r="O149" s="38">
        <f t="shared" si="75"/>
        <v>0.73620867721732575</v>
      </c>
      <c r="P149" s="38">
        <f t="shared" si="75"/>
        <v>0.99099624931973507</v>
      </c>
      <c r="Q149" s="38">
        <f t="shared" si="75"/>
        <v>1.2361972650430126</v>
      </c>
      <c r="R149" s="38">
        <f t="shared" si="75"/>
        <v>1.4680257316170175</v>
      </c>
      <c r="S149" s="38">
        <f t="shared" si="75"/>
        <v>1.6835658626311498</v>
      </c>
      <c r="T149" s="38">
        <f t="shared" si="75"/>
        <v>1.8808599855290185</v>
      </c>
      <c r="U149" s="38">
        <f t="shared" si="75"/>
        <v>2.0588904213930386</v>
      </c>
      <c r="V149" s="38">
        <f t="shared" si="75"/>
        <v>2.2174784904743321</v>
      </c>
      <c r="W149" s="38">
        <f t="shared" si="75"/>
        <v>2.3571318532138372</v>
      </c>
      <c r="X149" s="43">
        <f t="shared" si="75"/>
        <v>2.4788710205854265</v>
      </c>
    </row>
    <row r="150" spans="2:24" x14ac:dyDescent="0.35">
      <c r="B150" s="75"/>
      <c r="C150" s="24">
        <v>0.25</v>
      </c>
      <c r="D150" s="42">
        <f t="shared" ref="D150:X150" si="76">(D176*$P$7) + $P$10</f>
        <v>-1.4191982267057779</v>
      </c>
      <c r="E150" s="38">
        <f t="shared" si="76"/>
        <v>-1.2771103107531172</v>
      </c>
      <c r="F150" s="38">
        <f t="shared" si="76"/>
        <v>-1.1159881063824577</v>
      </c>
      <c r="G150" s="38">
        <f t="shared" si="76"/>
        <v>-0.93540425236851377</v>
      </c>
      <c r="H150" s="38">
        <f t="shared" si="76"/>
        <v>-0.73563955603204834</v>
      </c>
      <c r="I150" s="38">
        <f t="shared" si="76"/>
        <v>-0.51783071229943967</v>
      </c>
      <c r="J150" s="38">
        <f t="shared" si="76"/>
        <v>-0.28406212669703645</v>
      </c>
      <c r="K150" s="38">
        <f t="shared" si="76"/>
        <v>-3.7371167997429122E-2</v>
      </c>
      <c r="L150" s="38">
        <f t="shared" si="76"/>
        <v>0.21835455715195717</v>
      </c>
      <c r="M150" s="38">
        <f t="shared" si="76"/>
        <v>0.47859130845909403</v>
      </c>
      <c r="N150" s="38">
        <f t="shared" si="76"/>
        <v>0.73848491100259039</v>
      </c>
      <c r="O150" s="38">
        <f t="shared" si="76"/>
        <v>0.99320662532457593</v>
      </c>
      <c r="P150" s="38">
        <f t="shared" si="76"/>
        <v>1.2383050947444403</v>
      </c>
      <c r="Q150" s="38">
        <f t="shared" si="76"/>
        <v>1.4700012858217373</v>
      </c>
      <c r="R150" s="38">
        <f t="shared" si="76"/>
        <v>1.6853876437557886</v>
      </c>
      <c r="S150" s="38">
        <f t="shared" si="76"/>
        <v>1.8825150071693217</v>
      </c>
      <c r="T150" s="38">
        <f t="shared" si="76"/>
        <v>2.0603736371624128</v>
      </c>
      <c r="U150" s="38">
        <f t="shared" si="76"/>
        <v>2.2187916258013356</v>
      </c>
      <c r="V150" s="38">
        <f t="shared" si="76"/>
        <v>2.3582819244179083</v>
      </c>
      <c r="W150" s="38">
        <f t="shared" si="76"/>
        <v>2.479868792053515</v>
      </c>
      <c r="X150" s="43">
        <f t="shared" si="76"/>
        <v>2.5849183767336799</v>
      </c>
    </row>
    <row r="151" spans="2:24" x14ac:dyDescent="0.35">
      <c r="B151" s="75"/>
      <c r="C151" s="24">
        <v>0.2</v>
      </c>
      <c r="D151" s="42">
        <f t="shared" ref="D151:X151" si="77">(D177*$P$7) + $P$10</f>
        <v>-1.2757736860039373</v>
      </c>
      <c r="E151" s="38">
        <f t="shared" si="77"/>
        <v>-1.114480805659833</v>
      </c>
      <c r="F151" s="38">
        <f t="shared" si="77"/>
        <v>-0.93372541322866098</v>
      </c>
      <c r="G151" s="38">
        <f t="shared" si="77"/>
        <v>-0.73379527657072696</v>
      </c>
      <c r="H151" s="38">
        <f t="shared" si="77"/>
        <v>-0.51583515299696847</v>
      </c>
      <c r="I151" s="38">
        <f t="shared" si="77"/>
        <v>-0.28193797609964966</v>
      </c>
      <c r="J151" s="38">
        <f t="shared" si="77"/>
        <v>-3.5149229187282582E-2</v>
      </c>
      <c r="K151" s="38">
        <f t="shared" si="77"/>
        <v>0.2206367793336006</v>
      </c>
      <c r="L151" s="38">
        <f t="shared" si="77"/>
        <v>0.48089194962185777</v>
      </c>
      <c r="M151" s="38">
        <f t="shared" si="77"/>
        <v>0.74076074007772341</v>
      </c>
      <c r="N151" s="38">
        <f t="shared" si="77"/>
        <v>0.99541624849521115</v>
      </c>
      <c r="O151" s="38">
        <f t="shared" si="77"/>
        <v>1.240411876414719</v>
      </c>
      <c r="P151" s="38">
        <f t="shared" si="77"/>
        <v>1.4719755653204976</v>
      </c>
      <c r="Q151" s="38">
        <f t="shared" si="77"/>
        <v>1.6872079987342694</v>
      </c>
      <c r="R151" s="38">
        <f t="shared" si="77"/>
        <v>1.8841685248235152</v>
      </c>
      <c r="S151" s="38">
        <f t="shared" si="77"/>
        <v>2.0618553365952499</v>
      </c>
      <c r="T151" s="38">
        <f t="shared" si="77"/>
        <v>2.220103285829893</v>
      </c>
      <c r="U151" s="38">
        <f t="shared" si="77"/>
        <v>2.3594306010911392</v>
      </c>
      <c r="V151" s="38">
        <f t="shared" si="77"/>
        <v>2.4808652762072105</v>
      </c>
      <c r="W151" s="38">
        <f t="shared" si="77"/>
        <v>2.5857757732222719</v>
      </c>
      <c r="X151" s="43">
        <f t="shared" si="77"/>
        <v>2.6757222528749551</v>
      </c>
    </row>
    <row r="152" spans="2:24" x14ac:dyDescent="0.35">
      <c r="B152" s="75"/>
      <c r="C152" s="24">
        <v>0.15</v>
      </c>
      <c r="D152" s="42">
        <f t="shared" ref="D152:X152" si="78">(D178*$P$7) + $P$10</f>
        <v>-1.1129719867355374</v>
      </c>
      <c r="E152" s="38">
        <f t="shared" si="78"/>
        <v>-0.93204507728369612</v>
      </c>
      <c r="F152" s="38">
        <f t="shared" si="78"/>
        <v>-0.73194958871241522</v>
      </c>
      <c r="G152" s="38">
        <f t="shared" si="78"/>
        <v>-0.51383834801507544</v>
      </c>
      <c r="H152" s="38">
        <f t="shared" si="78"/>
        <v>-0.27981281733599328</v>
      </c>
      <c r="I152" s="38">
        <f t="shared" si="78"/>
        <v>-3.2926586478764452E-2</v>
      </c>
      <c r="J152" s="38">
        <f t="shared" si="78"/>
        <v>0.22291935124478135</v>
      </c>
      <c r="K152" s="38">
        <f t="shared" si="78"/>
        <v>0.48319256054662496</v>
      </c>
      <c r="L152" s="38">
        <f t="shared" si="78"/>
        <v>0.74303616120425398</v>
      </c>
      <c r="M152" s="38">
        <f t="shared" si="78"/>
        <v>0.99762511596793857</v>
      </c>
      <c r="N152" s="38">
        <f t="shared" si="78"/>
        <v>1.242517607738947</v>
      </c>
      <c r="O152" s="38">
        <f t="shared" si="78"/>
        <v>1.4739485684456755</v>
      </c>
      <c r="P152" s="38">
        <f t="shared" si="78"/>
        <v>1.6890269265663505</v>
      </c>
      <c r="Q152" s="38">
        <f t="shared" si="78"/>
        <v>1.8858205381120898</v>
      </c>
      <c r="R152" s="38">
        <f t="shared" si="78"/>
        <v>2.0633355198397174</v>
      </c>
      <c r="S152" s="38">
        <f t="shared" si="78"/>
        <v>2.2214134711188978</v>
      </c>
      <c r="T152" s="38">
        <f t="shared" si="78"/>
        <v>2.3605778840820193</v>
      </c>
      <c r="U152" s="38">
        <f t="shared" si="78"/>
        <v>2.4818604740734314</v>
      </c>
      <c r="V152" s="38">
        <f t="shared" si="78"/>
        <v>2.5866320055355043</v>
      </c>
      <c r="W152" s="38">
        <f t="shared" si="78"/>
        <v>2.6764537503937911</v>
      </c>
      <c r="X152" s="43">
        <f t="shared" si="78"/>
        <v>2.7529576077352047</v>
      </c>
    </row>
    <row r="153" spans="2:24" x14ac:dyDescent="0.35">
      <c r="B153" s="75"/>
      <c r="C153" s="24">
        <v>0.1</v>
      </c>
      <c r="D153" s="42">
        <f t="shared" ref="D153:X153" si="79">(D179*$P$7) + $P$10</f>
        <v>-0.93036324500570711</v>
      </c>
      <c r="E153" s="38">
        <f t="shared" si="79"/>
        <v>-0.73010249356094548</v>
      </c>
      <c r="F153" s="38">
        <f t="shared" si="79"/>
        <v>-0.51184029912666795</v>
      </c>
      <c r="G153" s="38">
        <f t="shared" si="79"/>
        <v>-0.27768665281605909</v>
      </c>
      <c r="H153" s="38">
        <f t="shared" si="79"/>
        <v>-3.0703242807947895E-2</v>
      </c>
      <c r="I153" s="38">
        <f t="shared" si="79"/>
        <v>0.22520226960792078</v>
      </c>
      <c r="J153" s="38">
        <f t="shared" si="79"/>
        <v>0.48549313785032044</v>
      </c>
      <c r="K153" s="38">
        <f t="shared" si="79"/>
        <v>0.74531117114607603</v>
      </c>
      <c r="L153" s="38">
        <f t="shared" si="79"/>
        <v>0.99983322488323445</v>
      </c>
      <c r="M153" s="38">
        <f t="shared" si="79"/>
        <v>1.2446222864076204</v>
      </c>
      <c r="N153" s="38">
        <f t="shared" si="79"/>
        <v>1.4759202935355562</v>
      </c>
      <c r="O153" s="38">
        <f t="shared" si="79"/>
        <v>1.6908444262575504</v>
      </c>
      <c r="P153" s="38">
        <f t="shared" si="79"/>
        <v>1.8874710466606484</v>
      </c>
      <c r="Q153" s="38">
        <f t="shared" si="79"/>
        <v>2.0648141870481291</v>
      </c>
      <c r="R153" s="38">
        <f t="shared" si="79"/>
        <v>2.2227221822303234</v>
      </c>
      <c r="S153" s="38">
        <f t="shared" si="79"/>
        <v>2.3617237742410744</v>
      </c>
      <c r="T153" s="38">
        <f t="shared" si="79"/>
        <v>2.4828543866802271</v>
      </c>
      <c r="U153" s="38">
        <f t="shared" si="79"/>
        <v>2.5874870747860674</v>
      </c>
      <c r="V153" s="38">
        <f t="shared" si="79"/>
        <v>2.6771842123390144</v>
      </c>
      <c r="W153" s="38">
        <f t="shared" si="79"/>
        <v>2.7535778793510399</v>
      </c>
      <c r="X153" s="43">
        <f t="shared" si="79"/>
        <v>2.8182806131809377</v>
      </c>
    </row>
    <row r="154" spans="2:24" x14ac:dyDescent="0.35">
      <c r="B154" s="75"/>
      <c r="C154" s="24">
        <v>0.05</v>
      </c>
      <c r="D154" s="42">
        <f t="shared" ref="D154:X154" si="80">(D180*$P$7) + $P$10</f>
        <v>-0.72825399222597631</v>
      </c>
      <c r="E154" s="38">
        <f t="shared" si="80"/>
        <v>-0.50984100811052424</v>
      </c>
      <c r="F154" s="38">
        <f t="shared" si="80"/>
        <v>-0.27555948495507887</v>
      </c>
      <c r="G154" s="38">
        <f t="shared" si="80"/>
        <v>-2.8479201114822938E-2</v>
      </c>
      <c r="H154" s="38">
        <f t="shared" si="80"/>
        <v>0.22748553114342407</v>
      </c>
      <c r="I154" s="38">
        <f t="shared" si="80"/>
        <v>0.4877936781500738</v>
      </c>
      <c r="J154" s="38">
        <f t="shared" si="80"/>
        <v>0.74758576666946031</v>
      </c>
      <c r="K154" s="38">
        <f t="shared" si="80"/>
        <v>1.0020405723857713</v>
      </c>
      <c r="L154" s="38">
        <f t="shared" si="80"/>
        <v>1.2467259101166386</v>
      </c>
      <c r="M154" s="38">
        <f t="shared" si="80"/>
        <v>1.4778907389343412</v>
      </c>
      <c r="N154" s="38">
        <f t="shared" si="80"/>
        <v>1.6926604968191477</v>
      </c>
      <c r="O154" s="38">
        <f t="shared" si="80"/>
        <v>1.8891200500998959</v>
      </c>
      <c r="P154" s="38">
        <f t="shared" si="80"/>
        <v>2.0662913383769475</v>
      </c>
      <c r="Q154" s="38">
        <f t="shared" si="80"/>
        <v>2.2240294197292139</v>
      </c>
      <c r="R154" s="38">
        <f t="shared" si="80"/>
        <v>2.3628682724208625</v>
      </c>
      <c r="S154" s="38">
        <f t="shared" si="80"/>
        <v>2.4838470150567673</v>
      </c>
      <c r="T154" s="38">
        <f t="shared" si="80"/>
        <v>2.588340982087046</v>
      </c>
      <c r="U154" s="38">
        <f t="shared" si="80"/>
        <v>2.6779136398360635</v>
      </c>
      <c r="V154" s="38">
        <f t="shared" si="80"/>
        <v>2.754197242317499</v>
      </c>
      <c r="W154" s="38">
        <f t="shared" si="80"/>
        <v>2.8188038437462337</v>
      </c>
      <c r="X154" s="43">
        <f t="shared" si="80"/>
        <v>2.8732642167808145</v>
      </c>
    </row>
    <row r="155" spans="2:24" ht="15" thickBot="1" x14ac:dyDescent="0.4">
      <c r="B155" s="76"/>
      <c r="C155" s="25">
        <v>0</v>
      </c>
      <c r="D155" s="44">
        <f t="shared" ref="D155:X155" si="81">(D181*$P$7) + $P$10</f>
        <v>-0.5078404767512914</v>
      </c>
      <c r="E155" s="45">
        <f t="shared" si="81"/>
        <v>-0.27343131617351801</v>
      </c>
      <c r="F155" s="45">
        <f t="shared" si="81"/>
        <v>-2.6254464343277828E-2</v>
      </c>
      <c r="G155" s="45">
        <f t="shared" si="81"/>
        <v>0.22976913256970155</v>
      </c>
      <c r="H155" s="45">
        <f t="shared" si="81"/>
        <v>0.4900941780632242</v>
      </c>
      <c r="I155" s="45">
        <f t="shared" si="81"/>
        <v>0.74985994454307603</v>
      </c>
      <c r="J155" s="45">
        <f t="shared" si="81"/>
        <v>1.0042471556244275</v>
      </c>
      <c r="K155" s="45">
        <f t="shared" si="81"/>
        <v>1.248828476567311</v>
      </c>
      <c r="L155" s="45">
        <f t="shared" si="81"/>
        <v>1.4798599029921342</v>
      </c>
      <c r="M155" s="45">
        <f t="shared" si="81"/>
        <v>1.694475137268177</v>
      </c>
      <c r="N155" s="45">
        <f t="shared" si="81"/>
        <v>1.8907675480656367</v>
      </c>
      <c r="O155" s="45">
        <f t="shared" si="81"/>
        <v>2.0677669739867666</v>
      </c>
      <c r="P155" s="45">
        <f t="shared" si="81"/>
        <v>2.2253351841836633</v>
      </c>
      <c r="Q155" s="45">
        <f t="shared" si="81"/>
        <v>2.364011379475957</v>
      </c>
      <c r="R155" s="45">
        <f t="shared" si="81"/>
        <v>2.484838360233339</v>
      </c>
      <c r="S155" s="45">
        <f t="shared" si="81"/>
        <v>2.5891937285519147</v>
      </c>
      <c r="T155" s="45">
        <f t="shared" si="81"/>
        <v>2.6786420340102302</v>
      </c>
      <c r="U155" s="45">
        <f t="shared" si="81"/>
        <v>2.7548156977208142</v>
      </c>
      <c r="V155" s="45">
        <f t="shared" si="81"/>
        <v>2.8193262860350705</v>
      </c>
      <c r="W155" s="45">
        <f t="shared" si="81"/>
        <v>2.873703656495425</v>
      </c>
      <c r="X155" s="46">
        <f t="shared" si="81"/>
        <v>2.9193584189349178</v>
      </c>
    </row>
    <row r="156" spans="2:24" x14ac:dyDescent="0.35">
      <c r="C156" s="9"/>
      <c r="D156" s="28">
        <v>0</v>
      </c>
      <c r="E156" s="26">
        <v>0.05</v>
      </c>
      <c r="F156" s="26">
        <v>0.1</v>
      </c>
      <c r="G156" s="26">
        <v>0.15</v>
      </c>
      <c r="H156" s="26">
        <v>0.2</v>
      </c>
      <c r="I156" s="26">
        <v>0.25</v>
      </c>
      <c r="J156" s="26">
        <v>0.3</v>
      </c>
      <c r="K156" s="26">
        <v>0.35</v>
      </c>
      <c r="L156" s="26">
        <v>0.4</v>
      </c>
      <c r="M156" s="26">
        <v>0.45</v>
      </c>
      <c r="N156" s="26">
        <v>0.5</v>
      </c>
      <c r="O156" s="26">
        <v>0.55000000000000004</v>
      </c>
      <c r="P156" s="26">
        <v>0.6</v>
      </c>
      <c r="Q156" s="26">
        <v>0.65</v>
      </c>
      <c r="R156" s="26">
        <v>0.7</v>
      </c>
      <c r="S156" s="26">
        <v>0.75</v>
      </c>
      <c r="T156" s="26">
        <v>0.8</v>
      </c>
      <c r="U156" s="26">
        <v>0.85</v>
      </c>
      <c r="V156" s="26">
        <v>0.9</v>
      </c>
      <c r="W156" s="26">
        <v>0.95</v>
      </c>
      <c r="X156" s="27">
        <v>1</v>
      </c>
    </row>
    <row r="157" spans="2:24" ht="21.5" thickBot="1" x14ac:dyDescent="0.55000000000000004">
      <c r="C157" s="9"/>
      <c r="D157" s="68" t="s">
        <v>64</v>
      </c>
      <c r="E157" s="69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70"/>
    </row>
    <row r="159" spans="2:24" ht="15" thickBot="1" x14ac:dyDescent="0.4"/>
    <row r="160" spans="2:24" ht="21.5" thickBot="1" x14ac:dyDescent="0.55000000000000004">
      <c r="B160" s="71" t="s">
        <v>17</v>
      </c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3"/>
    </row>
    <row r="161" spans="2:24" x14ac:dyDescent="0.35">
      <c r="B161" s="74" t="s">
        <v>6</v>
      </c>
      <c r="C161" s="27">
        <v>1</v>
      </c>
      <c r="D161" s="40">
        <f>1/(1+EXP(-D187))</f>
        <v>9.1957270633810546E-3</v>
      </c>
      <c r="E161" s="39">
        <f>1/(1+EXP(-E187))</f>
        <v>1.1147916749898824E-2</v>
      </c>
      <c r="F161" s="39">
        <f t="shared" ref="F161:X161" si="82">1/(1+EXP(-F187))</f>
        <v>1.3508892358174445E-2</v>
      </c>
      <c r="G161" s="39">
        <f t="shared" si="82"/>
        <v>1.6361616760475338E-2</v>
      </c>
      <c r="H161" s="39">
        <f t="shared" si="82"/>
        <v>1.9804667751857279E-2</v>
      </c>
      <c r="I161" s="39">
        <f t="shared" si="82"/>
        <v>2.3954611248412007E-2</v>
      </c>
      <c r="J161" s="39">
        <f t="shared" si="82"/>
        <v>2.894846723535147E-2</v>
      </c>
      <c r="K161" s="39">
        <f t="shared" si="82"/>
        <v>3.4946125831042778E-2</v>
      </c>
      <c r="L161" s="39">
        <f t="shared" si="82"/>
        <v>4.2132487804788191E-2</v>
      </c>
      <c r="M161" s="39">
        <f t="shared" si="82"/>
        <v>5.0718994314283471E-2</v>
      </c>
      <c r="N161" s="39">
        <f t="shared" si="82"/>
        <v>6.0944073968268314E-2</v>
      </c>
      <c r="O161" s="39">
        <f t="shared" si="82"/>
        <v>7.3071877413098021E-2</v>
      </c>
      <c r="P161" s="39">
        <f t="shared" si="82"/>
        <v>8.7388507632044352E-2</v>
      </c>
      <c r="Q161" s="39">
        <f t="shared" si="82"/>
        <v>0.10419482264549929</v>
      </c>
      <c r="R161" s="39">
        <f t="shared" si="82"/>
        <v>0.12379484436799662</v>
      </c>
      <c r="S161" s="39">
        <f t="shared" si="82"/>
        <v>0.14647893688563912</v>
      </c>
      <c r="T161" s="39">
        <f t="shared" si="82"/>
        <v>0.17250132180886976</v>
      </c>
      <c r="U161" s="39">
        <f t="shared" si="82"/>
        <v>0.20205227387060237</v>
      </c>
      <c r="V161" s="39">
        <f t="shared" si="82"/>
        <v>0.23522652790625531</v>
      </c>
      <c r="W161" s="39">
        <f t="shared" si="82"/>
        <v>0.27199094527261797</v>
      </c>
      <c r="X161" s="41">
        <f t="shared" si="82"/>
        <v>0.31215605638681004</v>
      </c>
    </row>
    <row r="162" spans="2:24" x14ac:dyDescent="0.35">
      <c r="B162" s="75"/>
      <c r="C162" s="24">
        <v>0.95</v>
      </c>
      <c r="D162" s="42">
        <f>1/(1+EXP(-D188))</f>
        <v>1.1166839362330365E-2</v>
      </c>
      <c r="E162" s="38">
        <f t="shared" ref="E162:X162" si="83">1/(1+EXP(-E188))</f>
        <v>1.3531767679359498E-2</v>
      </c>
      <c r="F162" s="38">
        <f t="shared" si="83"/>
        <v>1.638924249545386E-2</v>
      </c>
      <c r="G162" s="38">
        <f t="shared" si="83"/>
        <v>1.9837989653815526E-2</v>
      </c>
      <c r="H162" s="38">
        <f t="shared" si="83"/>
        <v>2.3994744619318335E-2</v>
      </c>
      <c r="I162" s="38">
        <f t="shared" si="83"/>
        <v>2.8996718713984442E-2</v>
      </c>
      <c r="J162" s="38">
        <f t="shared" si="83"/>
        <v>3.5004013878158102E-2</v>
      </c>
      <c r="K162" s="38">
        <f t="shared" si="83"/>
        <v>4.2201759448683915E-2</v>
      </c>
      <c r="L162" s="38">
        <f t="shared" si="83"/>
        <v>5.080163463054628E-2</v>
      </c>
      <c r="M162" s="38">
        <f t="shared" si="83"/>
        <v>6.1042303452558136E-2</v>
      </c>
      <c r="N162" s="38">
        <f t="shared" si="83"/>
        <v>7.3188130958883477E-2</v>
      </c>
      <c r="O162" s="38">
        <f t="shared" si="83"/>
        <v>8.7525387465544391E-2</v>
      </c>
      <c r="P162" s="38">
        <f t="shared" si="83"/>
        <v>0.10435501669975743</v>
      </c>
      <c r="Q162" s="38">
        <f t="shared" si="83"/>
        <v>0.12398100182530404</v>
      </c>
      <c r="R162" s="38">
        <f t="shared" si="83"/>
        <v>0.14669349482581573</v>
      </c>
      <c r="S162" s="38">
        <f t="shared" si="83"/>
        <v>0.17274628199895944</v>
      </c>
      <c r="T162" s="38">
        <f t="shared" si="83"/>
        <v>0.20232893741403665</v>
      </c>
      <c r="U162" s="38">
        <f t="shared" si="83"/>
        <v>0.2355352076579306</v>
      </c>
      <c r="V162" s="38">
        <f t="shared" si="83"/>
        <v>0.27233069010547611</v>
      </c>
      <c r="W162" s="38">
        <f t="shared" si="83"/>
        <v>0.31252443413430414</v>
      </c>
      <c r="X162" s="43">
        <f t="shared" si="83"/>
        <v>0.35575021695715686</v>
      </c>
    </row>
    <row r="163" spans="2:24" x14ac:dyDescent="0.35">
      <c r="B163" s="75"/>
      <c r="C163" s="24">
        <v>0.9</v>
      </c>
      <c r="D163" s="42">
        <f t="shared" ref="D163:X163" si="84">1/(1+EXP(-D189))</f>
        <v>1.3554681204290521E-2</v>
      </c>
      <c r="E163" s="38">
        <f t="shared" si="84"/>
        <v>1.6416914096544361E-2</v>
      </c>
      <c r="F163" s="38">
        <f t="shared" si="84"/>
        <v>1.9871366484198048E-2</v>
      </c>
      <c r="G163" s="38">
        <f t="shared" si="84"/>
        <v>2.4034943573612865E-2</v>
      </c>
      <c r="H163" s="38">
        <f t="shared" si="84"/>
        <v>2.9045048212859512E-2</v>
      </c>
      <c r="I163" s="38">
        <f t="shared" si="84"/>
        <v>3.5061994332590038E-2</v>
      </c>
      <c r="J163" s="38">
        <f t="shared" si="84"/>
        <v>4.2271139958639202E-2</v>
      </c>
      <c r="K163" s="38">
        <f t="shared" si="84"/>
        <v>5.0884402381191261E-2</v>
      </c>
      <c r="L163" s="38">
        <f t="shared" si="84"/>
        <v>6.1140680954454858E-2</v>
      </c>
      <c r="M163" s="38">
        <f t="shared" si="84"/>
        <v>7.330455483127335E-2</v>
      </c>
      <c r="N163" s="38">
        <f t="shared" si="84"/>
        <v>8.7662461104410172E-2</v>
      </c>
      <c r="O163" s="38">
        <f t="shared" si="84"/>
        <v>0.10451542830878928</v>
      </c>
      <c r="P163" s="38">
        <f t="shared" si="84"/>
        <v>0.12416739954852354</v>
      </c>
      <c r="Q163" s="38">
        <f t="shared" si="84"/>
        <v>0.14690831295037768</v>
      </c>
      <c r="R163" s="38">
        <f t="shared" si="84"/>
        <v>0.17299151732395204</v>
      </c>
      <c r="S163" s="38">
        <f t="shared" si="84"/>
        <v>0.20260588359647427</v>
      </c>
      <c r="T163" s="38">
        <f t="shared" si="84"/>
        <v>0.23584416756229798</v>
      </c>
      <c r="U163" s="38">
        <f t="shared" si="84"/>
        <v>0.27267070036755203</v>
      </c>
      <c r="V163" s="38">
        <f t="shared" si="84"/>
        <v>0.31289304885513658</v>
      </c>
      <c r="W163" s="38">
        <f t="shared" si="84"/>
        <v>0.35614340353007129</v>
      </c>
      <c r="X163" s="43">
        <f t="shared" si="84"/>
        <v>0.40187549946766943</v>
      </c>
    </row>
    <row r="164" spans="2:24" x14ac:dyDescent="0.35">
      <c r="B164" s="75"/>
      <c r="C164" s="24">
        <v>0.85</v>
      </c>
      <c r="D164" s="42">
        <f t="shared" ref="D164:X164" si="85">1/(1+EXP(-D190))</f>
        <v>1.6444631637265918E-2</v>
      </c>
      <c r="E164" s="38">
        <f t="shared" si="85"/>
        <v>1.9904798329722247E-2</v>
      </c>
      <c r="F164" s="38">
        <f t="shared" si="85"/>
        <v>2.4075208212915655E-2</v>
      </c>
      <c r="G164" s="38">
        <f t="shared" si="85"/>
        <v>2.90934558501065E-2</v>
      </c>
      <c r="H164" s="38">
        <f t="shared" si="85"/>
        <v>3.5120067330299473E-2</v>
      </c>
      <c r="I164" s="38">
        <f t="shared" si="85"/>
        <v>4.2340629489208241E-2</v>
      </c>
      <c r="J164" s="38">
        <f t="shared" si="85"/>
        <v>5.0967297739191904E-2</v>
      </c>
      <c r="K164" s="38">
        <f t="shared" si="85"/>
        <v>6.1239206663751516E-2</v>
      </c>
      <c r="L164" s="38">
        <f t="shared" si="85"/>
        <v>7.3421149233255295E-2</v>
      </c>
      <c r="M164" s="38">
        <f t="shared" si="85"/>
        <v>8.7799728758504697E-2</v>
      </c>
      <c r="N164" s="38">
        <f t="shared" si="85"/>
        <v>0.10467605767966361</v>
      </c>
      <c r="O164" s="38">
        <f t="shared" si="85"/>
        <v>0.12435403772842292</v>
      </c>
      <c r="P164" s="38">
        <f t="shared" si="85"/>
        <v>0.14712339141635308</v>
      </c>
      <c r="Q164" s="38">
        <f t="shared" si="85"/>
        <v>0.17323702788634776</v>
      </c>
      <c r="R164" s="38">
        <f t="shared" si="85"/>
        <v>0.20288311244329554</v>
      </c>
      <c r="S164" s="38">
        <f t="shared" si="85"/>
        <v>0.23615340754588676</v>
      </c>
      <c r="T164" s="38">
        <f t="shared" si="85"/>
        <v>0.27301097586934819</v>
      </c>
      <c r="U164" s="38">
        <f t="shared" si="85"/>
        <v>0.31326190023536349</v>
      </c>
      <c r="V164" s="38">
        <f t="shared" si="85"/>
        <v>0.35653678417252987</v>
      </c>
      <c r="W164" s="38">
        <f t="shared" si="85"/>
        <v>0.4022878323617754</v>
      </c>
      <c r="X164" s="43">
        <f t="shared" si="85"/>
        <v>0.44980576536835609</v>
      </c>
    </row>
    <row r="165" spans="2:24" x14ac:dyDescent="0.35">
      <c r="B165" s="75"/>
      <c r="C165" s="24">
        <v>0.8</v>
      </c>
      <c r="D165" s="42">
        <f t="shared" ref="D165:X165" si="86">1/(1+EXP(-D191))</f>
        <v>1.9938285277229535E-2</v>
      </c>
      <c r="E165" s="38">
        <f t="shared" si="86"/>
        <v>2.4115538638985568E-2</v>
      </c>
      <c r="F165" s="38">
        <f t="shared" si="86"/>
        <v>2.9141941744007267E-2</v>
      </c>
      <c r="G165" s="38">
        <f t="shared" si="86"/>
        <v>3.5178233007409014E-2</v>
      </c>
      <c r="H165" s="38">
        <f t="shared" si="86"/>
        <v>4.2410228195109929E-2</v>
      </c>
      <c r="I165" s="38">
        <f t="shared" si="86"/>
        <v>5.1050320877679599E-2</v>
      </c>
      <c r="J165" s="38">
        <f t="shared" si="86"/>
        <v>6.1337880770376614E-2</v>
      </c>
      <c r="K165" s="38">
        <f t="shared" si="86"/>
        <v>7.3537914367909615E-2</v>
      </c>
      <c r="L165" s="38">
        <f t="shared" si="86"/>
        <v>8.7937190637713658E-2</v>
      </c>
      <c r="M165" s="38">
        <f t="shared" si="86"/>
        <v>0.10483690501937046</v>
      </c>
      <c r="N165" s="38">
        <f t="shared" si="86"/>
        <v>0.12454091655555405</v>
      </c>
      <c r="O165" s="38">
        <f t="shared" si="86"/>
        <v>0.14733873038038367</v>
      </c>
      <c r="P165" s="38">
        <f t="shared" si="86"/>
        <v>0.17348281378806671</v>
      </c>
      <c r="Q165" s="38">
        <f t="shared" si="86"/>
        <v>0.20316062397909951</v>
      </c>
      <c r="R165" s="38">
        <f t="shared" si="86"/>
        <v>0.23646292753426856</v>
      </c>
      <c r="S165" s="38">
        <f t="shared" si="86"/>
        <v>0.27335151642029026</v>
      </c>
      <c r="T165" s="38">
        <f t="shared" si="86"/>
        <v>0.31363098795994038</v>
      </c>
      <c r="U165" s="38">
        <f t="shared" si="86"/>
        <v>0.35693035844923987</v>
      </c>
      <c r="V165" s="38">
        <f t="shared" si="86"/>
        <v>0.40270030348233876</v>
      </c>
      <c r="W165" s="38">
        <f t="shared" si="86"/>
        <v>0.45023025804940048</v>
      </c>
      <c r="X165" s="43">
        <f t="shared" si="86"/>
        <v>0.4986863940071718</v>
      </c>
    </row>
    <row r="166" spans="2:24" x14ac:dyDescent="0.35">
      <c r="B166" s="75"/>
      <c r="C166" s="24">
        <v>0.75</v>
      </c>
      <c r="D166" s="42">
        <f t="shared" ref="D166:X166" si="87">1/(1+EXP(-D192))</f>
        <v>2.4155934953720402E-2</v>
      </c>
      <c r="E166" s="38">
        <f t="shared" si="87"/>
        <v>2.9190506012995832E-2</v>
      </c>
      <c r="F166" s="38">
        <f t="shared" si="87"/>
        <v>3.5236491500203047E-2</v>
      </c>
      <c r="G166" s="38">
        <f t="shared" si="87"/>
        <v>4.2479936231228151E-2</v>
      </c>
      <c r="H166" s="38">
        <f t="shared" si="87"/>
        <v>5.1133471969943341E-2</v>
      </c>
      <c r="I166" s="38">
        <f t="shared" si="87"/>
        <v>6.1436703464394254E-2</v>
      </c>
      <c r="J166" s="38">
        <f t="shared" si="87"/>
        <v>7.3654850438408762E-2</v>
      </c>
      <c r="K166" s="38">
        <f t="shared" si="87"/>
        <v>8.8074846951945104E-2</v>
      </c>
      <c r="L166" s="38">
        <f t="shared" si="87"/>
        <v>0.1049979705348198</v>
      </c>
      <c r="M166" s="38">
        <f t="shared" si="87"/>
        <v>0.12472803622025208</v>
      </c>
      <c r="N166" s="38">
        <f t="shared" si="87"/>
        <v>0.14755432999872367</v>
      </c>
      <c r="O166" s="38">
        <f t="shared" si="87"/>
        <v>0.17372887513044674</v>
      </c>
      <c r="P166" s="38">
        <f t="shared" si="87"/>
        <v>0.2034384182277035</v>
      </c>
      <c r="Q166" s="38">
        <f t="shared" si="87"/>
        <v>0.2367727274520551</v>
      </c>
      <c r="R166" s="38">
        <f t="shared" si="87"/>
        <v>0.27369232182872727</v>
      </c>
      <c r="S166" s="38">
        <f t="shared" si="87"/>
        <v>0.3140003117127233</v>
      </c>
      <c r="T166" s="38">
        <f t="shared" si="87"/>
        <v>0.35732412592390944</v>
      </c>
      <c r="U166" s="38">
        <f t="shared" si="87"/>
        <v>0.40311291229191099</v>
      </c>
      <c r="V166" s="38">
        <f t="shared" si="87"/>
        <v>0.45065482320648009</v>
      </c>
      <c r="W166" s="38">
        <f t="shared" si="87"/>
        <v>0.49911516930168109</v>
      </c>
      <c r="X166" s="43">
        <f t="shared" si="87"/>
        <v>0.54759214468106909</v>
      </c>
    </row>
    <row r="167" spans="2:24" x14ac:dyDescent="0.35">
      <c r="B167" s="75"/>
      <c r="C167" s="24">
        <v>0.7</v>
      </c>
      <c r="D167" s="42">
        <f t="shared" ref="D167:X167" si="88">1/(1+EXP(-D193))</f>
        <v>2.9239148775658502E-2</v>
      </c>
      <c r="E167" s="38">
        <f t="shared" si="88"/>
        <v>3.5294842945127795E-2</v>
      </c>
      <c r="F167" s="38">
        <f t="shared" si="88"/>
        <v>4.2549753752611649E-2</v>
      </c>
      <c r="G167" s="38">
        <f t="shared" si="88"/>
        <v>5.1216751189429748E-2</v>
      </c>
      <c r="H167" s="38">
        <f t="shared" si="88"/>
        <v>6.1535674936003433E-2</v>
      </c>
      <c r="I167" s="38">
        <f t="shared" si="88"/>
        <v>7.3771957648017097E-2</v>
      </c>
      <c r="J167" s="38">
        <f t="shared" si="88"/>
        <v>8.8212697911128402E-2</v>
      </c>
      <c r="K167" s="38">
        <f t="shared" si="88"/>
        <v>0.10515925443284074</v>
      </c>
      <c r="L167" s="38">
        <f t="shared" si="88"/>
        <v>0.12491539691263348</v>
      </c>
      <c r="M167" s="38">
        <f t="shared" si="88"/>
        <v>0.14777019042723846</v>
      </c>
      <c r="N167" s="38">
        <f t="shared" si="88"/>
        <v>0.17397521201424165</v>
      </c>
      <c r="O167" s="38">
        <f t="shared" si="88"/>
        <v>0.20371649521214064</v>
      </c>
      <c r="P167" s="38">
        <f t="shared" si="88"/>
        <v>0.23708280722289821</v>
      </c>
      <c r="Q167" s="38">
        <f t="shared" si="88"/>
        <v>0.27403339190192966</v>
      </c>
      <c r="R167" s="38">
        <f t="shared" si="88"/>
        <v>0.31436987117646964</v>
      </c>
      <c r="S167" s="38">
        <f t="shared" si="88"/>
        <v>0.35771808615924972</v>
      </c>
      <c r="T167" s="38">
        <f t="shared" si="88"/>
        <v>0.40352565825227904</v>
      </c>
      <c r="U167" s="38">
        <f t="shared" si="88"/>
        <v>0.4510794602335485</v>
      </c>
      <c r="V167" s="38">
        <f t="shared" si="88"/>
        <v>0.49954394589759482</v>
      </c>
      <c r="W167" s="38">
        <f t="shared" si="88"/>
        <v>0.5480170025465374</v>
      </c>
      <c r="X167" s="43">
        <f t="shared" si="88"/>
        <v>0.59559588212711256</v>
      </c>
    </row>
    <row r="168" spans="2:24" x14ac:dyDescent="0.35">
      <c r="B168" s="75"/>
      <c r="C168" s="24">
        <v>0.65</v>
      </c>
      <c r="D168" s="42">
        <f t="shared" ref="D168:X168" si="89">1/(1+EXP(-D194))</f>
        <v>3.5353287478791268E-2</v>
      </c>
      <c r="E168" s="38">
        <f t="shared" si="89"/>
        <v>4.2619680914474024E-2</v>
      </c>
      <c r="F168" s="38">
        <f t="shared" si="89"/>
        <v>5.1300158709742895E-2</v>
      </c>
      <c r="G168" s="38">
        <f t="shared" si="89"/>
        <v>6.1634795375538079E-2</v>
      </c>
      <c r="H168" s="38">
        <f t="shared" si="89"/>
        <v>7.3889236200090039E-2</v>
      </c>
      <c r="I168" s="38">
        <f t="shared" si="89"/>
        <v>8.8350743725213884E-2</v>
      </c>
      <c r="J168" s="38">
        <f t="shared" si="89"/>
        <v>0.10532075692018016</v>
      </c>
      <c r="K168" s="38">
        <f t="shared" si="89"/>
        <v>0.12510299882259485</v>
      </c>
      <c r="L168" s="38">
        <f t="shared" si="89"/>
        <v>0.14798631182140229</v>
      </c>
      <c r="M168" s="38">
        <f t="shared" si="89"/>
        <v>0.17422182453961993</v>
      </c>
      <c r="N168" s="38">
        <f t="shared" si="89"/>
        <v>0.20399485495465824</v>
      </c>
      <c r="O168" s="38">
        <f t="shared" si="89"/>
        <v>0.23739316676948721</v>
      </c>
      <c r="P168" s="38">
        <f t="shared" si="89"/>
        <v>0.27437472644608968</v>
      </c>
      <c r="Q168" s="38">
        <f t="shared" si="89"/>
        <v>0.3147396660328371</v>
      </c>
      <c r="R168" s="38">
        <f t="shared" si="89"/>
        <v>0.35811223871697684</v>
      </c>
      <c r="S168" s="38">
        <f t="shared" si="89"/>
        <v>0.40393854082446812</v>
      </c>
      <c r="T168" s="38">
        <f t="shared" si="89"/>
        <v>0.45150416852414199</v>
      </c>
      <c r="U168" s="38">
        <f t="shared" si="89"/>
        <v>0.49997272316427244</v>
      </c>
      <c r="V168" s="38">
        <f t="shared" si="89"/>
        <v>0.54844179043993835</v>
      </c>
      <c r="W168" s="38">
        <f t="shared" si="89"/>
        <v>0.59600891804520217</v>
      </c>
      <c r="X168" s="43">
        <f t="shared" si="89"/>
        <v>0.64183759918650585</v>
      </c>
    </row>
    <row r="169" spans="2:24" x14ac:dyDescent="0.35">
      <c r="B169" s="75"/>
      <c r="C169" s="24">
        <v>0.6</v>
      </c>
      <c r="D169" s="42">
        <f t="shared" ref="D169:X169" si="90">1/(1+EXP(-D195))</f>
        <v>4.2689717872193715E-2</v>
      </c>
      <c r="E169" s="38">
        <f t="shared" si="90"/>
        <v>5.1383694704644232E-2</v>
      </c>
      <c r="F169" s="38">
        <f t="shared" si="90"/>
        <v>6.1734064973466687E-2</v>
      </c>
      <c r="G169" s="38">
        <f t="shared" si="90"/>
        <v>7.4006686298073915E-2</v>
      </c>
      <c r="H169" s="38">
        <f t="shared" si="90"/>
        <v>8.848898460417165E-2</v>
      </c>
      <c r="I169" s="38">
        <f t="shared" si="90"/>
        <v>0.10548247820350222</v>
      </c>
      <c r="J169" s="38">
        <f t="shared" si="90"/>
        <v>0.12529084213981165</v>
      </c>
      <c r="K169" s="38">
        <f t="shared" si="90"/>
        <v>0.14820269433629729</v>
      </c>
      <c r="L169" s="38">
        <f t="shared" si="90"/>
        <v>0.17446871280616258</v>
      </c>
      <c r="M169" s="38">
        <f t="shared" si="90"/>
        <v>0.20427349747671694</v>
      </c>
      <c r="N169" s="38">
        <f t="shared" si="90"/>
        <v>0.23770380601354832</v>
      </c>
      <c r="O169" s="38">
        <f t="shared" si="90"/>
        <v>0.27471632526632034</v>
      </c>
      <c r="P169" s="38">
        <f t="shared" si="90"/>
        <v>0.31510969596238575</v>
      </c>
      <c r="Q169" s="38">
        <f t="shared" si="90"/>
        <v>0.35850658315781236</v>
      </c>
      <c r="R169" s="38">
        <f t="shared" si="90"/>
        <v>0.40435155946874562</v>
      </c>
      <c r="S169" s="38">
        <f t="shared" si="90"/>
        <v>0.45192894747138374</v>
      </c>
      <c r="T169" s="38">
        <f t="shared" si="90"/>
        <v>0.50040150047106879</v>
      </c>
      <c r="U169" s="38">
        <f t="shared" si="90"/>
        <v>0.54886650775393397</v>
      </c>
      <c r="V169" s="38">
        <f t="shared" si="90"/>
        <v>0.59642181795992844</v>
      </c>
      <c r="W169" s="38">
        <f t="shared" si="90"/>
        <v>0.64223177618207605</v>
      </c>
      <c r="X169" s="43">
        <f t="shared" si="90"/>
        <v>0.68558309260742034</v>
      </c>
    </row>
    <row r="170" spans="2:24" x14ac:dyDescent="0.35">
      <c r="B170" s="75"/>
      <c r="C170" s="24">
        <v>0.55000000000000004</v>
      </c>
      <c r="D170" s="42">
        <f t="shared" ref="D170:X170" si="91">1/(1+EXP(-D196))</f>
        <v>5.1467359348052355E-2</v>
      </c>
      <c r="E170" s="38">
        <f t="shared" si="91"/>
        <v>6.1833483920391855E-2</v>
      </c>
      <c r="F170" s="38">
        <f t="shared" si="91"/>
        <v>7.4124308145505177E-2</v>
      </c>
      <c r="G170" s="38">
        <f t="shared" si="91"/>
        <v>8.8627420757991029E-2</v>
      </c>
      <c r="H170" s="38">
        <f t="shared" si="91"/>
        <v>0.10564441848938659</v>
      </c>
      <c r="I170" s="38">
        <f t="shared" si="91"/>
        <v>0.12547892705373687</v>
      </c>
      <c r="J170" s="38">
        <f t="shared" si="91"/>
        <v>0.14841933812661104</v>
      </c>
      <c r="K170" s="38">
        <f t="shared" si="91"/>
        <v>0.17471587691286114</v>
      </c>
      <c r="L170" s="38">
        <f t="shared" si="91"/>
        <v>0.20455242279898778</v>
      </c>
      <c r="M170" s="38">
        <f t="shared" si="91"/>
        <v>0.23801472487584321</v>
      </c>
      <c r="N170" s="38">
        <f t="shared" si="91"/>
        <v>0.27505818816665417</v>
      </c>
      <c r="O170" s="38">
        <f t="shared" si="91"/>
        <v>0.31547996064457673</v>
      </c>
      <c r="P170" s="38">
        <f t="shared" si="91"/>
        <v>0.35890111904148564</v>
      </c>
      <c r="Q170" s="38">
        <f t="shared" si="91"/>
        <v>0.40476471364462147</v>
      </c>
      <c r="R170" s="38">
        <f t="shared" si="91"/>
        <v>0.45235379646798757</v>
      </c>
      <c r="S170" s="38">
        <f t="shared" si="91"/>
        <v>0.50083027718733852</v>
      </c>
      <c r="T170" s="38">
        <f t="shared" si="91"/>
        <v>0.54929115388159488</v>
      </c>
      <c r="U170" s="38">
        <f t="shared" si="91"/>
        <v>0.59683458133146217</v>
      </c>
      <c r="V170" s="38">
        <f t="shared" si="91"/>
        <v>0.64262576091109369</v>
      </c>
      <c r="W170" s="38">
        <f t="shared" si="91"/>
        <v>0.68595268203804538</v>
      </c>
      <c r="X170" s="43">
        <f t="shared" si="91"/>
        <v>0.72626429825887107</v>
      </c>
    </row>
    <row r="171" spans="2:24" x14ac:dyDescent="0.35">
      <c r="B171" s="75"/>
      <c r="C171" s="24">
        <v>0.5</v>
      </c>
      <c r="D171" s="42">
        <f t="shared" ref="D171:X171" si="92">1/(1+EXP(-D197))</f>
        <v>6.1933052407050361E-2</v>
      </c>
      <c r="E171" s="38">
        <f t="shared" si="92"/>
        <v>7.4242101946010178E-2</v>
      </c>
      <c r="F171" s="38">
        <f t="shared" si="92"/>
        <v>8.8766052396679923E-2</v>
      </c>
      <c r="G171" s="38">
        <f t="shared" si="92"/>
        <v>0.10580657798432798</v>
      </c>
      <c r="H171" s="38">
        <f t="shared" si="92"/>
        <v>0.12566725375359944</v>
      </c>
      <c r="I171" s="38">
        <f t="shared" si="92"/>
        <v>0.14863624334663611</v>
      </c>
      <c r="J171" s="38">
        <f t="shared" si="92"/>
        <v>0.17496331695811632</v>
      </c>
      <c r="K171" s="38">
        <f t="shared" si="92"/>
        <v>0.20483163094135123</v>
      </c>
      <c r="L171" s="38">
        <f t="shared" si="92"/>
        <v>0.23832592327616764</v>
      </c>
      <c r="M171" s="38">
        <f t="shared" si="92"/>
        <v>0.27540031495004413</v>
      </c>
      <c r="N171" s="38">
        <f t="shared" si="92"/>
        <v>0.31585045975777359</v>
      </c>
      <c r="O171" s="38">
        <f t="shared" si="92"/>
        <v>0.35929584592673502</v>
      </c>
      <c r="P171" s="38">
        <f t="shared" si="92"/>
        <v>0.40517800281085342</v>
      </c>
      <c r="Q171" s="38">
        <f t="shared" si="92"/>
        <v>0.4527787149062602</v>
      </c>
      <c r="R171" s="38">
        <f t="shared" si="92"/>
        <v>0.50125905268244042</v>
      </c>
      <c r="S171" s="38">
        <f t="shared" si="92"/>
        <v>0.5497157282164048</v>
      </c>
      <c r="T171" s="38">
        <f t="shared" si="92"/>
        <v>0.59724720762073202</v>
      </c>
      <c r="U171" s="38">
        <f t="shared" si="92"/>
        <v>0.64301955293514867</v>
      </c>
      <c r="V171" s="38">
        <f t="shared" si="92"/>
        <v>0.68632203579814877</v>
      </c>
      <c r="W171" s="38">
        <f t="shared" si="92"/>
        <v>0.72660513735152921</v>
      </c>
      <c r="X171" s="43">
        <f t="shared" si="92"/>
        <v>0.76349767192878204</v>
      </c>
    </row>
    <row r="172" spans="2:24" x14ac:dyDescent="0.35">
      <c r="B172" s="75"/>
      <c r="C172" s="24">
        <v>0.45</v>
      </c>
      <c r="D172" s="42">
        <f t="shared" ref="D172:X172" si="93">1/(1+EXP(-D198))</f>
        <v>7.4360067903304308E-2</v>
      </c>
      <c r="E172" s="38">
        <f t="shared" si="93"/>
        <v>8.8904879730263731E-2</v>
      </c>
      <c r="F172" s="38">
        <f t="shared" si="93"/>
        <v>0.10596895689473457</v>
      </c>
      <c r="G172" s="38">
        <f t="shared" si="93"/>
        <v>0.12585582242840293</v>
      </c>
      <c r="H172" s="38">
        <f t="shared" si="93"/>
        <v>0.14885341015026698</v>
      </c>
      <c r="I172" s="38">
        <f t="shared" si="93"/>
        <v>0.17521103303973612</v>
      </c>
      <c r="J172" s="38">
        <f t="shared" si="93"/>
        <v>0.20511112192289513</v>
      </c>
      <c r="K172" s="38">
        <f t="shared" si="93"/>
        <v>0.23863740113334975</v>
      </c>
      <c r="L172" s="38">
        <f t="shared" si="93"/>
        <v>0.27574270541836127</v>
      </c>
      <c r="M172" s="38">
        <f t="shared" si="93"/>
        <v>0.31622119297924256</v>
      </c>
      <c r="N172" s="38">
        <f t="shared" si="93"/>
        <v>0.35969076337130884</v>
      </c>
      <c r="O172" s="38">
        <f t="shared" si="93"/>
        <v>0.4055914264254471</v>
      </c>
      <c r="P172" s="38">
        <f t="shared" si="93"/>
        <v>0.45320370217810602</v>
      </c>
      <c r="Q172" s="38">
        <f t="shared" si="93"/>
        <v>0.50168782632573972</v>
      </c>
      <c r="R172" s="38">
        <f t="shared" si="93"/>
        <v>0.5501402301522641</v>
      </c>
      <c r="S172" s="38">
        <f t="shared" si="93"/>
        <v>0.59765969628942783</v>
      </c>
      <c r="T172" s="38">
        <f t="shared" si="93"/>
        <v>0.64341315181682546</v>
      </c>
      <c r="U172" s="38">
        <f t="shared" si="93"/>
        <v>0.68669115357034827</v>
      </c>
      <c r="V172" s="38">
        <f t="shared" si="93"/>
        <v>0.72694571161115351</v>
      </c>
      <c r="W172" s="38">
        <f t="shared" si="93"/>
        <v>0.76380722753699903</v>
      </c>
      <c r="X172" s="43">
        <f t="shared" si="93"/>
        <v>0.79708159525028044</v>
      </c>
    </row>
    <row r="173" spans="2:24" x14ac:dyDescent="0.35">
      <c r="B173" s="75"/>
      <c r="C173" s="24">
        <v>0.4</v>
      </c>
      <c r="D173" s="42">
        <f t="shared" ref="D173:X173" si="94">1/(1+EXP(-D199))</f>
        <v>8.9043902968784838E-2</v>
      </c>
      <c r="E173" s="38">
        <f t="shared" si="94"/>
        <v>0.10613155542692747</v>
      </c>
      <c r="F173" s="38">
        <f t="shared" si="94"/>
        <v>0.12604463326692428</v>
      </c>
      <c r="G173" s="38">
        <f t="shared" si="94"/>
        <v>0.14907083869099963</v>
      </c>
      <c r="H173" s="38">
        <f t="shared" si="94"/>
        <v>0.17545902525493379</v>
      </c>
      <c r="I173" s="38">
        <f t="shared" si="94"/>
        <v>0.20539089576191366</v>
      </c>
      <c r="J173" s="38">
        <f t="shared" si="94"/>
        <v>0.23894915836524913</v>
      </c>
      <c r="K173" s="38">
        <f t="shared" si="94"/>
        <v>0.27608535937239531</v>
      </c>
      <c r="L173" s="38">
        <f t="shared" si="94"/>
        <v>0.31659215998515267</v>
      </c>
      <c r="M173" s="38">
        <f t="shared" si="94"/>
        <v>0.36008587093196825</v>
      </c>
      <c r="N173" s="38">
        <f t="shared" si="94"/>
        <v>0.40600498394565993</v>
      </c>
      <c r="O173" s="38">
        <f t="shared" si="94"/>
        <v>0.45362875767502941</v>
      </c>
      <c r="P173" s="38">
        <f t="shared" si="94"/>
        <v>0.50211659748661286</v>
      </c>
      <c r="Q173" s="38">
        <f t="shared" si="94"/>
        <v>0.55056465908349173</v>
      </c>
      <c r="R173" s="38">
        <f t="shared" si="94"/>
        <v>0.59807204680000381</v>
      </c>
      <c r="S173" s="38">
        <f t="shared" si="94"/>
        <v>0.64380655711970491</v>
      </c>
      <c r="T173" s="38">
        <f t="shared" si="94"/>
        <v>0.68706003503836011</v>
      </c>
      <c r="U173" s="38">
        <f t="shared" si="94"/>
        <v>0.72728602084595617</v>
      </c>
      <c r="V173" s="38">
        <f t="shared" si="94"/>
        <v>0.76411650314996149</v>
      </c>
      <c r="W173" s="38">
        <f t="shared" si="94"/>
        <v>0.79735886006248502</v>
      </c>
      <c r="X173" s="43">
        <f t="shared" si="94"/>
        <v>0.82697726146553985</v>
      </c>
    </row>
    <row r="174" spans="2:24" x14ac:dyDescent="0.35">
      <c r="B174" s="75"/>
      <c r="C174" s="24">
        <v>0.35</v>
      </c>
      <c r="D174" s="42">
        <f t="shared" ref="D174:X174" si="95">1/(1+EXP(-D200))</f>
        <v>0.10629437378713912</v>
      </c>
      <c r="E174" s="38">
        <f t="shared" si="95"/>
        <v>0.12623368645771235</v>
      </c>
      <c r="F174" s="38">
        <f t="shared" si="95"/>
        <v>0.14928852912192925</v>
      </c>
      <c r="G174" s="38">
        <f t="shared" si="95"/>
        <v>0.17570729370032642</v>
      </c>
      <c r="H174" s="38">
        <f t="shared" si="95"/>
        <v>0.2056709524759045</v>
      </c>
      <c r="I174" s="38">
        <f t="shared" si="95"/>
        <v>0.23926119488875564</v>
      </c>
      <c r="J174" s="38">
        <f t="shared" si="95"/>
        <v>0.27642827661185304</v>
      </c>
      <c r="K174" s="38">
        <f t="shared" si="95"/>
        <v>0.31696336045057644</v>
      </c>
      <c r="L174" s="38">
        <f t="shared" si="95"/>
        <v>0.36048116816448772</v>
      </c>
      <c r="M174" s="38">
        <f t="shared" si="95"/>
        <v>0.40641867482800437</v>
      </c>
      <c r="N174" s="38">
        <f t="shared" si="95"/>
        <v>0.45405388078813846</v>
      </c>
      <c r="O174" s="38">
        <f t="shared" si="95"/>
        <v>0.50254536553445095</v>
      </c>
      <c r="P174" s="38">
        <f t="shared" si="95"/>
        <v>0.55098901440483072</v>
      </c>
      <c r="Q174" s="38">
        <f t="shared" si="95"/>
        <v>0.59848425861567955</v>
      </c>
      <c r="R174" s="38">
        <f t="shared" si="95"/>
        <v>0.64419976840836757</v>
      </c>
      <c r="S174" s="38">
        <f t="shared" si="95"/>
        <v>0.68742867988699974</v>
      </c>
      <c r="T174" s="38">
        <f t="shared" si="95"/>
        <v>0.72762606486522563</v>
      </c>
      <c r="U174" s="38">
        <f t="shared" si="95"/>
        <v>0.76442549869311904</v>
      </c>
      <c r="V174" s="38">
        <f t="shared" si="95"/>
        <v>0.79763584220713279</v>
      </c>
      <c r="W174" s="38">
        <f t="shared" si="95"/>
        <v>0.82722253180351624</v>
      </c>
      <c r="X174" s="43">
        <f t="shared" si="95"/>
        <v>0.8532791881510996</v>
      </c>
    </row>
    <row r="175" spans="2:24" x14ac:dyDescent="0.35">
      <c r="B175" s="75"/>
      <c r="C175" s="24">
        <v>0.3</v>
      </c>
      <c r="D175" s="42">
        <f t="shared" ref="D175:X175" si="96">1/(1+EXP(-D201))</f>
        <v>0.12642298218908643</v>
      </c>
      <c r="E175" s="38">
        <f t="shared" si="96"/>
        <v>0.14950648159574878</v>
      </c>
      <c r="F175" s="38">
        <f t="shared" si="96"/>
        <v>0.17595583847193286</v>
      </c>
      <c r="G175" s="38">
        <f t="shared" si="96"/>
        <v>0.20595129208156812</v>
      </c>
      <c r="H175" s="38">
        <f t="shared" si="96"/>
        <v>0.23957351061978754</v>
      </c>
      <c r="I175" s="38">
        <f t="shared" si="96"/>
        <v>0.27677145693535893</v>
      </c>
      <c r="J175" s="38">
        <f t="shared" si="96"/>
        <v>0.31733479404948967</v>
      </c>
      <c r="K175" s="38">
        <f t="shared" si="96"/>
        <v>0.36087665462365676</v>
      </c>
      <c r="L175" s="38">
        <f t="shared" si="96"/>
        <v>0.40683249852824921</v>
      </c>
      <c r="M175" s="38">
        <f t="shared" si="96"/>
        <v>0.45447907090814921</v>
      </c>
      <c r="N175" s="38">
        <f t="shared" si="96"/>
        <v>0.50297412983866285</v>
      </c>
      <c r="O175" s="38">
        <f t="shared" si="96"/>
        <v>0.55141329551145013</v>
      </c>
      <c r="P175" s="38">
        <f t="shared" si="96"/>
        <v>0.59889633120044428</v>
      </c>
      <c r="Q175" s="38">
        <f t="shared" si="96"/>
        <v>0.64459278524839236</v>
      </c>
      <c r="R175" s="38">
        <f t="shared" si="96"/>
        <v>0.68779708780218307</v>
      </c>
      <c r="S175" s="38">
        <f t="shared" si="96"/>
        <v>0.72796584347932758</v>
      </c>
      <c r="T175" s="38">
        <f t="shared" si="96"/>
        <v>0.76473421409287889</v>
      </c>
      <c r="U175" s="38">
        <f t="shared" si="96"/>
        <v>0.79791254170950487</v>
      </c>
      <c r="V175" s="38">
        <f t="shared" si="96"/>
        <v>0.82746752699351633</v>
      </c>
      <c r="W175" s="38">
        <f t="shared" si="96"/>
        <v>0.85349377918600022</v>
      </c>
      <c r="X175" s="43">
        <f t="shared" si="96"/>
        <v>0.87618148401145446</v>
      </c>
    </row>
    <row r="176" spans="2:24" x14ac:dyDescent="0.35">
      <c r="B176" s="75"/>
      <c r="C176" s="24">
        <v>0.25</v>
      </c>
      <c r="D176" s="42">
        <f t="shared" ref="D176:X176" si="97">1/(1+EXP(-D202))</f>
        <v>0.14972469626474716</v>
      </c>
      <c r="E176" s="38">
        <f t="shared" si="97"/>
        <v>0.17620465966517232</v>
      </c>
      <c r="F176" s="38">
        <f t="shared" si="97"/>
        <v>0.20623191459480586</v>
      </c>
      <c r="G176" s="38">
        <f t="shared" si="97"/>
        <v>0.23988610547329076</v>
      </c>
      <c r="H176" s="38">
        <f t="shared" si="97"/>
        <v>0.27711490014045331</v>
      </c>
      <c r="I176" s="38">
        <f t="shared" si="97"/>
        <v>0.31770646045477291</v>
      </c>
      <c r="J176" s="38">
        <f t="shared" si="97"/>
        <v>0.36127232986328178</v>
      </c>
      <c r="K176" s="38">
        <f t="shared" si="97"/>
        <v>0.40724645450142333</v>
      </c>
      <c r="L176" s="38">
        <f t="shared" si="97"/>
        <v>0.45490432742538844</v>
      </c>
      <c r="M176" s="38">
        <f t="shared" si="97"/>
        <v>0.50340288976868031</v>
      </c>
      <c r="N176" s="38">
        <f t="shared" si="97"/>
        <v>0.55183750179894819</v>
      </c>
      <c r="O176" s="38">
        <f t="shared" si="97"/>
        <v>0.59930826401905823</v>
      </c>
      <c r="P176" s="38">
        <f t="shared" si="97"/>
        <v>0.64498560720636045</v>
      </c>
      <c r="Q176" s="38">
        <f t="shared" si="97"/>
        <v>0.68816525847092569</v>
      </c>
      <c r="R176" s="38">
        <f t="shared" si="97"/>
        <v>0.72830535649970363</v>
      </c>
      <c r="S176" s="38">
        <f t="shared" si="97"/>
        <v>0.76504264927660504</v>
      </c>
      <c r="T176" s="38">
        <f t="shared" si="97"/>
        <v>0.79818895859566041</v>
      </c>
      <c r="U176" s="38">
        <f t="shared" si="97"/>
        <v>0.82771224713854574</v>
      </c>
      <c r="V176" s="38">
        <f t="shared" si="97"/>
        <v>0.85370811017387838</v>
      </c>
      <c r="W176" s="38">
        <f t="shared" si="97"/>
        <v>0.87636743192813571</v>
      </c>
      <c r="X176" s="43">
        <f t="shared" si="97"/>
        <v>0.89594481216423827</v>
      </c>
    </row>
    <row r="177" spans="2:24" x14ac:dyDescent="0.35">
      <c r="B177" s="75"/>
      <c r="C177" s="24">
        <v>0.2</v>
      </c>
      <c r="D177" s="42">
        <f t="shared" ref="D177:X177" si="98">1/(1+EXP(-D203))</f>
        <v>0.17645375737486202</v>
      </c>
      <c r="E177" s="38">
        <f t="shared" si="98"/>
        <v>0.20651282003071805</v>
      </c>
      <c r="F177" s="38">
        <f t="shared" si="98"/>
        <v>0.24019897936323725</v>
      </c>
      <c r="G177" s="38">
        <f t="shared" si="98"/>
        <v>0.27745860602359268</v>
      </c>
      <c r="H177" s="38">
        <f t="shared" si="98"/>
        <v>0.31807835933821083</v>
      </c>
      <c r="I177" s="38">
        <f t="shared" si="98"/>
        <v>0.36166819343618783</v>
      </c>
      <c r="J177" s="38">
        <f t="shared" si="98"/>
        <v>0.40766054220181763</v>
      </c>
      <c r="K177" s="38">
        <f t="shared" si="98"/>
        <v>0.45532964972979673</v>
      </c>
      <c r="L177" s="38">
        <f t="shared" si="98"/>
        <v>0.50383164469396047</v>
      </c>
      <c r="M177" s="38">
        <f t="shared" si="98"/>
        <v>0.5522616326633577</v>
      </c>
      <c r="N177" s="38">
        <f t="shared" si="98"/>
        <v>0.59972005653705562</v>
      </c>
      <c r="O177" s="38">
        <f t="shared" si="98"/>
        <v>0.64537823384985527</v>
      </c>
      <c r="P177" s="38">
        <f t="shared" si="98"/>
        <v>0.68853319158134441</v>
      </c>
      <c r="Q177" s="38">
        <f t="shared" si="98"/>
        <v>0.72864460373887074</v>
      </c>
      <c r="R177" s="38">
        <f t="shared" si="98"/>
        <v>0.76535080417261747</v>
      </c>
      <c r="S177" s="38">
        <f t="shared" si="98"/>
        <v>0.79846509289243639</v>
      </c>
      <c r="T177" s="38">
        <f t="shared" si="98"/>
        <v>0.82795669234218683</v>
      </c>
      <c r="U177" s="38">
        <f t="shared" si="98"/>
        <v>0.85392218127248054</v>
      </c>
      <c r="V177" s="38">
        <f t="shared" si="98"/>
        <v>0.87655313993674455</v>
      </c>
      <c r="W177" s="38">
        <f t="shared" si="98"/>
        <v>0.89610459934589515</v>
      </c>
      <c r="X177" s="43">
        <f t="shared" si="98"/>
        <v>0.91286731609932881</v>
      </c>
    </row>
    <row r="178" spans="2:24" x14ac:dyDescent="0.35">
      <c r="B178" s="75"/>
      <c r="C178" s="24">
        <v>0.15</v>
      </c>
      <c r="D178" s="42">
        <f t="shared" ref="D178:X178" si="99">1/(1+EXP(-D204))</f>
        <v>0.20679400840360213</v>
      </c>
      <c r="E178" s="38">
        <f t="shared" si="99"/>
        <v>0.24051213220262377</v>
      </c>
      <c r="F178" s="38">
        <f t="shared" si="99"/>
        <v>0.27780257438014871</v>
      </c>
      <c r="G178" s="38">
        <f t="shared" si="99"/>
        <v>0.31845049037049322</v>
      </c>
      <c r="H178" s="38">
        <f t="shared" si="99"/>
        <v>0.36206424489421934</v>
      </c>
      <c r="I178" s="38">
        <f t="shared" si="99"/>
        <v>0.40807476108298829</v>
      </c>
      <c r="J178" s="38">
        <f t="shared" si="99"/>
        <v>0.45575503721093225</v>
      </c>
      <c r="K178" s="38">
        <f t="shared" si="99"/>
        <v>0.50426039398398981</v>
      </c>
      <c r="L178" s="38">
        <f t="shared" si="99"/>
        <v>0.55268568750114666</v>
      </c>
      <c r="M178" s="38">
        <f t="shared" si="99"/>
        <v>0.60013170822074768</v>
      </c>
      <c r="N178" s="38">
        <f t="shared" si="99"/>
        <v>0.64577066474746425</v>
      </c>
      <c r="O178" s="38">
        <f t="shared" si="99"/>
        <v>0.68890088682265571</v>
      </c>
      <c r="P178" s="38">
        <f t="shared" si="99"/>
        <v>0.72898358501042071</v>
      </c>
      <c r="Q178" s="38">
        <f t="shared" si="99"/>
        <v>0.76565867871018922</v>
      </c>
      <c r="R178" s="38">
        <f t="shared" si="99"/>
        <v>0.79874094462744583</v>
      </c>
      <c r="S178" s="38">
        <f t="shared" si="99"/>
        <v>0.82820086270859705</v>
      </c>
      <c r="T178" s="38">
        <f t="shared" si="99"/>
        <v>0.85413599263993378</v>
      </c>
      <c r="U178" s="38">
        <f t="shared" si="99"/>
        <v>0.87673860822866101</v>
      </c>
      <c r="V178" s="38">
        <f t="shared" si="99"/>
        <v>0.89626416956806809</v>
      </c>
      <c r="W178" s="38">
        <f t="shared" si="99"/>
        <v>0.9130036403419387</v>
      </c>
      <c r="X178" s="43">
        <f t="shared" si="99"/>
        <v>0.9272611465401922</v>
      </c>
    </row>
    <row r="179" spans="2:24" x14ac:dyDescent="0.35">
      <c r="B179" s="75"/>
      <c r="C179" s="24">
        <v>0.1</v>
      </c>
      <c r="D179" s="42">
        <f t="shared" ref="D179:X179" si="100">1/(1+EXP(-D205))</f>
        <v>0.24082556390347049</v>
      </c>
      <c r="E179" s="38">
        <f t="shared" si="100"/>
        <v>0.27814680500440753</v>
      </c>
      <c r="F179" s="38">
        <f t="shared" si="100"/>
        <v>0.31882285322121529</v>
      </c>
      <c r="G179" s="38">
        <f t="shared" si="100"/>
        <v>0.36246048378824253</v>
      </c>
      <c r="H179" s="38">
        <f t="shared" si="100"/>
        <v>0.40848911059775922</v>
      </c>
      <c r="I179" s="38">
        <f t="shared" si="100"/>
        <v>0.456180489257975</v>
      </c>
      <c r="J179" s="38">
        <f t="shared" si="100"/>
        <v>0.50468913700828755</v>
      </c>
      <c r="K179" s="38">
        <f t="shared" si="100"/>
        <v>0.55310966570922404</v>
      </c>
      <c r="L179" s="38">
        <f t="shared" si="100"/>
        <v>0.60054321853722437</v>
      </c>
      <c r="M179" s="38">
        <f t="shared" si="100"/>
        <v>0.64616289946878069</v>
      </c>
      <c r="N179" s="38">
        <f t="shared" si="100"/>
        <v>0.6892683438851771</v>
      </c>
      <c r="O179" s="38">
        <f t="shared" si="100"/>
        <v>0.72932230012901877</v>
      </c>
      <c r="P179" s="38">
        <f t="shared" si="100"/>
        <v>0.76596627281954666</v>
      </c>
      <c r="Q179" s="38">
        <f t="shared" si="100"/>
        <v>0.79901651382907446</v>
      </c>
      <c r="R179" s="38">
        <f t="shared" si="100"/>
        <v>0.82844475834250753</v>
      </c>
      <c r="S179" s="38">
        <f t="shared" si="100"/>
        <v>0.8543495444347452</v>
      </c>
      <c r="T179" s="38">
        <f t="shared" si="100"/>
        <v>0.8769238369954756</v>
      </c>
      <c r="U179" s="38">
        <f t="shared" si="100"/>
        <v>0.89642352303812167</v>
      </c>
      <c r="V179" s="38">
        <f t="shared" si="100"/>
        <v>0.91313977159170212</v>
      </c>
      <c r="W179" s="38">
        <f t="shared" si="100"/>
        <v>0.92737674236391532</v>
      </c>
      <c r="X179" s="43">
        <f t="shared" si="100"/>
        <v>0.93943495303042945</v>
      </c>
    </row>
    <row r="180" spans="2:24" x14ac:dyDescent="0.35">
      <c r="B180" s="75"/>
      <c r="C180" s="24">
        <v>0.05</v>
      </c>
      <c r="D180" s="42">
        <f t="shared" ref="D180:X180" si="101">1/(1+EXP(-D206))</f>
        <v>0.27849129768956965</v>
      </c>
      <c r="E180" s="38">
        <f t="shared" si="101"/>
        <v>0.31919544755887819</v>
      </c>
      <c r="F180" s="38">
        <f t="shared" si="101"/>
        <v>0.36285690966814693</v>
      </c>
      <c r="G180" s="38">
        <f t="shared" si="101"/>
        <v>0.4089035901982242</v>
      </c>
      <c r="H180" s="38">
        <f t="shared" si="101"/>
        <v>0.45660600525972889</v>
      </c>
      <c r="I180" s="38">
        <f t="shared" si="101"/>
        <v>0.50511787313641099</v>
      </c>
      <c r="J180" s="38">
        <f t="shared" si="101"/>
        <v>0.55353356668494147</v>
      </c>
      <c r="K180" s="38">
        <f t="shared" si="101"/>
        <v>0.60095458695435755</v>
      </c>
      <c r="L180" s="38">
        <f t="shared" si="101"/>
        <v>0.64655493758440497</v>
      </c>
      <c r="M180" s="38">
        <f t="shared" si="101"/>
        <v>0.68963556246032842</v>
      </c>
      <c r="N180" s="38">
        <f t="shared" si="101"/>
        <v>0.72966074891040356</v>
      </c>
      <c r="O180" s="38">
        <f t="shared" si="101"/>
        <v>0.76627358643186694</v>
      </c>
      <c r="P180" s="38">
        <f t="shared" si="101"/>
        <v>0.79929180052648108</v>
      </c>
      <c r="Q180" s="38">
        <f t="shared" si="101"/>
        <v>0.82868837934922146</v>
      </c>
      <c r="R180" s="38">
        <f t="shared" si="101"/>
        <v>0.85456283681579992</v>
      </c>
      <c r="S180" s="38">
        <f t="shared" si="101"/>
        <v>0.8771088264289878</v>
      </c>
      <c r="T180" s="38">
        <f t="shared" si="101"/>
        <v>0.89658265996349396</v>
      </c>
      <c r="U180" s="38">
        <f t="shared" si="101"/>
        <v>0.91327571005835939</v>
      </c>
      <c r="V180" s="38">
        <f t="shared" si="101"/>
        <v>0.92749216884880281</v>
      </c>
      <c r="W180" s="38">
        <f t="shared" si="101"/>
        <v>0.93953246397023127</v>
      </c>
      <c r="X180" s="43">
        <f t="shared" si="101"/>
        <v>0.94968187516442226</v>
      </c>
    </row>
    <row r="181" spans="2:24" ht="15" thickBot="1" x14ac:dyDescent="0.4">
      <c r="B181" s="76"/>
      <c r="C181" s="25">
        <v>0</v>
      </c>
      <c r="D181" s="44">
        <f t="shared" ref="D181:X181" si="102">1/(1+EXP(-D207))</f>
        <v>0.31956827305088931</v>
      </c>
      <c r="E181" s="45">
        <f t="shared" si="102"/>
        <v>0.36325352208284684</v>
      </c>
      <c r="F181" s="45">
        <f t="shared" si="102"/>
        <v>0.40931819933575092</v>
      </c>
      <c r="G181" s="45">
        <f t="shared" si="102"/>
        <v>0.45703158460462645</v>
      </c>
      <c r="H181" s="45">
        <f t="shared" si="102"/>
        <v>0.50554660173795651</v>
      </c>
      <c r="I181" s="45">
        <f t="shared" si="102"/>
        <v>0.55395738982609766</v>
      </c>
      <c r="J181" s="45">
        <f t="shared" si="102"/>
        <v>0.60136581294080294</v>
      </c>
      <c r="K181" s="45">
        <f t="shared" si="102"/>
        <v>0.64694677866594574</v>
      </c>
      <c r="L181" s="45">
        <f t="shared" si="102"/>
        <v>0.69000254224062985</v>
      </c>
      <c r="M181" s="45">
        <f t="shared" si="102"/>
        <v>0.72999893117138659</v>
      </c>
      <c r="N181" s="45">
        <f t="shared" si="102"/>
        <v>0.76658061947927691</v>
      </c>
      <c r="O181" s="45">
        <f t="shared" si="102"/>
        <v>0.79956680474959463</v>
      </c>
      <c r="P181" s="45">
        <f t="shared" si="102"/>
        <v>0.82893172583461106</v>
      </c>
      <c r="Q181" s="45">
        <f t="shared" si="102"/>
        <v>0.85477586994235899</v>
      </c>
      <c r="R181" s="45">
        <f t="shared" si="102"/>
        <v>0.87729357672120523</v>
      </c>
      <c r="S181" s="45">
        <f t="shared" si="102"/>
        <v>0.89674158055169573</v>
      </c>
      <c r="T181" s="45">
        <f t="shared" si="102"/>
        <v>0.91341145595162343</v>
      </c>
      <c r="U181" s="45">
        <f t="shared" si="102"/>
        <v>0.92760742619728875</v>
      </c>
      <c r="V181" s="45">
        <f t="shared" si="102"/>
        <v>0.93962982800428363</v>
      </c>
      <c r="W181" s="45">
        <f t="shared" si="102"/>
        <v>0.94976377057038663</v>
      </c>
      <c r="X181" s="46">
        <f t="shared" si="102"/>
        <v>0.95827213970471647</v>
      </c>
    </row>
    <row r="182" spans="2:24" x14ac:dyDescent="0.35">
      <c r="C182" s="9"/>
      <c r="D182" s="28">
        <v>0</v>
      </c>
      <c r="E182" s="26">
        <v>0.05</v>
      </c>
      <c r="F182" s="26">
        <v>0.1</v>
      </c>
      <c r="G182" s="26">
        <v>0.15</v>
      </c>
      <c r="H182" s="26">
        <v>0.2</v>
      </c>
      <c r="I182" s="26">
        <v>0.25</v>
      </c>
      <c r="J182" s="26">
        <v>0.3</v>
      </c>
      <c r="K182" s="26">
        <v>0.35</v>
      </c>
      <c r="L182" s="26">
        <v>0.4</v>
      </c>
      <c r="M182" s="26">
        <v>0.45</v>
      </c>
      <c r="N182" s="26">
        <v>0.5</v>
      </c>
      <c r="O182" s="26">
        <v>0.55000000000000004</v>
      </c>
      <c r="P182" s="26">
        <v>0.6</v>
      </c>
      <c r="Q182" s="26">
        <v>0.65</v>
      </c>
      <c r="R182" s="26">
        <v>0.7</v>
      </c>
      <c r="S182" s="26">
        <v>0.75</v>
      </c>
      <c r="T182" s="26">
        <v>0.8</v>
      </c>
      <c r="U182" s="26">
        <v>0.85</v>
      </c>
      <c r="V182" s="26">
        <v>0.9</v>
      </c>
      <c r="W182" s="26">
        <v>0.95</v>
      </c>
      <c r="X182" s="27">
        <v>1</v>
      </c>
    </row>
    <row r="183" spans="2:24" ht="21.5" thickBot="1" x14ac:dyDescent="0.55000000000000004">
      <c r="C183" s="9"/>
      <c r="D183" s="68" t="s">
        <v>64</v>
      </c>
      <c r="E183" s="69"/>
      <c r="F183" s="69"/>
      <c r="G183" s="69"/>
      <c r="H183" s="69"/>
      <c r="I183" s="69"/>
      <c r="J183" s="69"/>
      <c r="K183" s="69"/>
      <c r="L183" s="69"/>
      <c r="M183" s="69"/>
      <c r="N183" s="69"/>
      <c r="O183" s="69"/>
      <c r="P183" s="69"/>
      <c r="Q183" s="69"/>
      <c r="R183" s="69"/>
      <c r="S183" s="69"/>
      <c r="T183" s="69"/>
      <c r="U183" s="69"/>
      <c r="V183" s="69"/>
      <c r="W183" s="69"/>
      <c r="X183" s="70"/>
    </row>
    <row r="185" spans="2:24" ht="15" thickBot="1" x14ac:dyDescent="0.4"/>
    <row r="186" spans="2:24" ht="21.5" thickBot="1" x14ac:dyDescent="0.55000000000000004">
      <c r="B186" s="71" t="s">
        <v>16</v>
      </c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3"/>
    </row>
    <row r="187" spans="2:24" x14ac:dyDescent="0.35">
      <c r="B187" s="74" t="s">
        <v>6</v>
      </c>
      <c r="C187" s="27">
        <v>1</v>
      </c>
      <c r="D187" s="29">
        <f>(D$208 * $P$5) + $P$8 + ($C187 * $P$6) + $P$9</f>
        <v>-4.6797780836861982</v>
      </c>
      <c r="E187" s="30">
        <f t="shared" ref="E187:T202" si="103">(E$208 * $P$5) + $P$8 + ($C187 * $P$6) + $P$9</f>
        <v>-4.4852921166305393</v>
      </c>
      <c r="F187" s="30">
        <f t="shared" si="103"/>
        <v>-4.2908061495748804</v>
      </c>
      <c r="G187" s="30">
        <f>(G$208 * $P$5) + $P$8 + ($C187 * $P$6) + $P$9</f>
        <v>-4.0963201825192224</v>
      </c>
      <c r="H187" s="30">
        <f t="shared" ref="H187:X201" si="104">(H$208 * $P$5) + $P$8 + ($C187 * $P$6) + $P$9</f>
        <v>-3.9018342154635639</v>
      </c>
      <c r="I187" s="30">
        <f t="shared" si="104"/>
        <v>-3.7073482484079054</v>
      </c>
      <c r="J187" s="30">
        <f t="shared" si="104"/>
        <v>-3.5128622813522474</v>
      </c>
      <c r="K187" s="30">
        <f t="shared" si="104"/>
        <v>-3.3183763142965885</v>
      </c>
      <c r="L187" s="30">
        <f t="shared" si="104"/>
        <v>-3.1238903472409305</v>
      </c>
      <c r="M187" s="30">
        <f t="shared" si="104"/>
        <v>-2.929404380185272</v>
      </c>
      <c r="N187" s="30">
        <f t="shared" si="104"/>
        <v>-2.7349184131296136</v>
      </c>
      <c r="O187" s="30">
        <f t="shared" si="104"/>
        <v>-2.5404324460739547</v>
      </c>
      <c r="P187" s="30">
        <f t="shared" si="104"/>
        <v>-2.3459464790182967</v>
      </c>
      <c r="Q187" s="30">
        <f t="shared" si="104"/>
        <v>-2.1514605119626387</v>
      </c>
      <c r="R187" s="30">
        <f t="shared" si="104"/>
        <v>-1.9569745449069798</v>
      </c>
      <c r="S187" s="30">
        <f t="shared" si="104"/>
        <v>-1.7624885778513217</v>
      </c>
      <c r="T187" s="30">
        <f t="shared" si="104"/>
        <v>-1.5680026107956628</v>
      </c>
      <c r="U187" s="30">
        <f t="shared" si="104"/>
        <v>-1.3735166437400048</v>
      </c>
      <c r="V187" s="30">
        <f t="shared" si="104"/>
        <v>-1.1790306766843468</v>
      </c>
      <c r="W187" s="30">
        <f t="shared" si="104"/>
        <v>-0.9845447096286879</v>
      </c>
      <c r="X187" s="31">
        <f t="shared" si="104"/>
        <v>-0.79005874257302988</v>
      </c>
    </row>
    <row r="188" spans="2:24" x14ac:dyDescent="0.35">
      <c r="B188" s="75"/>
      <c r="C188" s="24">
        <v>0.95</v>
      </c>
      <c r="D188" s="32">
        <f>(D$208 * $P$5) + $P$8 + ($C188 * $P$6) + $P$9</f>
        <v>-4.4835770070580558</v>
      </c>
      <c r="E188" s="33">
        <f>(E$208 * $P$5) + $P$8 + ($C188 * $P$6) + $P$9</f>
        <v>-4.2890910400023978</v>
      </c>
      <c r="F188" s="33">
        <f t="shared" si="103"/>
        <v>-4.0946050729467398</v>
      </c>
      <c r="G188" s="33">
        <f t="shared" si="103"/>
        <v>-3.9001191058910814</v>
      </c>
      <c r="H188" s="33">
        <f t="shared" si="104"/>
        <v>-3.7056331388354229</v>
      </c>
      <c r="I188" s="33">
        <f t="shared" si="104"/>
        <v>-3.5111471717797644</v>
      </c>
      <c r="J188" s="33">
        <f>(J$208 * $P$5) + $P$8 + ($C188 * $P$6) + $P$9</f>
        <v>-3.3166612047241064</v>
      </c>
      <c r="K188" s="33">
        <f t="shared" si="104"/>
        <v>-3.1221752376684475</v>
      </c>
      <c r="L188" s="33">
        <f t="shared" si="104"/>
        <v>-2.9276892706127895</v>
      </c>
      <c r="M188" s="33">
        <f t="shared" si="104"/>
        <v>-2.733203303557131</v>
      </c>
      <c r="N188" s="33">
        <f t="shared" si="104"/>
        <v>-2.5387173365014726</v>
      </c>
      <c r="O188" s="33">
        <f t="shared" si="104"/>
        <v>-2.3442313694458137</v>
      </c>
      <c r="P188" s="33">
        <f t="shared" si="104"/>
        <v>-2.1497454023901557</v>
      </c>
      <c r="Q188" s="33">
        <f t="shared" si="104"/>
        <v>-1.9552594353344976</v>
      </c>
      <c r="R188" s="33">
        <f t="shared" si="104"/>
        <v>-1.7607734682788387</v>
      </c>
      <c r="S188" s="33">
        <f t="shared" si="104"/>
        <v>-1.5662875012231807</v>
      </c>
      <c r="T188" s="33">
        <f t="shared" si="104"/>
        <v>-1.3718015341675218</v>
      </c>
      <c r="U188" s="33">
        <f t="shared" si="104"/>
        <v>-1.1773155671118638</v>
      </c>
      <c r="V188" s="33">
        <f t="shared" si="104"/>
        <v>-0.98282960005620579</v>
      </c>
      <c r="W188" s="33">
        <f t="shared" si="104"/>
        <v>-0.78834363300054688</v>
      </c>
      <c r="X188" s="34">
        <f t="shared" si="104"/>
        <v>-0.59385766594488887</v>
      </c>
    </row>
    <row r="189" spans="2:24" x14ac:dyDescent="0.35">
      <c r="B189" s="75"/>
      <c r="C189" s="24">
        <v>0.9</v>
      </c>
      <c r="D189" s="32">
        <f t="shared" ref="D189:S207" si="105">(D$208 * $P$5) + $P$8 + ($C189 * $P$6) + $P$9</f>
        <v>-4.2873759304299162</v>
      </c>
      <c r="E189" s="33">
        <f t="shared" si="105"/>
        <v>-4.0928899633742573</v>
      </c>
      <c r="F189" s="33">
        <f t="shared" si="103"/>
        <v>-3.8984039963185992</v>
      </c>
      <c r="G189" s="33">
        <f t="shared" si="103"/>
        <v>-3.7039180292629408</v>
      </c>
      <c r="H189" s="33">
        <f t="shared" si="104"/>
        <v>-3.5094320622072823</v>
      </c>
      <c r="I189" s="33">
        <f t="shared" si="104"/>
        <v>-3.3149460951516239</v>
      </c>
      <c r="J189" s="33">
        <f t="shared" si="104"/>
        <v>-3.1204601280959658</v>
      </c>
      <c r="K189" s="33">
        <f t="shared" si="104"/>
        <v>-2.9259741610403069</v>
      </c>
      <c r="L189" s="33">
        <f t="shared" si="104"/>
        <v>-2.7314881939846489</v>
      </c>
      <c r="M189" s="33">
        <f t="shared" si="104"/>
        <v>-2.5370022269289905</v>
      </c>
      <c r="N189" s="33">
        <f t="shared" si="104"/>
        <v>-2.342516259873332</v>
      </c>
      <c r="O189" s="33">
        <f t="shared" si="104"/>
        <v>-2.1480302928176731</v>
      </c>
      <c r="P189" s="33">
        <f t="shared" si="104"/>
        <v>-1.9535443257620151</v>
      </c>
      <c r="Q189" s="33">
        <f t="shared" si="104"/>
        <v>-1.7590583587063571</v>
      </c>
      <c r="R189" s="33">
        <f t="shared" si="104"/>
        <v>-1.5645723916506982</v>
      </c>
      <c r="S189" s="33">
        <f t="shared" si="104"/>
        <v>-1.3700864245950402</v>
      </c>
      <c r="T189" s="33">
        <f t="shared" si="104"/>
        <v>-1.1756004575393812</v>
      </c>
      <c r="U189" s="33">
        <f t="shared" si="104"/>
        <v>-0.98111449048372323</v>
      </c>
      <c r="V189" s="33">
        <f t="shared" si="104"/>
        <v>-0.78662852342806522</v>
      </c>
      <c r="W189" s="33">
        <f t="shared" si="104"/>
        <v>-0.59214255637240631</v>
      </c>
      <c r="X189" s="34">
        <f t="shared" si="104"/>
        <v>-0.3976565893167483</v>
      </c>
    </row>
    <row r="190" spans="2:24" x14ac:dyDescent="0.35">
      <c r="B190" s="75"/>
      <c r="C190" s="24">
        <v>0.85</v>
      </c>
      <c r="D190" s="32">
        <f t="shared" si="105"/>
        <v>-4.0911748538017747</v>
      </c>
      <c r="E190" s="33">
        <f t="shared" si="105"/>
        <v>-3.8966888867461167</v>
      </c>
      <c r="F190" s="33">
        <f t="shared" si="103"/>
        <v>-3.7022029196904582</v>
      </c>
      <c r="G190" s="33">
        <f t="shared" si="103"/>
        <v>-3.5077169526347998</v>
      </c>
      <c r="H190" s="33">
        <f t="shared" si="104"/>
        <v>-3.3132309855791413</v>
      </c>
      <c r="I190" s="33">
        <f t="shared" si="104"/>
        <v>-3.1187450185234828</v>
      </c>
      <c r="J190" s="33">
        <f t="shared" si="104"/>
        <v>-2.9242590514678248</v>
      </c>
      <c r="K190" s="33">
        <f t="shared" si="104"/>
        <v>-2.7297730844121659</v>
      </c>
      <c r="L190" s="33">
        <f t="shared" si="104"/>
        <v>-2.5352871173565079</v>
      </c>
      <c r="M190" s="33">
        <f t="shared" si="104"/>
        <v>-2.3408011503008495</v>
      </c>
      <c r="N190" s="33">
        <f t="shared" si="104"/>
        <v>-2.146315183245191</v>
      </c>
      <c r="O190" s="33">
        <f t="shared" si="104"/>
        <v>-1.9518292161895321</v>
      </c>
      <c r="P190" s="33">
        <f t="shared" si="104"/>
        <v>-1.7573432491338741</v>
      </c>
      <c r="Q190" s="33">
        <f t="shared" si="104"/>
        <v>-1.5628572820782161</v>
      </c>
      <c r="R190" s="33">
        <f t="shared" si="104"/>
        <v>-1.3683713150225572</v>
      </c>
      <c r="S190" s="33">
        <f t="shared" si="104"/>
        <v>-1.1738853479668991</v>
      </c>
      <c r="T190" s="33">
        <f t="shared" si="104"/>
        <v>-0.97939938091124024</v>
      </c>
      <c r="U190" s="33">
        <f t="shared" si="104"/>
        <v>-0.78491341385558222</v>
      </c>
      <c r="V190" s="33">
        <f t="shared" si="104"/>
        <v>-0.5904274467999242</v>
      </c>
      <c r="W190" s="33">
        <f t="shared" si="104"/>
        <v>-0.3959414797442653</v>
      </c>
      <c r="X190" s="34">
        <f t="shared" si="104"/>
        <v>-0.20145551268860729</v>
      </c>
    </row>
    <row r="191" spans="2:24" x14ac:dyDescent="0.35">
      <c r="B191" s="75"/>
      <c r="C191" s="24">
        <v>0.8</v>
      </c>
      <c r="D191" s="32">
        <f t="shared" si="105"/>
        <v>-3.8949737771736341</v>
      </c>
      <c r="E191" s="33">
        <f t="shared" si="105"/>
        <v>-3.7004878101179752</v>
      </c>
      <c r="F191" s="33">
        <f t="shared" si="103"/>
        <v>-3.5060018430623172</v>
      </c>
      <c r="G191" s="33">
        <f t="shared" si="103"/>
        <v>-3.3115158760066588</v>
      </c>
      <c r="H191" s="33">
        <f t="shared" si="104"/>
        <v>-3.1170299089510003</v>
      </c>
      <c r="I191" s="33">
        <f t="shared" si="104"/>
        <v>-2.9225439418953418</v>
      </c>
      <c r="J191" s="33">
        <f t="shared" si="104"/>
        <v>-2.7280579748396838</v>
      </c>
      <c r="K191" s="33">
        <f t="shared" si="104"/>
        <v>-2.5335720077840249</v>
      </c>
      <c r="L191" s="33">
        <f t="shared" si="104"/>
        <v>-2.3390860407283669</v>
      </c>
      <c r="M191" s="33">
        <f t="shared" si="104"/>
        <v>-2.1446000736727084</v>
      </c>
      <c r="N191" s="33">
        <f t="shared" si="104"/>
        <v>-1.95011410661705</v>
      </c>
      <c r="O191" s="33">
        <f t="shared" si="104"/>
        <v>-1.7556281395613911</v>
      </c>
      <c r="P191" s="33">
        <f t="shared" si="104"/>
        <v>-1.5611421725057331</v>
      </c>
      <c r="Q191" s="33">
        <f t="shared" si="104"/>
        <v>-1.366656205450075</v>
      </c>
      <c r="R191" s="33">
        <f t="shared" si="104"/>
        <v>-1.1721702383944161</v>
      </c>
      <c r="S191" s="33">
        <f t="shared" si="104"/>
        <v>-0.97768427133875813</v>
      </c>
      <c r="T191" s="33">
        <f t="shared" si="104"/>
        <v>-0.78319830428309922</v>
      </c>
      <c r="U191" s="33">
        <f t="shared" si="104"/>
        <v>-0.58871233722744121</v>
      </c>
      <c r="V191" s="33">
        <f t="shared" si="104"/>
        <v>-0.39422637017178319</v>
      </c>
      <c r="W191" s="33">
        <f t="shared" si="104"/>
        <v>-0.19974040311612429</v>
      </c>
      <c r="X191" s="34">
        <f t="shared" si="104"/>
        <v>-5.2544360604662721E-3</v>
      </c>
    </row>
    <row r="192" spans="2:24" x14ac:dyDescent="0.35">
      <c r="B192" s="75"/>
      <c r="C192" s="24">
        <v>0.75</v>
      </c>
      <c r="D192" s="32">
        <f t="shared" si="105"/>
        <v>-3.6987727005454927</v>
      </c>
      <c r="E192" s="33">
        <f t="shared" si="105"/>
        <v>-3.5042867334898347</v>
      </c>
      <c r="F192" s="33">
        <f t="shared" si="103"/>
        <v>-3.3098007664341762</v>
      </c>
      <c r="G192" s="33">
        <f t="shared" si="103"/>
        <v>-3.1153147993785177</v>
      </c>
      <c r="H192" s="33">
        <f t="shared" si="104"/>
        <v>-2.9208288323228593</v>
      </c>
      <c r="I192" s="33">
        <f t="shared" si="104"/>
        <v>-2.7263428652672008</v>
      </c>
      <c r="J192" s="33">
        <f t="shared" si="104"/>
        <v>-2.5318568982115428</v>
      </c>
      <c r="K192" s="33">
        <f t="shared" si="104"/>
        <v>-2.3373709311558839</v>
      </c>
      <c r="L192" s="33">
        <f t="shared" si="104"/>
        <v>-2.1428849641002259</v>
      </c>
      <c r="M192" s="33">
        <f t="shared" si="104"/>
        <v>-1.9483989970445674</v>
      </c>
      <c r="N192" s="33">
        <f t="shared" si="104"/>
        <v>-1.753913029988909</v>
      </c>
      <c r="O192" s="33">
        <f t="shared" si="104"/>
        <v>-1.5594270629332501</v>
      </c>
      <c r="P192" s="33">
        <f t="shared" si="104"/>
        <v>-1.364941095877592</v>
      </c>
      <c r="Q192" s="33">
        <f t="shared" si="104"/>
        <v>-1.170455128821934</v>
      </c>
      <c r="R192" s="33">
        <f t="shared" si="104"/>
        <v>-0.97596916176627513</v>
      </c>
      <c r="S192" s="33">
        <f t="shared" si="104"/>
        <v>-0.78148319471061711</v>
      </c>
      <c r="T192" s="33">
        <f t="shared" si="104"/>
        <v>-0.58699722765495821</v>
      </c>
      <c r="U192" s="33">
        <f t="shared" si="104"/>
        <v>-0.39251126059930019</v>
      </c>
      <c r="V192" s="33">
        <f t="shared" si="104"/>
        <v>-0.19802529354364218</v>
      </c>
      <c r="W192" s="33">
        <f t="shared" si="104"/>
        <v>-3.5393264879832742E-3</v>
      </c>
      <c r="X192" s="34">
        <f t="shared" si="104"/>
        <v>0.19094664056767474</v>
      </c>
    </row>
    <row r="193" spans="2:24" x14ac:dyDescent="0.35">
      <c r="B193" s="75"/>
      <c r="C193" s="24">
        <v>0.7</v>
      </c>
      <c r="D193" s="32">
        <f t="shared" si="105"/>
        <v>-3.5025716239173521</v>
      </c>
      <c r="E193" s="33">
        <f t="shared" si="105"/>
        <v>-3.3080856568616932</v>
      </c>
      <c r="F193" s="33">
        <f t="shared" si="103"/>
        <v>-3.1135996898060352</v>
      </c>
      <c r="G193" s="33">
        <f t="shared" si="103"/>
        <v>-2.9191137227503767</v>
      </c>
      <c r="H193" s="33">
        <f t="shared" si="104"/>
        <v>-2.7246277556947183</v>
      </c>
      <c r="I193" s="33">
        <f t="shared" si="104"/>
        <v>-2.5301417886390598</v>
      </c>
      <c r="J193" s="33">
        <f t="shared" si="104"/>
        <v>-2.3356558215834018</v>
      </c>
      <c r="K193" s="33">
        <f t="shared" si="104"/>
        <v>-2.1411698545277429</v>
      </c>
      <c r="L193" s="33">
        <f t="shared" si="104"/>
        <v>-1.9466838874720849</v>
      </c>
      <c r="M193" s="33">
        <f t="shared" si="104"/>
        <v>-1.7521979204164264</v>
      </c>
      <c r="N193" s="33">
        <f t="shared" si="104"/>
        <v>-1.557711953360768</v>
      </c>
      <c r="O193" s="33">
        <f t="shared" si="104"/>
        <v>-1.363225986305109</v>
      </c>
      <c r="P193" s="33">
        <f t="shared" si="104"/>
        <v>-1.168740019249451</v>
      </c>
      <c r="Q193" s="33">
        <f t="shared" si="104"/>
        <v>-0.97425405219379302</v>
      </c>
      <c r="R193" s="33">
        <f t="shared" si="104"/>
        <v>-0.77976808513813411</v>
      </c>
      <c r="S193" s="33">
        <f t="shared" si="104"/>
        <v>-0.5852821180824761</v>
      </c>
      <c r="T193" s="33">
        <f t="shared" si="104"/>
        <v>-0.3907961510268172</v>
      </c>
      <c r="U193" s="33">
        <f t="shared" si="104"/>
        <v>-0.19631018397115918</v>
      </c>
      <c r="V193" s="33">
        <f t="shared" si="104"/>
        <v>-1.8242169155011645E-3</v>
      </c>
      <c r="W193" s="33">
        <f t="shared" si="104"/>
        <v>0.19266175014015774</v>
      </c>
      <c r="X193" s="34">
        <f t="shared" si="104"/>
        <v>0.38714771719581575</v>
      </c>
    </row>
    <row r="194" spans="2:24" x14ac:dyDescent="0.35">
      <c r="B194" s="75"/>
      <c r="C194" s="24">
        <v>0.65</v>
      </c>
      <c r="D194" s="32">
        <f t="shared" si="105"/>
        <v>-3.3063705472892115</v>
      </c>
      <c r="E194" s="33">
        <f t="shared" si="105"/>
        <v>-3.1118845802335526</v>
      </c>
      <c r="F194" s="33">
        <f t="shared" si="103"/>
        <v>-2.9173986131778946</v>
      </c>
      <c r="G194" s="33">
        <f t="shared" si="103"/>
        <v>-2.7229126461222362</v>
      </c>
      <c r="H194" s="33">
        <f t="shared" si="104"/>
        <v>-2.5284266790665777</v>
      </c>
      <c r="I194" s="33">
        <f t="shared" si="104"/>
        <v>-2.3339407120109192</v>
      </c>
      <c r="J194" s="33">
        <f t="shared" si="104"/>
        <v>-2.1394547449552612</v>
      </c>
      <c r="K194" s="33">
        <f t="shared" si="104"/>
        <v>-1.9449687778996023</v>
      </c>
      <c r="L194" s="33">
        <f t="shared" si="104"/>
        <v>-1.7504828108439443</v>
      </c>
      <c r="M194" s="33">
        <f t="shared" si="104"/>
        <v>-1.5559968437882858</v>
      </c>
      <c r="N194" s="33">
        <f t="shared" si="104"/>
        <v>-1.3615108767326274</v>
      </c>
      <c r="O194" s="33">
        <f t="shared" si="104"/>
        <v>-1.1670249096769685</v>
      </c>
      <c r="P194" s="33">
        <f t="shared" si="104"/>
        <v>-0.97253894262131046</v>
      </c>
      <c r="Q194" s="33">
        <f t="shared" si="104"/>
        <v>-0.77805297556565245</v>
      </c>
      <c r="R194" s="33">
        <f t="shared" si="104"/>
        <v>-0.58356700850999355</v>
      </c>
      <c r="S194" s="33">
        <f t="shared" si="104"/>
        <v>-0.38908104145433553</v>
      </c>
      <c r="T194" s="33">
        <f t="shared" si="104"/>
        <v>-0.19459507439867663</v>
      </c>
      <c r="U194" s="33">
        <f t="shared" si="104"/>
        <v>-1.0910734301861069E-4</v>
      </c>
      <c r="V194" s="33">
        <f t="shared" si="104"/>
        <v>0.1943768597126394</v>
      </c>
      <c r="W194" s="33">
        <f t="shared" si="104"/>
        <v>0.38886282676829831</v>
      </c>
      <c r="X194" s="34">
        <f t="shared" si="104"/>
        <v>0.58334879382395632</v>
      </c>
    </row>
    <row r="195" spans="2:24" x14ac:dyDescent="0.35">
      <c r="B195" s="75"/>
      <c r="C195" s="24">
        <v>0.6</v>
      </c>
      <c r="D195" s="32">
        <f t="shared" si="105"/>
        <v>-3.1101694706610701</v>
      </c>
      <c r="E195" s="33">
        <f t="shared" si="105"/>
        <v>-2.9156835036054121</v>
      </c>
      <c r="F195" s="33">
        <f t="shared" si="103"/>
        <v>-2.7211975365497536</v>
      </c>
      <c r="G195" s="33">
        <f t="shared" si="103"/>
        <v>-2.5267115694940951</v>
      </c>
      <c r="H195" s="33">
        <f t="shared" si="104"/>
        <v>-2.3322256024384367</v>
      </c>
      <c r="I195" s="33">
        <f t="shared" si="104"/>
        <v>-2.1377396353827782</v>
      </c>
      <c r="J195" s="33">
        <f t="shared" si="104"/>
        <v>-1.9432536683271202</v>
      </c>
      <c r="K195" s="33">
        <f t="shared" si="104"/>
        <v>-1.7487677012714613</v>
      </c>
      <c r="L195" s="33">
        <f t="shared" si="104"/>
        <v>-1.5542817342158033</v>
      </c>
      <c r="M195" s="33">
        <f t="shared" si="104"/>
        <v>-1.3597957671601448</v>
      </c>
      <c r="N195" s="33">
        <f t="shared" si="104"/>
        <v>-1.1653098001044864</v>
      </c>
      <c r="O195" s="33">
        <f t="shared" si="104"/>
        <v>-0.97082383304882747</v>
      </c>
      <c r="P195" s="33">
        <f t="shared" si="104"/>
        <v>-0.77633786599316945</v>
      </c>
      <c r="Q195" s="33">
        <f t="shared" si="104"/>
        <v>-0.58185189893751144</v>
      </c>
      <c r="R195" s="33">
        <f t="shared" si="104"/>
        <v>-0.38736593188185253</v>
      </c>
      <c r="S195" s="33">
        <f t="shared" si="104"/>
        <v>-0.19287996482619452</v>
      </c>
      <c r="T195" s="33">
        <f t="shared" si="104"/>
        <v>1.6060022294643872E-3</v>
      </c>
      <c r="U195" s="33">
        <f t="shared" si="104"/>
        <v>0.1960919692851224</v>
      </c>
      <c r="V195" s="33">
        <f t="shared" si="104"/>
        <v>0.39057793634078042</v>
      </c>
      <c r="W195" s="33">
        <f t="shared" si="104"/>
        <v>0.58506390339643932</v>
      </c>
      <c r="X195" s="34">
        <f t="shared" si="104"/>
        <v>0.77954987045209734</v>
      </c>
    </row>
    <row r="196" spans="2:24" x14ac:dyDescent="0.35">
      <c r="B196" s="75"/>
      <c r="C196" s="24">
        <v>0.55000000000000004</v>
      </c>
      <c r="D196" s="32">
        <f t="shared" si="105"/>
        <v>-2.9139683940329295</v>
      </c>
      <c r="E196" s="33">
        <f t="shared" si="105"/>
        <v>-2.7194824269772715</v>
      </c>
      <c r="F196" s="33">
        <f t="shared" si="103"/>
        <v>-2.524996459921613</v>
      </c>
      <c r="G196" s="33">
        <f t="shared" si="103"/>
        <v>-2.3305104928659546</v>
      </c>
      <c r="H196" s="33">
        <f t="shared" si="104"/>
        <v>-2.1360245258102961</v>
      </c>
      <c r="I196" s="33">
        <f t="shared" si="104"/>
        <v>-1.9415385587546377</v>
      </c>
      <c r="J196" s="33">
        <f t="shared" si="104"/>
        <v>-1.7470525916989796</v>
      </c>
      <c r="K196" s="33">
        <f t="shared" si="104"/>
        <v>-1.5525666246433207</v>
      </c>
      <c r="L196" s="33">
        <f t="shared" si="104"/>
        <v>-1.3580806575876627</v>
      </c>
      <c r="M196" s="33">
        <f t="shared" si="104"/>
        <v>-1.1635946905320043</v>
      </c>
      <c r="N196" s="33">
        <f t="shared" si="104"/>
        <v>-0.9691087234763458</v>
      </c>
      <c r="O196" s="33">
        <f t="shared" si="104"/>
        <v>-0.7746227564206869</v>
      </c>
      <c r="P196" s="33">
        <f t="shared" si="104"/>
        <v>-0.58013678936502888</v>
      </c>
      <c r="Q196" s="33">
        <f t="shared" si="104"/>
        <v>-0.38565082230937087</v>
      </c>
      <c r="R196" s="33">
        <f t="shared" si="104"/>
        <v>-0.19116485525371196</v>
      </c>
      <c r="S196" s="33">
        <f t="shared" si="104"/>
        <v>3.3211118019460528E-3</v>
      </c>
      <c r="T196" s="33">
        <f t="shared" si="104"/>
        <v>0.19780707885760496</v>
      </c>
      <c r="U196" s="33">
        <f t="shared" si="104"/>
        <v>0.39229304591326297</v>
      </c>
      <c r="V196" s="33">
        <f t="shared" si="104"/>
        <v>0.58677901296892099</v>
      </c>
      <c r="W196" s="33">
        <f t="shared" si="104"/>
        <v>0.78126498002457989</v>
      </c>
      <c r="X196" s="34">
        <f t="shared" si="104"/>
        <v>0.97575094708023791</v>
      </c>
    </row>
    <row r="197" spans="2:24" x14ac:dyDescent="0.35">
      <c r="B197" s="75"/>
      <c r="C197" s="24">
        <v>0.5</v>
      </c>
      <c r="D197" s="32">
        <f t="shared" si="105"/>
        <v>-2.7177673174047885</v>
      </c>
      <c r="E197" s="33">
        <f t="shared" si="105"/>
        <v>-2.52328135034913</v>
      </c>
      <c r="F197" s="33">
        <f t="shared" si="103"/>
        <v>-2.328795383293472</v>
      </c>
      <c r="G197" s="33">
        <f t="shared" si="103"/>
        <v>-2.1343094162378131</v>
      </c>
      <c r="H197" s="33">
        <f t="shared" si="104"/>
        <v>-1.9398234491821549</v>
      </c>
      <c r="I197" s="33">
        <f t="shared" si="104"/>
        <v>-1.7453374821264964</v>
      </c>
      <c r="J197" s="33">
        <f t="shared" si="104"/>
        <v>-1.5508515150708384</v>
      </c>
      <c r="K197" s="33">
        <f t="shared" si="104"/>
        <v>-1.3563655480151795</v>
      </c>
      <c r="L197" s="33">
        <f t="shared" si="104"/>
        <v>-1.1618795809595215</v>
      </c>
      <c r="M197" s="33">
        <f t="shared" si="104"/>
        <v>-0.96739361390386303</v>
      </c>
      <c r="N197" s="33">
        <f t="shared" si="104"/>
        <v>-0.77290764684820457</v>
      </c>
      <c r="O197" s="33">
        <f t="shared" si="104"/>
        <v>-0.57842167979254566</v>
      </c>
      <c r="P197" s="33">
        <f t="shared" si="104"/>
        <v>-0.38393571273688787</v>
      </c>
      <c r="Q197" s="33">
        <f t="shared" si="104"/>
        <v>-0.18944974568122985</v>
      </c>
      <c r="R197" s="33">
        <f t="shared" si="104"/>
        <v>5.0362213744290507E-3</v>
      </c>
      <c r="S197" s="33">
        <f t="shared" si="104"/>
        <v>0.19952218843008707</v>
      </c>
      <c r="T197" s="33">
        <f t="shared" si="104"/>
        <v>0.39400815548574597</v>
      </c>
      <c r="U197" s="33">
        <f t="shared" si="104"/>
        <v>0.58849412254140399</v>
      </c>
      <c r="V197" s="33">
        <f t="shared" si="104"/>
        <v>0.782980089597062</v>
      </c>
      <c r="W197" s="33">
        <f t="shared" si="104"/>
        <v>0.9774660566527209</v>
      </c>
      <c r="X197" s="34">
        <f t="shared" si="104"/>
        <v>1.1719520237083789</v>
      </c>
    </row>
    <row r="198" spans="2:24" x14ac:dyDescent="0.35">
      <c r="B198" s="75"/>
      <c r="C198" s="24">
        <v>0.45</v>
      </c>
      <c r="D198" s="32">
        <f t="shared" si="105"/>
        <v>-2.5215662407766475</v>
      </c>
      <c r="E198" s="33">
        <f t="shared" si="105"/>
        <v>-2.3270802737209895</v>
      </c>
      <c r="F198" s="33">
        <f t="shared" si="103"/>
        <v>-2.132594306665331</v>
      </c>
      <c r="G198" s="33">
        <f t="shared" si="103"/>
        <v>-1.9381083396096725</v>
      </c>
      <c r="H198" s="33">
        <f t="shared" si="104"/>
        <v>-1.7436223725540141</v>
      </c>
      <c r="I198" s="33">
        <f t="shared" si="104"/>
        <v>-1.5491364054983556</v>
      </c>
      <c r="J198" s="33">
        <f t="shared" si="104"/>
        <v>-1.3546504384426976</v>
      </c>
      <c r="K198" s="33">
        <f t="shared" si="104"/>
        <v>-1.1601644713870387</v>
      </c>
      <c r="L198" s="33">
        <f t="shared" si="104"/>
        <v>-0.96567850433138069</v>
      </c>
      <c r="M198" s="33">
        <f t="shared" si="104"/>
        <v>-0.77119253727572223</v>
      </c>
      <c r="N198" s="33">
        <f t="shared" si="104"/>
        <v>-0.57670657022006377</v>
      </c>
      <c r="O198" s="33">
        <f t="shared" si="104"/>
        <v>-0.38222060316440487</v>
      </c>
      <c r="P198" s="33">
        <f t="shared" si="104"/>
        <v>-0.18773463610874686</v>
      </c>
      <c r="Q198" s="33">
        <f t="shared" si="104"/>
        <v>6.7513309469111604E-3</v>
      </c>
      <c r="R198" s="33">
        <f t="shared" si="104"/>
        <v>0.20123729800257006</v>
      </c>
      <c r="S198" s="33">
        <f t="shared" si="104"/>
        <v>0.39572326505822808</v>
      </c>
      <c r="T198" s="33">
        <f t="shared" si="104"/>
        <v>0.59020923211388698</v>
      </c>
      <c r="U198" s="33">
        <f t="shared" si="104"/>
        <v>0.784695199169545</v>
      </c>
      <c r="V198" s="33">
        <f t="shared" si="104"/>
        <v>0.97918116622520301</v>
      </c>
      <c r="W198" s="33">
        <f t="shared" si="104"/>
        <v>1.1736671332808619</v>
      </c>
      <c r="X198" s="34">
        <f t="shared" si="104"/>
        <v>1.3681531003365199</v>
      </c>
    </row>
    <row r="199" spans="2:24" x14ac:dyDescent="0.35">
      <c r="B199" s="75"/>
      <c r="C199" s="24">
        <v>0.4</v>
      </c>
      <c r="D199" s="32">
        <f t="shared" si="105"/>
        <v>-2.3253651641485069</v>
      </c>
      <c r="E199" s="33">
        <f t="shared" si="105"/>
        <v>-2.130879197092848</v>
      </c>
      <c r="F199" s="33">
        <f t="shared" si="103"/>
        <v>-1.93639323003719</v>
      </c>
      <c r="G199" s="33">
        <f t="shared" si="103"/>
        <v>-1.7419072629815315</v>
      </c>
      <c r="H199" s="33">
        <f t="shared" si="104"/>
        <v>-1.5474212959258731</v>
      </c>
      <c r="I199" s="33">
        <f t="shared" si="104"/>
        <v>-1.3529353288702146</v>
      </c>
      <c r="J199" s="33">
        <f t="shared" si="104"/>
        <v>-1.1584493618145566</v>
      </c>
      <c r="K199" s="33">
        <f t="shared" si="104"/>
        <v>-0.9639633947588977</v>
      </c>
      <c r="L199" s="33">
        <f t="shared" si="104"/>
        <v>-0.76947742770323968</v>
      </c>
      <c r="M199" s="33">
        <f t="shared" si="104"/>
        <v>-0.57499146064758122</v>
      </c>
      <c r="N199" s="33">
        <f t="shared" si="104"/>
        <v>-0.38050549359192276</v>
      </c>
      <c r="O199" s="33">
        <f t="shared" si="104"/>
        <v>-0.18601952653626386</v>
      </c>
      <c r="P199" s="33">
        <f t="shared" si="104"/>
        <v>8.4664405193941583E-3</v>
      </c>
      <c r="Q199" s="33">
        <f t="shared" si="104"/>
        <v>0.20295240757505217</v>
      </c>
      <c r="R199" s="33">
        <f t="shared" si="104"/>
        <v>0.39743837463071108</v>
      </c>
      <c r="S199" s="33">
        <f t="shared" si="104"/>
        <v>0.59192434168636909</v>
      </c>
      <c r="T199" s="33">
        <f t="shared" si="104"/>
        <v>0.786410308742028</v>
      </c>
      <c r="U199" s="33">
        <f t="shared" si="104"/>
        <v>0.98089627579768601</v>
      </c>
      <c r="V199" s="33">
        <f t="shared" si="104"/>
        <v>1.175382242853344</v>
      </c>
      <c r="W199" s="33">
        <f t="shared" si="104"/>
        <v>1.3698682099090029</v>
      </c>
      <c r="X199" s="34">
        <f t="shared" si="104"/>
        <v>1.5643541769646609</v>
      </c>
    </row>
    <row r="200" spans="2:24" x14ac:dyDescent="0.35">
      <c r="B200" s="75"/>
      <c r="C200" s="24">
        <v>0.35</v>
      </c>
      <c r="D200" s="32">
        <f t="shared" si="105"/>
        <v>-2.1291640875203655</v>
      </c>
      <c r="E200" s="33">
        <f t="shared" si="105"/>
        <v>-1.9346781204647072</v>
      </c>
      <c r="F200" s="33">
        <f t="shared" si="103"/>
        <v>-1.740192153409049</v>
      </c>
      <c r="G200" s="33">
        <f t="shared" si="103"/>
        <v>-1.5457061863533905</v>
      </c>
      <c r="H200" s="33">
        <f t="shared" si="104"/>
        <v>-1.3512202192977321</v>
      </c>
      <c r="I200" s="33">
        <f t="shared" si="104"/>
        <v>-1.1567342522420736</v>
      </c>
      <c r="J200" s="33">
        <f t="shared" si="104"/>
        <v>-0.96224828518641559</v>
      </c>
      <c r="K200" s="33">
        <f t="shared" si="104"/>
        <v>-0.76776231813075668</v>
      </c>
      <c r="L200" s="33">
        <f t="shared" si="104"/>
        <v>-0.57327635107509867</v>
      </c>
      <c r="M200" s="33">
        <f t="shared" si="104"/>
        <v>-0.37879038401944021</v>
      </c>
      <c r="N200" s="33">
        <f t="shared" si="104"/>
        <v>-0.18430441696378175</v>
      </c>
      <c r="O200" s="33">
        <f t="shared" si="104"/>
        <v>1.0181550091877156E-2</v>
      </c>
      <c r="P200" s="33">
        <f t="shared" si="104"/>
        <v>0.20466751714753517</v>
      </c>
      <c r="Q200" s="33">
        <f t="shared" si="104"/>
        <v>0.39915348420319319</v>
      </c>
      <c r="R200" s="33">
        <f t="shared" si="104"/>
        <v>0.59363945125885209</v>
      </c>
      <c r="S200" s="33">
        <f t="shared" si="104"/>
        <v>0.78812541831451011</v>
      </c>
      <c r="T200" s="33">
        <f t="shared" si="104"/>
        <v>0.98261138537016901</v>
      </c>
      <c r="U200" s="33">
        <f t="shared" si="104"/>
        <v>1.177097352425827</v>
      </c>
      <c r="V200" s="33">
        <f t="shared" si="104"/>
        <v>1.371583319481485</v>
      </c>
      <c r="W200" s="33">
        <f t="shared" si="104"/>
        <v>1.5660692865371439</v>
      </c>
      <c r="X200" s="34">
        <f t="shared" si="104"/>
        <v>1.7605552535928024</v>
      </c>
    </row>
    <row r="201" spans="2:24" x14ac:dyDescent="0.35">
      <c r="B201" s="75"/>
      <c r="C201" s="24">
        <v>0.3</v>
      </c>
      <c r="D201" s="32">
        <f t="shared" si="105"/>
        <v>-1.9329630108922249</v>
      </c>
      <c r="E201" s="33">
        <f t="shared" si="105"/>
        <v>-1.7384770438365664</v>
      </c>
      <c r="F201" s="33">
        <f t="shared" si="103"/>
        <v>-1.5439910767809082</v>
      </c>
      <c r="G201" s="33">
        <f t="shared" si="103"/>
        <v>-1.3495051097252497</v>
      </c>
      <c r="H201" s="33">
        <f t="shared" si="104"/>
        <v>-1.1550191426695913</v>
      </c>
      <c r="I201" s="33">
        <f t="shared" si="104"/>
        <v>-0.96053317561393281</v>
      </c>
      <c r="J201" s="33">
        <f t="shared" si="104"/>
        <v>-0.76604720855827479</v>
      </c>
      <c r="K201" s="33">
        <f t="shared" si="104"/>
        <v>-0.57156124150261589</v>
      </c>
      <c r="L201" s="33">
        <f t="shared" si="104"/>
        <v>-0.37707527444695765</v>
      </c>
      <c r="M201" s="33">
        <f t="shared" si="104"/>
        <v>-0.18258930739129964</v>
      </c>
      <c r="N201" s="33">
        <f t="shared" si="104"/>
        <v>1.1896659664359266E-2</v>
      </c>
      <c r="O201" s="33">
        <f t="shared" si="104"/>
        <v>0.20638262672001817</v>
      </c>
      <c r="P201" s="33">
        <f t="shared" si="104"/>
        <v>0.40086859377567619</v>
      </c>
      <c r="Q201" s="33">
        <f t="shared" si="104"/>
        <v>0.5953545608313342</v>
      </c>
      <c r="R201" s="33">
        <f t="shared" si="104"/>
        <v>0.7898405278869931</v>
      </c>
      <c r="S201" s="33">
        <f t="shared" si="104"/>
        <v>0.98432649494265112</v>
      </c>
      <c r="T201" s="33">
        <f t="shared" si="104"/>
        <v>1.17881246199831</v>
      </c>
      <c r="U201" s="33">
        <f t="shared" si="104"/>
        <v>1.373298429053968</v>
      </c>
      <c r="V201" s="33">
        <f t="shared" si="104"/>
        <v>1.5677843961096261</v>
      </c>
      <c r="W201" s="33">
        <f t="shared" si="104"/>
        <v>1.762270363165285</v>
      </c>
      <c r="X201" s="34">
        <f t="shared" si="104"/>
        <v>1.956756330220943</v>
      </c>
    </row>
    <row r="202" spans="2:24" x14ac:dyDescent="0.35">
      <c r="B202" s="75"/>
      <c r="C202" s="24">
        <v>0.25</v>
      </c>
      <c r="D202" s="32">
        <f t="shared" si="105"/>
        <v>-1.7367619342640839</v>
      </c>
      <c r="E202" s="33">
        <f t="shared" si="105"/>
        <v>-1.5422759672084254</v>
      </c>
      <c r="F202" s="33">
        <f t="shared" si="103"/>
        <v>-1.3477900001527674</v>
      </c>
      <c r="G202" s="33">
        <f t="shared" si="103"/>
        <v>-1.1533040330971089</v>
      </c>
      <c r="H202" s="33">
        <f t="shared" si="103"/>
        <v>-0.95881806604145048</v>
      </c>
      <c r="I202" s="33">
        <f t="shared" si="103"/>
        <v>-0.76433209898579202</v>
      </c>
      <c r="J202" s="33">
        <f t="shared" si="103"/>
        <v>-0.569846131930134</v>
      </c>
      <c r="K202" s="33">
        <f t="shared" si="103"/>
        <v>-0.3753601648744751</v>
      </c>
      <c r="L202" s="33">
        <f t="shared" si="103"/>
        <v>-0.18087419781881708</v>
      </c>
      <c r="M202" s="33">
        <f t="shared" si="103"/>
        <v>1.3611769236841376E-2</v>
      </c>
      <c r="N202" s="33">
        <f t="shared" si="103"/>
        <v>0.20809773629249984</v>
      </c>
      <c r="O202" s="33">
        <f t="shared" si="103"/>
        <v>0.40258370334815874</v>
      </c>
      <c r="P202" s="33">
        <f t="shared" si="103"/>
        <v>0.59706967040381675</v>
      </c>
      <c r="Q202" s="33">
        <f t="shared" si="103"/>
        <v>0.79155563745947477</v>
      </c>
      <c r="R202" s="33">
        <f t="shared" si="103"/>
        <v>0.98604160451513367</v>
      </c>
      <c r="S202" s="33">
        <f t="shared" si="103"/>
        <v>1.1805275715707917</v>
      </c>
      <c r="T202" s="33">
        <f t="shared" si="103"/>
        <v>1.3750135386264506</v>
      </c>
      <c r="U202" s="33">
        <f t="shared" ref="U202:X202" si="106">(U$208 * $P$5) + $P$8 + ($C202 * $P$6) + $P$9</f>
        <v>1.5694995056821086</v>
      </c>
      <c r="V202" s="33">
        <f t="shared" si="106"/>
        <v>1.7639854727377666</v>
      </c>
      <c r="W202" s="33">
        <f t="shared" si="106"/>
        <v>1.9584714397934255</v>
      </c>
      <c r="X202" s="34">
        <f t="shared" si="106"/>
        <v>2.1529574068490835</v>
      </c>
    </row>
    <row r="203" spans="2:24" x14ac:dyDescent="0.35">
      <c r="B203" s="75"/>
      <c r="C203" s="24">
        <v>0.2</v>
      </c>
      <c r="D203" s="32">
        <f t="shared" si="105"/>
        <v>-1.5405608576359431</v>
      </c>
      <c r="E203" s="33">
        <f t="shared" si="105"/>
        <v>-1.3460748905802846</v>
      </c>
      <c r="F203" s="33">
        <f t="shared" si="105"/>
        <v>-1.1515889235246264</v>
      </c>
      <c r="G203" s="33">
        <f t="shared" si="105"/>
        <v>-0.95710295646896792</v>
      </c>
      <c r="H203" s="33">
        <f t="shared" si="105"/>
        <v>-0.76261698941330947</v>
      </c>
      <c r="I203" s="33">
        <f t="shared" si="105"/>
        <v>-0.56813102235765101</v>
      </c>
      <c r="J203" s="33">
        <f t="shared" si="105"/>
        <v>-0.37364505530199299</v>
      </c>
      <c r="K203" s="33">
        <f t="shared" si="105"/>
        <v>-0.17915908824633409</v>
      </c>
      <c r="L203" s="33">
        <f t="shared" si="105"/>
        <v>1.5326878809323929E-2</v>
      </c>
      <c r="M203" s="33">
        <f t="shared" si="105"/>
        <v>0.20981284586498239</v>
      </c>
      <c r="N203" s="33">
        <f t="shared" si="105"/>
        <v>0.40429881292064085</v>
      </c>
      <c r="O203" s="33">
        <f t="shared" si="105"/>
        <v>0.59878477997629975</v>
      </c>
      <c r="P203" s="33">
        <f t="shared" si="105"/>
        <v>0.79327074703195777</v>
      </c>
      <c r="Q203" s="33">
        <f t="shared" si="105"/>
        <v>0.98775671408761578</v>
      </c>
      <c r="R203" s="33">
        <f t="shared" si="105"/>
        <v>1.1822426811432747</v>
      </c>
      <c r="S203" s="33">
        <f t="shared" si="105"/>
        <v>1.3767286481989327</v>
      </c>
      <c r="T203" s="33">
        <f t="shared" ref="T203:X207" si="107">(T$208 * $P$5) + $P$8 + ($C203 * $P$6) + $P$9</f>
        <v>1.5712146152545916</v>
      </c>
      <c r="U203" s="33">
        <f t="shared" si="107"/>
        <v>1.7657005823102492</v>
      </c>
      <c r="V203" s="33">
        <f t="shared" si="107"/>
        <v>1.9601865493659081</v>
      </c>
      <c r="W203" s="33">
        <f t="shared" si="107"/>
        <v>2.154672516421567</v>
      </c>
      <c r="X203" s="34">
        <f t="shared" si="107"/>
        <v>2.3491584834772241</v>
      </c>
    </row>
    <row r="204" spans="2:24" x14ac:dyDescent="0.35">
      <c r="B204" s="75"/>
      <c r="C204" s="24">
        <v>0.15</v>
      </c>
      <c r="D204" s="32">
        <f t="shared" si="105"/>
        <v>-1.3443597810078023</v>
      </c>
      <c r="E204" s="33">
        <f t="shared" si="105"/>
        <v>-1.1498738139521438</v>
      </c>
      <c r="F204" s="33">
        <f t="shared" si="105"/>
        <v>-0.95538784689648537</v>
      </c>
      <c r="G204" s="33">
        <f t="shared" si="105"/>
        <v>-0.76090187984082691</v>
      </c>
      <c r="H204" s="33">
        <f t="shared" si="105"/>
        <v>-0.56641591278516845</v>
      </c>
      <c r="I204" s="33">
        <f t="shared" si="105"/>
        <v>-0.37192994572950999</v>
      </c>
      <c r="J204" s="33">
        <f t="shared" si="105"/>
        <v>-0.17744397867385198</v>
      </c>
      <c r="K204" s="33">
        <f t="shared" si="105"/>
        <v>1.7041988381806927E-2</v>
      </c>
      <c r="L204" s="33">
        <f t="shared" si="105"/>
        <v>0.21152795543746494</v>
      </c>
      <c r="M204" s="33">
        <f t="shared" si="105"/>
        <v>0.4060139224931234</v>
      </c>
      <c r="N204" s="33">
        <f t="shared" si="105"/>
        <v>0.60049988954878186</v>
      </c>
      <c r="O204" s="33">
        <f t="shared" si="105"/>
        <v>0.79498585660444077</v>
      </c>
      <c r="P204" s="33">
        <f t="shared" si="105"/>
        <v>0.98947182366009878</v>
      </c>
      <c r="Q204" s="33">
        <f t="shared" si="105"/>
        <v>1.1839577907157568</v>
      </c>
      <c r="R204" s="33">
        <f t="shared" si="105"/>
        <v>1.3784437577714157</v>
      </c>
      <c r="S204" s="33">
        <f t="shared" si="105"/>
        <v>1.5729297248270737</v>
      </c>
      <c r="T204" s="33">
        <f t="shared" si="107"/>
        <v>1.7674156918827326</v>
      </c>
      <c r="U204" s="33">
        <f t="shared" si="107"/>
        <v>1.9619016589383906</v>
      </c>
      <c r="V204" s="33">
        <f t="shared" si="107"/>
        <v>2.1563876259940487</v>
      </c>
      <c r="W204" s="33">
        <f t="shared" si="107"/>
        <v>2.3508735930497076</v>
      </c>
      <c r="X204" s="34">
        <f t="shared" si="107"/>
        <v>2.5453595601053656</v>
      </c>
    </row>
    <row r="205" spans="2:24" x14ac:dyDescent="0.35">
      <c r="B205" s="75"/>
      <c r="C205" s="24">
        <v>0.1</v>
      </c>
      <c r="D205" s="32">
        <f t="shared" si="105"/>
        <v>-1.1481587043796613</v>
      </c>
      <c r="E205" s="33">
        <f t="shared" si="105"/>
        <v>-0.95367273732400282</v>
      </c>
      <c r="F205" s="33">
        <f t="shared" si="105"/>
        <v>-0.75918677026834458</v>
      </c>
      <c r="G205" s="33">
        <f t="shared" si="105"/>
        <v>-0.56470080321268612</v>
      </c>
      <c r="H205" s="33">
        <f t="shared" si="105"/>
        <v>-0.37021483615702744</v>
      </c>
      <c r="I205" s="33">
        <f t="shared" si="105"/>
        <v>-0.17572886910136942</v>
      </c>
      <c r="J205" s="33">
        <f t="shared" si="105"/>
        <v>1.8757097954288593E-2</v>
      </c>
      <c r="K205" s="33">
        <f t="shared" si="105"/>
        <v>0.2132430650099475</v>
      </c>
      <c r="L205" s="33">
        <f t="shared" si="105"/>
        <v>0.40772903206560551</v>
      </c>
      <c r="M205" s="33">
        <f t="shared" si="105"/>
        <v>0.60221499912126442</v>
      </c>
      <c r="N205" s="33">
        <f t="shared" si="105"/>
        <v>0.79670096617692243</v>
      </c>
      <c r="O205" s="33">
        <f t="shared" si="105"/>
        <v>0.99118693323258134</v>
      </c>
      <c r="P205" s="33">
        <f t="shared" si="105"/>
        <v>1.1856729002882394</v>
      </c>
      <c r="Q205" s="33">
        <f t="shared" si="105"/>
        <v>1.3801588673438974</v>
      </c>
      <c r="R205" s="33">
        <f t="shared" si="105"/>
        <v>1.5746448343995563</v>
      </c>
      <c r="S205" s="33">
        <f t="shared" si="105"/>
        <v>1.7691308014552143</v>
      </c>
      <c r="T205" s="33">
        <f t="shared" si="107"/>
        <v>1.9636167685108732</v>
      </c>
      <c r="U205" s="33">
        <f t="shared" si="107"/>
        <v>2.1581027355665312</v>
      </c>
      <c r="V205" s="33">
        <f t="shared" si="107"/>
        <v>2.3525887026221892</v>
      </c>
      <c r="W205" s="33">
        <f t="shared" si="107"/>
        <v>2.5470746696778481</v>
      </c>
      <c r="X205" s="34">
        <f t="shared" si="107"/>
        <v>2.7415606367335061</v>
      </c>
    </row>
    <row r="206" spans="2:24" x14ac:dyDescent="0.35">
      <c r="B206" s="75"/>
      <c r="C206" s="24">
        <v>0.05</v>
      </c>
      <c r="D206" s="32">
        <f t="shared" si="105"/>
        <v>-0.95195762775152026</v>
      </c>
      <c r="E206" s="33">
        <f t="shared" si="105"/>
        <v>-0.7574716606958618</v>
      </c>
      <c r="F206" s="33">
        <f t="shared" si="105"/>
        <v>-0.56298569364020379</v>
      </c>
      <c r="G206" s="33">
        <f t="shared" si="105"/>
        <v>-0.36849972658454533</v>
      </c>
      <c r="H206" s="33">
        <f t="shared" si="105"/>
        <v>-0.17401375952888687</v>
      </c>
      <c r="I206" s="33">
        <f t="shared" si="105"/>
        <v>2.0472207526771591E-2</v>
      </c>
      <c r="J206" s="33">
        <f t="shared" si="105"/>
        <v>0.21495817458242961</v>
      </c>
      <c r="K206" s="33">
        <f t="shared" si="105"/>
        <v>0.40944414163808851</v>
      </c>
      <c r="L206" s="33">
        <f t="shared" si="105"/>
        <v>0.60393010869374653</v>
      </c>
      <c r="M206" s="33">
        <f t="shared" si="105"/>
        <v>0.79841607574940499</v>
      </c>
      <c r="N206" s="33">
        <f t="shared" si="105"/>
        <v>0.99290204280506345</v>
      </c>
      <c r="O206" s="33">
        <f t="shared" si="105"/>
        <v>1.1873880098607223</v>
      </c>
      <c r="P206" s="33">
        <f t="shared" si="105"/>
        <v>1.3818739769163804</v>
      </c>
      <c r="Q206" s="33">
        <f t="shared" si="105"/>
        <v>1.5763599439720384</v>
      </c>
      <c r="R206" s="33">
        <f t="shared" si="105"/>
        <v>1.7708459110276977</v>
      </c>
      <c r="S206" s="33">
        <f t="shared" si="105"/>
        <v>1.9653318780833557</v>
      </c>
      <c r="T206" s="33">
        <f t="shared" si="107"/>
        <v>2.1598178451390146</v>
      </c>
      <c r="U206" s="33">
        <f t="shared" si="107"/>
        <v>2.3543038121946727</v>
      </c>
      <c r="V206" s="33">
        <f t="shared" si="107"/>
        <v>2.5487897792503307</v>
      </c>
      <c r="W206" s="33">
        <f t="shared" si="107"/>
        <v>2.7432757463059896</v>
      </c>
      <c r="X206" s="34">
        <f t="shared" si="107"/>
        <v>2.9377617133616476</v>
      </c>
    </row>
    <row r="207" spans="2:24" ht="15" thickBot="1" x14ac:dyDescent="0.4">
      <c r="B207" s="76"/>
      <c r="C207" s="25">
        <v>0</v>
      </c>
      <c r="D207" s="35">
        <f t="shared" si="105"/>
        <v>-0.75575655112337947</v>
      </c>
      <c r="E207" s="36">
        <f t="shared" si="105"/>
        <v>-0.56127058406772101</v>
      </c>
      <c r="F207" s="36">
        <f t="shared" si="105"/>
        <v>-0.36678461701206277</v>
      </c>
      <c r="G207" s="36">
        <f t="shared" si="105"/>
        <v>-0.17229864995640432</v>
      </c>
      <c r="H207" s="36">
        <f t="shared" si="105"/>
        <v>2.2187317099254145E-2</v>
      </c>
      <c r="I207" s="36">
        <f t="shared" si="105"/>
        <v>0.2166732841549126</v>
      </c>
      <c r="J207" s="36">
        <f t="shared" si="105"/>
        <v>0.41115925121057062</v>
      </c>
      <c r="K207" s="36">
        <f t="shared" si="105"/>
        <v>0.60564521826622952</v>
      </c>
      <c r="L207" s="36">
        <f t="shared" si="105"/>
        <v>0.80013118532188754</v>
      </c>
      <c r="M207" s="36">
        <f t="shared" si="105"/>
        <v>0.994617152377546</v>
      </c>
      <c r="N207" s="36">
        <f t="shared" si="105"/>
        <v>1.1891031194332045</v>
      </c>
      <c r="O207" s="36">
        <f t="shared" si="105"/>
        <v>1.3835890864888634</v>
      </c>
      <c r="P207" s="36">
        <f t="shared" si="105"/>
        <v>1.5780750535445214</v>
      </c>
      <c r="Q207" s="36">
        <f t="shared" si="105"/>
        <v>1.7725610206001794</v>
      </c>
      <c r="R207" s="36">
        <f t="shared" si="105"/>
        <v>1.9670469876558383</v>
      </c>
      <c r="S207" s="36">
        <f t="shared" si="105"/>
        <v>2.1615329547114963</v>
      </c>
      <c r="T207" s="36">
        <f t="shared" si="107"/>
        <v>2.3560189217671552</v>
      </c>
      <c r="U207" s="36">
        <f t="shared" si="107"/>
        <v>2.5505048888228132</v>
      </c>
      <c r="V207" s="36">
        <f t="shared" si="107"/>
        <v>2.7449908558784712</v>
      </c>
      <c r="W207" s="36">
        <f t="shared" si="107"/>
        <v>2.9394768229341302</v>
      </c>
      <c r="X207" s="37">
        <f t="shared" si="107"/>
        <v>3.1339627899897882</v>
      </c>
    </row>
    <row r="208" spans="2:24" x14ac:dyDescent="0.35">
      <c r="C208" s="9"/>
      <c r="D208" s="28">
        <v>0</v>
      </c>
      <c r="E208" s="26">
        <v>0.05</v>
      </c>
      <c r="F208" s="26">
        <v>0.1</v>
      </c>
      <c r="G208" s="26">
        <v>0.15</v>
      </c>
      <c r="H208" s="26">
        <v>0.2</v>
      </c>
      <c r="I208" s="26">
        <v>0.25</v>
      </c>
      <c r="J208" s="26">
        <v>0.3</v>
      </c>
      <c r="K208" s="26">
        <v>0.35</v>
      </c>
      <c r="L208" s="26">
        <v>0.4</v>
      </c>
      <c r="M208" s="26">
        <v>0.45</v>
      </c>
      <c r="N208" s="26">
        <v>0.5</v>
      </c>
      <c r="O208" s="26">
        <v>0.55000000000000004</v>
      </c>
      <c r="P208" s="26">
        <v>0.6</v>
      </c>
      <c r="Q208" s="26">
        <v>0.65</v>
      </c>
      <c r="R208" s="26">
        <v>0.7</v>
      </c>
      <c r="S208" s="26">
        <v>0.75</v>
      </c>
      <c r="T208" s="26">
        <v>0.8</v>
      </c>
      <c r="U208" s="26">
        <v>0.85</v>
      </c>
      <c r="V208" s="26">
        <v>0.9</v>
      </c>
      <c r="W208" s="26">
        <v>0.95</v>
      </c>
      <c r="X208" s="27">
        <v>1</v>
      </c>
    </row>
    <row r="209" spans="3:24" ht="21.5" thickBot="1" x14ac:dyDescent="0.55000000000000004">
      <c r="C209" s="9"/>
      <c r="D209" s="68" t="s">
        <v>64</v>
      </c>
      <c r="E209" s="69"/>
      <c r="F209" s="69"/>
      <c r="G209" s="69"/>
      <c r="H209" s="69"/>
      <c r="I209" s="69"/>
      <c r="J209" s="69"/>
      <c r="K209" s="69"/>
      <c r="L209" s="69"/>
      <c r="M209" s="69"/>
      <c r="N209" s="69"/>
      <c r="O209" s="69"/>
      <c r="P209" s="69"/>
      <c r="Q209" s="69"/>
      <c r="R209" s="69"/>
      <c r="S209" s="69"/>
      <c r="T209" s="69"/>
      <c r="U209" s="69"/>
      <c r="V209" s="69"/>
      <c r="W209" s="69"/>
      <c r="X209" s="70"/>
    </row>
  </sheetData>
  <mergeCells count="21">
    <mergeCell ref="B187:B207"/>
    <mergeCell ref="D209:X209"/>
    <mergeCell ref="D157:X157"/>
    <mergeCell ref="B160:X160"/>
    <mergeCell ref="B161:B181"/>
    <mergeCell ref="D183:X183"/>
    <mergeCell ref="B186:X186"/>
    <mergeCell ref="D131:X131"/>
    <mergeCell ref="B108:X108"/>
    <mergeCell ref="B134:X134"/>
    <mergeCell ref="B135:B155"/>
    <mergeCell ref="B109:B129"/>
    <mergeCell ref="B97:D97"/>
    <mergeCell ref="AP3:AU3"/>
    <mergeCell ref="AW3:BB3"/>
    <mergeCell ref="BD3:BI3"/>
    <mergeCell ref="C3:E3"/>
    <mergeCell ref="G3:I3"/>
    <mergeCell ref="X3:AA3"/>
    <mergeCell ref="AC3:AF3"/>
    <mergeCell ref="AI3:AN3"/>
  </mergeCells>
  <conditionalFormatting sqref="D109:X129">
    <cfRule type="colorScale" priority="1">
      <colorScale>
        <cfvo type="num" val="0"/>
        <cfvo type="num" val="0.5"/>
        <cfvo type="num" val="1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e_model">
                <anchor moveWithCells="1" sizeWithCells="1">
                  <from>
                    <xdr:col>6</xdr:col>
                    <xdr:colOff>336550</xdr:colOff>
                    <xdr:row>27</xdr:row>
                    <xdr:rowOff>76200</xdr:rowOff>
                  </from>
                  <to>
                    <xdr:col>9</xdr:col>
                    <xdr:colOff>133350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Iteration_History">
                <anchor moveWithCells="1" sizeWithCells="1">
                  <from>
                    <xdr:col>6</xdr:col>
                    <xdr:colOff>336550</xdr:colOff>
                    <xdr:row>30</xdr:row>
                    <xdr:rowOff>19050</xdr:rowOff>
                  </from>
                  <to>
                    <xdr:col>9</xdr:col>
                    <xdr:colOff>133350</xdr:colOff>
                    <xdr:row>32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tantiate_Weights_Random">
                <anchor moveWithCells="1" sizeWithCells="1">
                  <from>
                    <xdr:col>6</xdr:col>
                    <xdr:colOff>431800</xdr:colOff>
                    <xdr:row>32</xdr:row>
                    <xdr:rowOff>158750</xdr:rowOff>
                  </from>
                  <to>
                    <xdr:col>9</xdr:col>
                    <xdr:colOff>6350</xdr:colOff>
                    <xdr:row>35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Instatite_Weights_Good_Start">
                <anchor moveWithCells="1" sizeWithCells="1">
                  <from>
                    <xdr:col>6</xdr:col>
                    <xdr:colOff>438150</xdr:colOff>
                    <xdr:row>36</xdr:row>
                    <xdr:rowOff>69850</xdr:rowOff>
                  </from>
                  <to>
                    <xdr:col>9</xdr:col>
                    <xdr:colOff>25400</xdr:colOff>
                    <xdr:row>39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stantaite_Weights_Bad_Start">
                <anchor moveWithCells="1" sizeWithCells="1">
                  <from>
                    <xdr:col>6</xdr:col>
                    <xdr:colOff>431800</xdr:colOff>
                    <xdr:row>39</xdr:row>
                    <xdr:rowOff>152400</xdr:rowOff>
                  </from>
                  <to>
                    <xdr:col>9</xdr:col>
                    <xdr:colOff>19050</xdr:colOff>
                    <xdr:row>42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450-1EBA-4F07-8F09-71E9E9BDA76C}">
  <sheetPr codeName="Sheet2"/>
  <dimension ref="A1:AM218"/>
  <sheetViews>
    <sheetView zoomScale="60" zoomScaleNormal="60" workbookViewId="0">
      <selection activeCell="A3" sqref="A3:V1002"/>
    </sheetView>
  </sheetViews>
  <sheetFormatPr defaultRowHeight="14.5" x14ac:dyDescent="0.35"/>
  <sheetData>
    <row r="1" spans="1:39" x14ac:dyDescent="0.35">
      <c r="A1" t="s">
        <v>73</v>
      </c>
      <c r="C1" s="67" t="s">
        <v>65</v>
      </c>
      <c r="D1" s="67"/>
      <c r="F1" s="67" t="s">
        <v>68</v>
      </c>
      <c r="G1" s="67"/>
      <c r="I1" s="67" t="s">
        <v>69</v>
      </c>
      <c r="J1" s="67"/>
      <c r="L1" s="67" t="s">
        <v>70</v>
      </c>
      <c r="M1" s="67"/>
      <c r="O1" s="67" t="s">
        <v>71</v>
      </c>
      <c r="P1" s="67"/>
      <c r="R1" s="67" t="s">
        <v>72</v>
      </c>
      <c r="S1" s="67"/>
    </row>
    <row r="2" spans="1:39" x14ac:dyDescent="0.35">
      <c r="A2" t="s">
        <v>21</v>
      </c>
      <c r="C2" t="s">
        <v>66</v>
      </c>
      <c r="D2" t="s">
        <v>67</v>
      </c>
      <c r="F2" t="s">
        <v>74</v>
      </c>
      <c r="G2" t="s">
        <v>67</v>
      </c>
      <c r="I2" t="s">
        <v>66</v>
      </c>
      <c r="J2" t="s">
        <v>67</v>
      </c>
      <c r="L2" t="s">
        <v>74</v>
      </c>
      <c r="M2" t="s">
        <v>67</v>
      </c>
      <c r="O2" t="s">
        <v>66</v>
      </c>
      <c r="P2" t="s">
        <v>67</v>
      </c>
      <c r="R2" t="s">
        <v>74</v>
      </c>
      <c r="S2" t="s">
        <v>67</v>
      </c>
    </row>
    <row r="3" spans="1:39" x14ac:dyDescent="0.35">
      <c r="A3" s="6">
        <v>1.96846399442027</v>
      </c>
      <c r="B3" s="6"/>
      <c r="C3" s="6">
        <v>1.0178093774601931</v>
      </c>
      <c r="D3" s="6">
        <v>-2.8627861163995398E-2</v>
      </c>
      <c r="E3" s="6"/>
      <c r="F3" s="6">
        <v>-0.23870176422359873</v>
      </c>
      <c r="G3" s="6">
        <v>-4.4755268127785741E-4</v>
      </c>
      <c r="H3" s="6"/>
      <c r="I3" s="6">
        <v>-1.5740094414890893</v>
      </c>
      <c r="J3" s="6">
        <v>6.4708145239586567E-2</v>
      </c>
      <c r="K3" s="6"/>
      <c r="L3" s="6">
        <v>0.47804121429920043</v>
      </c>
      <c r="M3" s="6">
        <v>-1.3673716493000927E-2</v>
      </c>
      <c r="N3" s="6"/>
      <c r="O3" s="6">
        <v>-1.4939236443586075</v>
      </c>
      <c r="P3" s="6">
        <v>-6.2031927522625034E-2</v>
      </c>
      <c r="Q3" s="6"/>
      <c r="R3" s="6">
        <v>-9.625942306813029E-2</v>
      </c>
      <c r="S3" s="6">
        <v>-1.3673716493000927E-2</v>
      </c>
      <c r="T3" s="6"/>
      <c r="U3" s="6"/>
      <c r="X3" s="6"/>
      <c r="Y3" s="6"/>
      <c r="AA3" s="6"/>
      <c r="AB3" s="6"/>
      <c r="AD3" s="6"/>
      <c r="AE3" s="6"/>
      <c r="AG3" s="6"/>
      <c r="AH3" s="6"/>
      <c r="AJ3" s="6"/>
      <c r="AK3" s="6"/>
      <c r="AM3" s="6"/>
    </row>
    <row r="4" spans="1:39" x14ac:dyDescent="0.35">
      <c r="A4" s="6">
        <v>1.95999624288271</v>
      </c>
      <c r="B4" s="6"/>
      <c r="C4" s="6">
        <v>1.0540836210050453</v>
      </c>
      <c r="D4" s="6">
        <v>-3.5370733188292487E-2</v>
      </c>
      <c r="E4" s="6"/>
      <c r="F4" s="6">
        <v>-0.23835977039415435</v>
      </c>
      <c r="G4" s="6">
        <v>5.4650196348315916E-6</v>
      </c>
      <c r="H4" s="6"/>
      <c r="I4" s="6">
        <v>-1.6394239910906188</v>
      </c>
      <c r="J4" s="6">
        <v>6.2320928835406506E-2</v>
      </c>
      <c r="K4" s="6"/>
      <c r="L4" s="6">
        <v>0.4120969380370158</v>
      </c>
      <c r="M4" s="6">
        <v>-1.8696043302170416E-2</v>
      </c>
      <c r="N4" s="6"/>
      <c r="O4" s="6">
        <v>-1.4318917168359824</v>
      </c>
      <c r="P4" s="6">
        <v>-6.5133485190588897E-2</v>
      </c>
      <c r="Q4" s="6"/>
      <c r="R4" s="6">
        <v>-7.9462529710451757E-2</v>
      </c>
      <c r="S4" s="6">
        <v>-1.8696043302170416E-2</v>
      </c>
      <c r="T4" s="6"/>
      <c r="U4" s="6"/>
    </row>
    <row r="5" spans="1:39" x14ac:dyDescent="0.35">
      <c r="A5" s="6">
        <v>1.951013454345389</v>
      </c>
      <c r="B5" s="6"/>
      <c r="C5" s="6">
        <v>1.0967810420007389</v>
      </c>
      <c r="D5" s="6">
        <v>-4.1937478486293679E-2</v>
      </c>
      <c r="E5" s="6"/>
      <c r="F5" s="6">
        <v>-0.24138083040290337</v>
      </c>
      <c r="G5" s="6">
        <v>-6.0609986325121934E-5</v>
      </c>
      <c r="H5" s="6"/>
      <c r="I5" s="6">
        <v>-1.7024886882672412</v>
      </c>
      <c r="J5" s="6">
        <v>6.0396971853004876E-2</v>
      </c>
      <c r="K5" s="6"/>
      <c r="L5" s="6">
        <v>0.34780226345172249</v>
      </c>
      <c r="M5" s="6">
        <v>-2.4125694453936863E-2</v>
      </c>
      <c r="N5" s="6"/>
      <c r="O5" s="6">
        <v>-1.3667582316453935</v>
      </c>
      <c r="P5" s="6">
        <v>-6.9020224361893645E-2</v>
      </c>
      <c r="Q5" s="6"/>
      <c r="R5" s="6">
        <v>-5.7641078487100178E-2</v>
      </c>
      <c r="S5" s="6">
        <v>-2.4125694453936863E-2</v>
      </c>
      <c r="T5" s="6"/>
      <c r="U5" s="6"/>
    </row>
    <row r="6" spans="1:39" x14ac:dyDescent="0.35">
      <c r="A6" s="6">
        <v>1.9411857973433539</v>
      </c>
      <c r="B6" s="6"/>
      <c r="C6" s="6">
        <v>1.145857603127874</v>
      </c>
      <c r="D6" s="6">
        <v>-4.8407420286009743E-2</v>
      </c>
      <c r="E6" s="6"/>
      <c r="F6" s="6">
        <v>-0.24730190019296194</v>
      </c>
      <c r="G6" s="6">
        <v>-1.4466684841271671E-4</v>
      </c>
      <c r="H6" s="6"/>
      <c r="I6" s="6">
        <v>-1.7636812161497157</v>
      </c>
      <c r="J6" s="6">
        <v>5.8915128070899991E-2</v>
      </c>
      <c r="K6" s="6"/>
      <c r="L6" s="6">
        <v>0.28469656545819899</v>
      </c>
      <c r="M6" s="6">
        <v>-2.9988188400147053E-2</v>
      </c>
      <c r="N6" s="6"/>
      <c r="O6" s="6">
        <v>-1.2977380072834999</v>
      </c>
      <c r="P6" s="6">
        <v>-7.3726017155760604E-2</v>
      </c>
      <c r="Q6" s="6"/>
      <c r="R6" s="6">
        <v>-3.0323043590844763E-2</v>
      </c>
      <c r="S6" s="6">
        <v>-2.9988188400147053E-2</v>
      </c>
      <c r="T6" s="6"/>
      <c r="U6" s="6"/>
    </row>
    <row r="7" spans="1:39" x14ac:dyDescent="0.35">
      <c r="A7" s="6">
        <v>1.9301513996310589</v>
      </c>
      <c r="B7" s="6"/>
      <c r="C7" s="6">
        <v>1.2013360568348204</v>
      </c>
      <c r="D7" s="6">
        <v>-5.4972157155677659E-2</v>
      </c>
      <c r="E7" s="6"/>
      <c r="F7" s="6">
        <v>-0.25627632494184388</v>
      </c>
      <c r="G7" s="6">
        <v>-2.6236469811302676E-4</v>
      </c>
      <c r="H7" s="6"/>
      <c r="I7" s="6">
        <v>-1.8234634559978407</v>
      </c>
      <c r="J7" s="6">
        <v>5.7816931651645621E-2</v>
      </c>
      <c r="K7" s="6"/>
      <c r="L7" s="6">
        <v>0.22230726941518825</v>
      </c>
      <c r="M7" s="6">
        <v>-3.6413223957738647E-2</v>
      </c>
      <c r="N7" s="6"/>
      <c r="O7" s="6">
        <v>-1.2240119901277393</v>
      </c>
      <c r="P7" s="6">
        <v>-7.9355476265769873E-2</v>
      </c>
      <c r="Q7" s="6"/>
      <c r="R7" s="6">
        <v>2.964545000096401E-3</v>
      </c>
      <c r="S7" s="6">
        <v>-3.6413223957738647E-2</v>
      </c>
      <c r="T7" s="6"/>
      <c r="U7" s="6"/>
    </row>
    <row r="8" spans="1:39" x14ac:dyDescent="0.35">
      <c r="A8" s="6">
        <v>1.9174810809093892</v>
      </c>
      <c r="B8" s="6"/>
      <c r="C8" s="6">
        <v>1.2634206903578065</v>
      </c>
      <c r="D8" s="6">
        <v>-6.1823350863565836E-2</v>
      </c>
      <c r="E8" s="6"/>
      <c r="F8" s="6">
        <v>-0.26862611088800936</v>
      </c>
      <c r="G8" s="6">
        <v>-4.2765969441768692E-4</v>
      </c>
      <c r="H8" s="6"/>
      <c r="I8" s="6">
        <v>-1.8822463875967013</v>
      </c>
      <c r="J8" s="6">
        <v>5.7060513655460034E-2</v>
      </c>
      <c r="K8" s="6"/>
      <c r="L8" s="6">
        <v>0.16016632464511257</v>
      </c>
      <c r="M8" s="6">
        <v>-4.3543988434918281E-2</v>
      </c>
      <c r="N8" s="6"/>
      <c r="O8" s="6">
        <v>-1.1446565138619695</v>
      </c>
      <c r="P8" s="6">
        <v>-8.6048445996244893E-2</v>
      </c>
      <c r="Q8" s="6"/>
      <c r="R8" s="6">
        <v>4.2793221809033812E-2</v>
      </c>
      <c r="S8" s="6">
        <v>-4.3543988434918281E-2</v>
      </c>
      <c r="T8" s="6"/>
      <c r="U8" s="6"/>
      <c r="W8" s="6"/>
    </row>
    <row r="9" spans="1:39" x14ac:dyDescent="0.35">
      <c r="A9" s="6">
        <v>1.9026427104773349</v>
      </c>
      <c r="B9" s="6"/>
      <c r="C9" s="6">
        <v>1.3325005694074288</v>
      </c>
      <c r="D9" s="6">
        <v>-6.916314819960806E-2</v>
      </c>
      <c r="E9" s="6"/>
      <c r="F9" s="6">
        <v>-0.28486978964393672</v>
      </c>
      <c r="G9" s="6">
        <v>-6.6274223380480279E-4</v>
      </c>
      <c r="H9" s="6"/>
      <c r="I9" s="6">
        <v>-1.9404111336866625</v>
      </c>
      <c r="J9" s="6">
        <v>5.6616203391896207E-2</v>
      </c>
      <c r="K9" s="6"/>
      <c r="L9" s="6">
        <v>9.778234654558822E-2</v>
      </c>
      <c r="M9" s="6">
        <v>-5.153925154584664E-2</v>
      </c>
      <c r="N9" s="6"/>
      <c r="O9" s="6">
        <v>-1.0586080678657246</v>
      </c>
      <c r="P9" s="6">
        <v>-9.3982081376934118E-2</v>
      </c>
      <c r="Q9" s="6"/>
      <c r="R9" s="6">
        <v>8.9834351618677005E-2</v>
      </c>
      <c r="S9" s="6">
        <v>-5.153925154584664E-2</v>
      </c>
      <c r="T9" s="6"/>
      <c r="U9" s="6"/>
      <c r="W9" s="6"/>
    </row>
    <row r="10" spans="1:39" x14ac:dyDescent="0.35">
      <c r="A10" s="6">
        <v>1.8849591640521259</v>
      </c>
      <c r="B10" s="6"/>
      <c r="C10" s="6">
        <v>1.4091600111107616</v>
      </c>
      <c r="D10" s="6">
        <v>-7.7211051552720955E-2</v>
      </c>
      <c r="E10" s="6"/>
      <c r="F10" s="6">
        <v>-0.30575676453580519</v>
      </c>
      <c r="G10" s="6">
        <v>-1.0018554838581994E-3</v>
      </c>
      <c r="H10" s="6"/>
      <c r="I10" s="6">
        <v>-1.9983284801166021</v>
      </c>
      <c r="J10" s="6">
        <v>5.6463101024793183E-2</v>
      </c>
      <c r="K10" s="6"/>
      <c r="L10" s="6">
        <v>3.4607781335406526E-2</v>
      </c>
      <c r="M10" s="6">
        <v>-6.0569535334237271E-2</v>
      </c>
      <c r="N10" s="6"/>
      <c r="O10" s="6">
        <v>-0.9646259864887905</v>
      </c>
      <c r="P10" s="6">
        <v>-0.10336895006640677</v>
      </c>
      <c r="Q10" s="6"/>
      <c r="R10" s="6">
        <v>0.14484946266773879</v>
      </c>
      <c r="S10" s="6">
        <v>-6.0569535334237271E-2</v>
      </c>
      <c r="T10" s="6"/>
      <c r="W10" s="6"/>
    </row>
    <row r="11" spans="1:39" x14ac:dyDescent="0.35">
      <c r="A11" s="6">
        <v>1.8635604004084279</v>
      </c>
      <c r="B11" s="6"/>
      <c r="C11" s="6">
        <v>1.4941908320670847</v>
      </c>
      <c r="D11" s="6">
        <v>-8.6206829588340056E-2</v>
      </c>
      <c r="E11" s="6"/>
      <c r="F11" s="6">
        <v>-0.33231034789085834</v>
      </c>
      <c r="G11" s="6">
        <v>-1.4970728964283087E-3</v>
      </c>
      <c r="H11" s="6"/>
      <c r="I11" s="6">
        <v>-2.0563798411752878</v>
      </c>
      <c r="J11" s="6">
        <v>5.6585275674824423E-2</v>
      </c>
      <c r="K11" s="6"/>
      <c r="L11" s="6">
        <v>-3.0003086532539566E-2</v>
      </c>
      <c r="M11" s="6">
        <v>-7.0803912095401211E-2</v>
      </c>
      <c r="N11" s="6"/>
      <c r="O11" s="6">
        <v>-0.86125703642238371</v>
      </c>
      <c r="P11" s="6">
        <v>-0.11444603246977191</v>
      </c>
      <c r="Q11" s="6"/>
      <c r="R11" s="6">
        <v>0.20865533304758277</v>
      </c>
      <c r="S11" s="6">
        <v>-7.0803912095401211E-2</v>
      </c>
      <c r="T11" s="6"/>
      <c r="W11" s="6"/>
    </row>
    <row r="12" spans="1:39" x14ac:dyDescent="0.35">
      <c r="A12" s="6">
        <v>1.837336036528411</v>
      </c>
      <c r="B12" s="6"/>
      <c r="C12" s="6">
        <v>1.5885985877820572</v>
      </c>
      <c r="D12" s="6">
        <v>-9.6404594000120136E-2</v>
      </c>
      <c r="E12" s="6"/>
      <c r="F12" s="6">
        <v>-0.36586564674679134</v>
      </c>
      <c r="G12" s="6">
        <v>-2.2255166659261583E-3</v>
      </c>
      <c r="H12" s="6"/>
      <c r="I12" s="6">
        <v>-2.1149825391077726</v>
      </c>
      <c r="J12" s="6">
        <v>5.6966784224357123E-2</v>
      </c>
      <c r="K12" s="6"/>
      <c r="L12" s="6">
        <v>-9.6848795702073207E-2</v>
      </c>
      <c r="M12" s="6">
        <v>-8.2379581943737665E-2</v>
      </c>
      <c r="N12" s="6"/>
      <c r="O12" s="6">
        <v>-0.7468110039526118</v>
      </c>
      <c r="P12" s="6">
        <v>-0.12744427876687281</v>
      </c>
      <c r="Q12" s="6"/>
      <c r="R12" s="6">
        <v>0.28204074767108667</v>
      </c>
      <c r="S12" s="6">
        <v>-8.2379581943737665E-2</v>
      </c>
      <c r="T12" s="6"/>
      <c r="W12" s="6"/>
    </row>
    <row r="13" spans="1:39" x14ac:dyDescent="0.35">
      <c r="A13" s="6">
        <v>1.8049076534262141</v>
      </c>
      <c r="B13" s="6"/>
      <c r="C13" s="6">
        <v>1.6935873914420259</v>
      </c>
      <c r="D13" s="6">
        <v>-0.10804872685422404</v>
      </c>
      <c r="E13" s="6"/>
      <c r="F13" s="6">
        <v>-0.408068314470176</v>
      </c>
      <c r="G13" s="6">
        <v>-3.2951835683896757E-3</v>
      </c>
      <c r="H13" s="6"/>
      <c r="I13" s="6">
        <v>-2.174622988485051</v>
      </c>
      <c r="J13" s="6">
        <v>5.7584242986572706E-2</v>
      </c>
      <c r="K13" s="6"/>
      <c r="L13" s="6">
        <v>-0.1669481218662725</v>
      </c>
      <c r="M13" s="6">
        <v>-9.5343701799397287E-2</v>
      </c>
      <c r="N13" s="6"/>
      <c r="O13" s="6">
        <v>-0.61936672518573899</v>
      </c>
      <c r="P13" s="6">
        <v>-0.142522313791098</v>
      </c>
      <c r="Q13" s="6"/>
      <c r="R13" s="6">
        <v>0.36559818382050657</v>
      </c>
      <c r="S13" s="6">
        <v>-9.5343701799397287E-2</v>
      </c>
      <c r="T13" s="6"/>
      <c r="W13" s="6"/>
    </row>
    <row r="14" spans="1:39" x14ac:dyDescent="0.35">
      <c r="A14" s="6">
        <v>1.7646628972965148</v>
      </c>
      <c r="B14" s="6"/>
      <c r="C14" s="6">
        <v>1.8104957940027702</v>
      </c>
      <c r="D14" s="6">
        <v>-0.12131665696864857</v>
      </c>
      <c r="E14" s="6"/>
      <c r="F14" s="6">
        <v>-0.46076417667989045</v>
      </c>
      <c r="G14" s="6">
        <v>-4.8402560973508091E-3</v>
      </c>
      <c r="H14" s="6"/>
      <c r="I14" s="6">
        <v>-2.2359006828708337</v>
      </c>
      <c r="J14" s="6">
        <v>5.8395209582567255E-2</v>
      </c>
      <c r="K14" s="6"/>
      <c r="L14" s="6">
        <v>-0.24160717094212666</v>
      </c>
      <c r="M14" s="6">
        <v>-0.10955929546453293</v>
      </c>
      <c r="N14" s="6"/>
      <c r="O14" s="6">
        <v>-0.47684441139464095</v>
      </c>
      <c r="P14" s="6">
        <v>-0.15964489788845576</v>
      </c>
      <c r="Q14" s="6"/>
      <c r="R14" s="6">
        <v>0.45942302412443209</v>
      </c>
      <c r="S14" s="6">
        <v>-0.10955929546453293</v>
      </c>
      <c r="T14" s="6"/>
    </row>
    <row r="15" spans="1:39" x14ac:dyDescent="0.35">
      <c r="A15" s="6">
        <v>1.714921090496063</v>
      </c>
      <c r="B15" s="6"/>
      <c r="C15" s="6">
        <v>1.9406423478894332</v>
      </c>
      <c r="D15" s="6">
        <v>-0.13621145738512025</v>
      </c>
      <c r="E15" s="6"/>
      <c r="F15" s="6">
        <v>-0.52566812828302756</v>
      </c>
      <c r="G15" s="6">
        <v>-6.9856310489308238E-3</v>
      </c>
      <c r="H15" s="6"/>
      <c r="I15" s="6">
        <v>-2.2995795905765264</v>
      </c>
      <c r="J15" s="6">
        <v>5.9320781661653159E-2</v>
      </c>
      <c r="K15" s="6"/>
      <c r="L15" s="6">
        <v>-0.3224391254720731</v>
      </c>
      <c r="M15" s="6">
        <v>-0.12458560449812682</v>
      </c>
      <c r="N15" s="6"/>
      <c r="O15" s="6">
        <v>-0.31719951350618519</v>
      </c>
      <c r="P15" s="6">
        <v>-0.17840128127747282</v>
      </c>
      <c r="Q15" s="6"/>
      <c r="R15" s="6">
        <v>0.56264887720048695</v>
      </c>
      <c r="S15" s="6">
        <v>-0.12458560449812682</v>
      </c>
      <c r="T15" s="6"/>
    </row>
    <row r="16" spans="1:39" x14ac:dyDescent="0.35">
      <c r="A16" s="6">
        <v>1.6543008867221936</v>
      </c>
      <c r="B16" s="6"/>
      <c r="C16" s="6">
        <v>2.0850378154496636</v>
      </c>
      <c r="D16" s="6">
        <v>-0.15240347358458584</v>
      </c>
      <c r="E16" s="6"/>
      <c r="F16" s="6">
        <v>-0.6037138642512172</v>
      </c>
      <c r="G16" s="6">
        <v>-9.7535946001294227E-3</v>
      </c>
      <c r="H16" s="6"/>
      <c r="I16" s="6">
        <v>-2.3666230965129174</v>
      </c>
      <c r="J16" s="6">
        <v>6.0223644330110356E-2</v>
      </c>
      <c r="K16" s="6"/>
      <c r="L16" s="6">
        <v>-0.41123024655376217</v>
      </c>
      <c r="M16" s="6">
        <v>-0.13959038220469475</v>
      </c>
      <c r="N16" s="6"/>
      <c r="O16" s="6">
        <v>-0.13879823222871238</v>
      </c>
      <c r="P16" s="6">
        <v>-0.19781560486191302</v>
      </c>
      <c r="Q16" s="6"/>
      <c r="R16" s="6">
        <v>0.67288230589406195</v>
      </c>
      <c r="S16" s="6">
        <v>-0.13959038220469475</v>
      </c>
      <c r="T16" s="6"/>
      <c r="U16" s="6"/>
    </row>
    <row r="17" spans="1:21" x14ac:dyDescent="0.35">
      <c r="A17" s="6">
        <v>1.582268684545491</v>
      </c>
      <c r="B17" s="6"/>
      <c r="C17" s="6">
        <v>2.2439633304350735</v>
      </c>
      <c r="D17" s="6">
        <v>-0.16907678903928053</v>
      </c>
      <c r="E17" s="6"/>
      <c r="F17" s="6">
        <v>-0.69418654379471978</v>
      </c>
      <c r="G17" s="6">
        <v>-1.2918239387715968E-2</v>
      </c>
      <c r="H17" s="6"/>
      <c r="I17" s="6">
        <v>-2.4381480456663822</v>
      </c>
      <c r="J17" s="6">
        <v>6.0891645619472912E-2</v>
      </c>
      <c r="K17" s="6"/>
      <c r="L17" s="6">
        <v>-0.50950858933889309</v>
      </c>
      <c r="M17" s="6">
        <v>-0.15340969587084946</v>
      </c>
      <c r="N17" s="6"/>
      <c r="O17" s="6">
        <v>5.9017372633200643E-2</v>
      </c>
      <c r="P17" s="6">
        <v>-0.21630223274664914</v>
      </c>
      <c r="Q17" s="6"/>
      <c r="R17" s="6">
        <v>0.78582262666703029</v>
      </c>
      <c r="S17" s="6">
        <v>-0.15340969587084946</v>
      </c>
      <c r="T17" s="6"/>
      <c r="U17" s="6"/>
    </row>
    <row r="18" spans="1:21" x14ac:dyDescent="0.35">
      <c r="A18" s="6">
        <v>1.4996415811139907</v>
      </c>
      <c r="B18" s="6"/>
      <c r="C18" s="6">
        <v>2.416528530459777</v>
      </c>
      <c r="D18" s="6">
        <v>-0.18492281464106691</v>
      </c>
      <c r="E18" s="6"/>
      <c r="F18" s="6">
        <v>-0.7941721760874394</v>
      </c>
      <c r="G18" s="6">
        <v>-1.5920283170631211E-2</v>
      </c>
      <c r="H18" s="6"/>
      <c r="I18" s="6">
        <v>-2.515201681422143</v>
      </c>
      <c r="J18" s="6">
        <v>6.1050177035835651E-2</v>
      </c>
      <c r="K18" s="6"/>
      <c r="L18" s="6">
        <v>-0.61780660277354349</v>
      </c>
      <c r="M18" s="6">
        <v>-0.16484711288575046</v>
      </c>
      <c r="N18" s="6"/>
      <c r="O18" s="6">
        <v>0.27531960537984979</v>
      </c>
      <c r="P18" s="6">
        <v>-0.23195640927863742</v>
      </c>
      <c r="Q18" s="6"/>
      <c r="R18" s="6">
        <v>0.89559050387886763</v>
      </c>
      <c r="S18" s="6">
        <v>-0.16484711288575046</v>
      </c>
      <c r="T18" s="6"/>
      <c r="U18" s="6"/>
    </row>
    <row r="19" spans="1:21" x14ac:dyDescent="0.35">
      <c r="A19" s="6">
        <v>1.4086883448187411</v>
      </c>
      <c r="B19" s="6"/>
      <c r="C19" s="6">
        <v>2.6004572999833924</v>
      </c>
      <c r="D19" s="6">
        <v>-0.19842397673436046</v>
      </c>
      <c r="E19" s="6"/>
      <c r="F19" s="6">
        <v>-0.89906507823094384</v>
      </c>
      <c r="G19" s="6">
        <v>-1.803053584886502E-2</v>
      </c>
      <c r="H19" s="6"/>
      <c r="I19" s="6">
        <v>-2.5983367243095157</v>
      </c>
      <c r="J19" s="6">
        <v>6.0426027803519446E-2</v>
      </c>
      <c r="K19" s="6"/>
      <c r="L19" s="6">
        <v>-0.73499815164479632</v>
      </c>
      <c r="M19" s="6">
        <v>-0.17310669345460239</v>
      </c>
      <c r="N19" s="6"/>
      <c r="O19" s="6">
        <v>0.50727601465848715</v>
      </c>
      <c r="P19" s="6">
        <v>-0.2431592953749761</v>
      </c>
      <c r="Q19" s="6"/>
      <c r="R19" s="6">
        <v>0.99610849784356059</v>
      </c>
      <c r="S19" s="6">
        <v>-0.17310669345460239</v>
      </c>
      <c r="T19" s="6"/>
      <c r="U19" s="6"/>
    </row>
    <row r="20" spans="1:21" x14ac:dyDescent="0.35">
      <c r="A20" s="6">
        <v>1.3126861894783972</v>
      </c>
      <c r="B20" s="6"/>
      <c r="C20" s="6">
        <v>2.7923265961024062</v>
      </c>
      <c r="D20" s="6">
        <v>-0.20834855328451379</v>
      </c>
      <c r="E20" s="6"/>
      <c r="F20" s="6">
        <v>-1.0041369947873986</v>
      </c>
      <c r="G20" s="6">
        <v>-1.8740807511441276E-2</v>
      </c>
      <c r="H20" s="6"/>
      <c r="I20" s="6">
        <v>-2.6871785304142572</v>
      </c>
      <c r="J20" s="6">
        <v>5.8851769568298733E-2</v>
      </c>
      <c r="K20" s="6"/>
      <c r="L20" s="6">
        <v>-0.85832220614616295</v>
      </c>
      <c r="M20" s="6">
        <v>-0.17804158256181163</v>
      </c>
      <c r="N20" s="6"/>
      <c r="O20" s="6">
        <v>0.75043531003346331</v>
      </c>
      <c r="P20" s="6">
        <v>-0.24911689770767315</v>
      </c>
      <c r="Q20" s="6"/>
      <c r="R20" s="6">
        <v>1.0830037664827081</v>
      </c>
      <c r="S20" s="6">
        <v>-0.17804158256181163</v>
      </c>
      <c r="T20" s="6"/>
      <c r="U20" s="6"/>
    </row>
    <row r="21" spans="1:21" x14ac:dyDescent="0.35">
      <c r="A21" s="6">
        <v>1.2151890790081443</v>
      </c>
      <c r="B21" s="6"/>
      <c r="C21" s="6">
        <v>2.9882125146857463</v>
      </c>
      <c r="D21" s="6">
        <v>-0.21411756719333128</v>
      </c>
      <c r="E21" s="6"/>
      <c r="F21" s="6">
        <v>-1.1060419262763908</v>
      </c>
      <c r="G21" s="6">
        <v>-1.8015769188250763E-2</v>
      </c>
      <c r="H21" s="6"/>
      <c r="I21" s="6">
        <v>-2.7803155828530031</v>
      </c>
      <c r="J21" s="6">
        <v>5.6355766154375778E-2</v>
      </c>
      <c r="K21" s="6"/>
      <c r="L21" s="6">
        <v>-0.98421396074191181</v>
      </c>
      <c r="M21" s="6">
        <v>-0.18001347261565626</v>
      </c>
      <c r="N21" s="6"/>
      <c r="O21" s="6">
        <v>0.99955220774113651</v>
      </c>
      <c r="P21" s="6">
        <v>-0.24994640292480486</v>
      </c>
      <c r="Q21" s="6"/>
      <c r="R21" s="6">
        <v>1.154794905238945</v>
      </c>
      <c r="S21" s="6">
        <v>-0.18001347261565626</v>
      </c>
      <c r="T21" s="6"/>
      <c r="U21" s="6"/>
    </row>
    <row r="22" spans="1:21" x14ac:dyDescent="0.35">
      <c r="A22" s="6">
        <v>1.119386413166807</v>
      </c>
      <c r="B22" s="6"/>
      <c r="C22" s="6">
        <v>3.1844085894699896</v>
      </c>
      <c r="D22" s="6">
        <v>-0.21581239556624857</v>
      </c>
      <c r="E22" s="6"/>
      <c r="F22" s="6">
        <v>-1.2032414930936064</v>
      </c>
      <c r="G22" s="6">
        <v>-1.6169916334495937E-2</v>
      </c>
      <c r="H22" s="6"/>
      <c r="I22" s="6">
        <v>-2.8756350618415349</v>
      </c>
      <c r="J22" s="6">
        <v>5.3172762141454236E-2</v>
      </c>
      <c r="K22" s="6"/>
      <c r="L22" s="6">
        <v>-1.1093389169404484</v>
      </c>
      <c r="M22" s="6">
        <v>-0.17953866631008036</v>
      </c>
      <c r="N22" s="6"/>
      <c r="O22" s="6">
        <v>1.2494986106659414</v>
      </c>
      <c r="P22" s="6">
        <v>-0.24636525255377403</v>
      </c>
      <c r="Q22" s="6"/>
      <c r="R22" s="6">
        <v>1.2126886433844242</v>
      </c>
      <c r="S22" s="6">
        <v>-0.17953866631008036</v>
      </c>
      <c r="T22" s="6"/>
      <c r="U22" s="6"/>
    </row>
    <row r="23" spans="1:21" x14ac:dyDescent="0.35">
      <c r="A23" s="6">
        <v>1.0277457876348048</v>
      </c>
      <c r="B23" s="6"/>
      <c r="C23" s="6">
        <v>3.377888391523904</v>
      </c>
      <c r="D23" s="6">
        <v>-0.21394531327159605</v>
      </c>
      <c r="E23" s="6"/>
      <c r="F23" s="6">
        <v>-1.2954977398349092</v>
      </c>
      <c r="G23" s="6">
        <v>-1.3590774041365605E-2</v>
      </c>
      <c r="H23" s="6"/>
      <c r="I23" s="6">
        <v>-2.9708806432971531</v>
      </c>
      <c r="J23" s="6">
        <v>4.9655528562387183E-2</v>
      </c>
      <c r="K23" s="6"/>
      <c r="L23" s="6">
        <v>-1.2312150230803465</v>
      </c>
      <c r="M23" s="6">
        <v>-0.17705161009043827</v>
      </c>
      <c r="N23" s="6"/>
      <c r="O23" s="6">
        <v>1.4958638632197154</v>
      </c>
      <c r="P23" s="6">
        <v>-0.23932888366674976</v>
      </c>
      <c r="Q23" s="6"/>
      <c r="R23" s="6">
        <v>1.259465773369473</v>
      </c>
      <c r="S23" s="6">
        <v>-0.17705161009043827</v>
      </c>
      <c r="T23" s="6"/>
    </row>
    <row r="24" spans="1:21" x14ac:dyDescent="0.35">
      <c r="A24" s="6">
        <v>0.94192367598563398</v>
      </c>
      <c r="B24" s="6"/>
      <c r="C24" s="6">
        <v>3.5664366784272454</v>
      </c>
      <c r="D24" s="6">
        <v>-0.20922439334699666</v>
      </c>
      <c r="E24" s="6"/>
      <c r="F24" s="6">
        <v>-1.3831601724635538</v>
      </c>
      <c r="G24" s="6">
        <v>-1.0586336707411548E-2</v>
      </c>
      <c r="H24" s="6"/>
      <c r="I24" s="6">
        <v>-3.0641197669734233</v>
      </c>
      <c r="J24" s="6">
        <v>4.6144861174745921E-2</v>
      </c>
      <c r="K24" s="6"/>
      <c r="L24" s="6">
        <v>-1.3483195305579758</v>
      </c>
      <c r="M24" s="6">
        <v>-0.17288986889055141</v>
      </c>
      <c r="N24" s="6"/>
      <c r="O24" s="6">
        <v>1.7351927468864652</v>
      </c>
      <c r="P24" s="6">
        <v>-0.22981715041649711</v>
      </c>
      <c r="Q24" s="6"/>
      <c r="R24" s="6">
        <v>1.2983108998790798</v>
      </c>
      <c r="S24" s="6">
        <v>-0.17288986889055141</v>
      </c>
      <c r="T24" s="6"/>
    </row>
    <row r="25" spans="1:21" x14ac:dyDescent="0.35">
      <c r="A25" s="6">
        <v>0.86284014189078651</v>
      </c>
      <c r="B25" s="6"/>
      <c r="C25" s="6">
        <v>3.7485688615547557</v>
      </c>
      <c r="D25" s="6">
        <v>-0.20240160462423396</v>
      </c>
      <c r="E25" s="6"/>
      <c r="F25" s="6">
        <v>-1.466689231368808</v>
      </c>
      <c r="G25" s="6">
        <v>-7.3764860601892579E-3</v>
      </c>
      <c r="H25" s="6"/>
      <c r="I25" s="6">
        <v>-3.1539715349786639</v>
      </c>
      <c r="J25" s="6">
        <v>4.2879303153903037E-2</v>
      </c>
      <c r="K25" s="6"/>
      <c r="L25" s="6">
        <v>-1.4599030082089686</v>
      </c>
      <c r="M25" s="6">
        <v>-0.16737095783743244</v>
      </c>
      <c r="N25" s="6"/>
      <c r="O25" s="6">
        <v>1.9650098973029624</v>
      </c>
      <c r="P25" s="6">
        <v>-0.21873888774582553</v>
      </c>
      <c r="Q25" s="6"/>
      <c r="R25" s="6">
        <v>1.3320482298623406</v>
      </c>
      <c r="S25" s="6">
        <v>-0.16737095783743244</v>
      </c>
      <c r="T25" s="6"/>
    </row>
    <row r="26" spans="1:21" x14ac:dyDescent="0.35">
      <c r="A26" s="6">
        <v>0.79082529597887075</v>
      </c>
      <c r="B26" s="6"/>
      <c r="C26" s="6">
        <v>3.9233787479277389</v>
      </c>
      <c r="D26" s="6">
        <v>-0.19418375941489152</v>
      </c>
      <c r="E26" s="6"/>
      <c r="F26" s="6">
        <v>-1.546458904846711</v>
      </c>
      <c r="G26" s="6">
        <v>-4.1275399397737444E-3</v>
      </c>
      <c r="H26" s="6"/>
      <c r="I26" s="6">
        <v>-3.239622667085464</v>
      </c>
      <c r="J26" s="6">
        <v>3.9975437761022373E-2</v>
      </c>
      <c r="K26" s="6"/>
      <c r="L26" s="6">
        <v>-1.5657339797773417</v>
      </c>
      <c r="M26" s="6">
        <v>-0.16083382486276704</v>
      </c>
      <c r="N26" s="6"/>
      <c r="O26" s="6">
        <v>2.1837487850487878</v>
      </c>
      <c r="P26" s="6">
        <v>-0.20687659515622681</v>
      </c>
      <c r="Q26" s="6"/>
      <c r="R26" s="6">
        <v>1.3628155111531028</v>
      </c>
      <c r="S26" s="6">
        <v>-0.16083382486276704</v>
      </c>
      <c r="T26" s="6"/>
    </row>
    <row r="27" spans="1:21" x14ac:dyDescent="0.35">
      <c r="A27" s="6">
        <v>0.72578271537268979</v>
      </c>
      <c r="B27" s="6"/>
      <c r="C27" s="6">
        <v>4.0903923083730369</v>
      </c>
      <c r="D27" s="6">
        <v>-0.18517854464897432</v>
      </c>
      <c r="E27" s="6"/>
      <c r="F27" s="6">
        <v>-1.6227259413271664</v>
      </c>
      <c r="G27" s="6">
        <v>-9.7216395967024416E-4</v>
      </c>
      <c r="H27" s="6"/>
      <c r="I27" s="6">
        <v>-3.3207254652138389</v>
      </c>
      <c r="J27" s="6">
        <v>3.7456123604302345E-2</v>
      </c>
      <c r="K27" s="6"/>
      <c r="L27" s="6">
        <v>-1.6658857589448779</v>
      </c>
      <c r="M27" s="6">
        <v>-0.15362383321093054</v>
      </c>
      <c r="N27" s="6"/>
      <c r="O27" s="6">
        <v>2.3906253802050146</v>
      </c>
      <c r="P27" s="6">
        <v>-0.19484781174924021</v>
      </c>
      <c r="Q27" s="6"/>
      <c r="R27" s="6">
        <v>1.3920355742956765</v>
      </c>
      <c r="S27" s="6">
        <v>-0.15362383321093054</v>
      </c>
      <c r="T27" s="6"/>
    </row>
    <row r="28" spans="1:21" x14ac:dyDescent="0.35">
      <c r="A28" s="6">
        <v>0.66734037378105859</v>
      </c>
      <c r="B28" s="6"/>
      <c r="C28" s="6">
        <v>4.2494507965696799</v>
      </c>
      <c r="D28" s="6">
        <v>-0.1758671170016472</v>
      </c>
      <c r="E28" s="6"/>
      <c r="F28" s="6">
        <v>-1.6956625040144779</v>
      </c>
      <c r="G28" s="6">
        <v>1.988199709276009E-3</v>
      </c>
      <c r="H28" s="6"/>
      <c r="I28" s="6">
        <v>-3.3972593339140458</v>
      </c>
      <c r="J28" s="6">
        <v>3.5291488602657128E-2</v>
      </c>
      <c r="K28" s="6"/>
      <c r="L28" s="6">
        <v>-1.7605917786836363</v>
      </c>
      <c r="M28" s="6">
        <v>-0.14605632666168156</v>
      </c>
      <c r="N28" s="6"/>
      <c r="O28" s="6">
        <v>2.5854731919542546</v>
      </c>
      <c r="P28" s="6">
        <v>-0.18309179203473153</v>
      </c>
      <c r="Q28" s="6"/>
      <c r="R28" s="6">
        <v>1.4205385993705011</v>
      </c>
      <c r="S28" s="6">
        <v>-0.14605632666168156</v>
      </c>
      <c r="T28" s="6"/>
    </row>
    <row r="29" spans="1:21" x14ac:dyDescent="0.35">
      <c r="A29" s="6">
        <v>0.61497373154580315</v>
      </c>
      <c r="B29" s="6"/>
      <c r="C29" s="6">
        <v>4.4006213959392024</v>
      </c>
      <c r="D29" s="6">
        <v>-0.16660058115508453</v>
      </c>
      <c r="E29" s="6"/>
      <c r="F29" s="6">
        <v>-1.7653970538901973</v>
      </c>
      <c r="G29" s="6">
        <v>4.6853420945970614E-3</v>
      </c>
      <c r="H29" s="6"/>
      <c r="I29" s="6">
        <v>-3.4694034908799267</v>
      </c>
      <c r="J29" s="6">
        <v>3.3431419425247785E-2</v>
      </c>
      <c r="K29" s="6"/>
      <c r="L29" s="6">
        <v>-1.8501584987860944</v>
      </c>
      <c r="M29" s="6">
        <v>-0.13838951646324199</v>
      </c>
      <c r="N29" s="6"/>
      <c r="O29" s="6">
        <v>2.7685649839889863</v>
      </c>
      <c r="P29" s="6">
        <v>-0.17188450374020034</v>
      </c>
      <c r="Q29" s="6"/>
      <c r="R29" s="6">
        <v>1.4487311399404135</v>
      </c>
      <c r="S29" s="6">
        <v>-0.13838951646324199</v>
      </c>
      <c r="T29" s="6"/>
    </row>
    <row r="30" spans="1:21" x14ac:dyDescent="0.35">
      <c r="A30" s="6">
        <v>0.56809573352423803</v>
      </c>
      <c r="B30" s="6"/>
      <c r="C30" s="6">
        <v>4.5441280915712277</v>
      </c>
      <c r="D30" s="6">
        <v>-0.15761419442589225</v>
      </c>
      <c r="E30" s="6"/>
      <c r="F30" s="6">
        <v>-1.8320437764178623</v>
      </c>
      <c r="G30" s="6">
        <v>7.0829025620710445E-3</v>
      </c>
      <c r="H30" s="6"/>
      <c r="I30" s="6">
        <v>-3.5374401431452638</v>
      </c>
      <c r="J30" s="6">
        <v>3.1824258586561543E-2</v>
      </c>
      <c r="K30" s="6"/>
      <c r="L30" s="6">
        <v>-1.9349169689556973</v>
      </c>
      <c r="M30" s="6">
        <v>-0.13081584458288292</v>
      </c>
      <c r="N30" s="6"/>
      <c r="O30" s="6">
        <v>2.9404494877291865</v>
      </c>
      <c r="P30" s="6">
        <v>-0.1613721310876958</v>
      </c>
      <c r="Q30" s="6"/>
      <c r="R30" s="6">
        <v>1.4767528332400921</v>
      </c>
      <c r="S30" s="6">
        <v>-0.13081584458288292</v>
      </c>
      <c r="T30" s="6"/>
    </row>
    <row r="31" spans="1:21" x14ac:dyDescent="0.35">
      <c r="A31" s="6">
        <v>0.52611593335853069</v>
      </c>
      <c r="B31" s="6"/>
      <c r="C31" s="6">
        <v>4.6802974458499076</v>
      </c>
      <c r="D31" s="6">
        <v>-0.14905058261793347</v>
      </c>
      <c r="E31" s="6"/>
      <c r="F31" s="6">
        <v>-1.8957183351535376</v>
      </c>
      <c r="G31" s="6">
        <v>9.1708325862210338E-3</v>
      </c>
      <c r="H31" s="6"/>
      <c r="I31" s="6">
        <v>-3.6016900795563482</v>
      </c>
      <c r="J31" s="6">
        <v>3.042470889823393E-2</v>
      </c>
      <c r="K31" s="6"/>
      <c r="L31" s="6">
        <v>-2.0151974440916338</v>
      </c>
      <c r="M31" s="6">
        <v>-0.12346735336431025</v>
      </c>
      <c r="N31" s="6"/>
      <c r="O31" s="6">
        <v>3.1018216188168823</v>
      </c>
      <c r="P31" s="6">
        <v>-0.15160953628826501</v>
      </c>
      <c r="Q31" s="6"/>
      <c r="R31" s="6">
        <v>1.5045962734250451</v>
      </c>
      <c r="S31" s="6">
        <v>-0.12346735336431025</v>
      </c>
      <c r="T31" s="6"/>
    </row>
    <row r="32" spans="1:21" x14ac:dyDescent="0.35">
      <c r="A32" s="6">
        <v>0.48847503114161273</v>
      </c>
      <c r="B32" s="6"/>
      <c r="C32" s="6">
        <v>4.8095165169121534</v>
      </c>
      <c r="D32" s="6">
        <v>-0.14098439786228989</v>
      </c>
      <c r="E32" s="6"/>
      <c r="F32" s="6">
        <v>-1.9565436554844775</v>
      </c>
      <c r="G32" s="6">
        <v>1.0957962430687071E-2</v>
      </c>
      <c r="H32" s="6"/>
      <c r="I32" s="6">
        <v>-3.6624746381905831</v>
      </c>
      <c r="J32" s="6">
        <v>2.9195644334219641E-2</v>
      </c>
      <c r="K32" s="6"/>
      <c r="L32" s="6">
        <v>-2.0913168386377992</v>
      </c>
      <c r="M32" s="6">
        <v>-0.11642746659962616</v>
      </c>
      <c r="N32" s="6"/>
      <c r="O32" s="6">
        <v>3.2534311551051474</v>
      </c>
      <c r="P32" s="6">
        <v>-0.14259410203772038</v>
      </c>
      <c r="Q32" s="6"/>
      <c r="R32" s="6">
        <v>1.532187106408633</v>
      </c>
      <c r="S32" s="6">
        <v>-0.11642746659962616</v>
      </c>
      <c r="T32" s="6"/>
    </row>
    <row r="33" spans="1:20" x14ac:dyDescent="0.35">
      <c r="A33" s="6">
        <v>0.45466205602837167</v>
      </c>
      <c r="B33" s="6"/>
      <c r="C33" s="6">
        <v>4.9322013148428914</v>
      </c>
      <c r="D33" s="6">
        <v>-0.13344387902541427</v>
      </c>
      <c r="E33" s="6"/>
      <c r="F33" s="6">
        <v>-2.0146500255294133</v>
      </c>
      <c r="G33" s="6">
        <v>1.2464870476174422E-2</v>
      </c>
      <c r="H33" s="6"/>
      <c r="I33" s="6">
        <v>-3.7200960575170865</v>
      </c>
      <c r="J33" s="6">
        <v>2.8107334197523214E-2</v>
      </c>
      <c r="K33" s="6"/>
      <c r="L33" s="6">
        <v>-2.1635730622635263</v>
      </c>
      <c r="M33" s="6">
        <v>-0.10974363357234256</v>
      </c>
      <c r="N33" s="6"/>
      <c r="O33" s="6">
        <v>3.3960252571428677</v>
      </c>
      <c r="P33" s="6">
        <v>-0.13429105659945934</v>
      </c>
      <c r="Q33" s="6"/>
      <c r="R33" s="6">
        <v>1.5594315810265849</v>
      </c>
      <c r="S33" s="6">
        <v>-0.10974363357234256</v>
      </c>
      <c r="T33" s="6"/>
    </row>
    <row r="34" spans="1:20" x14ac:dyDescent="0.35">
      <c r="A34" s="6">
        <v>0.42422047526037548</v>
      </c>
      <c r="B34" s="6"/>
      <c r="C34" s="6">
        <v>5.0487743081359708</v>
      </c>
      <c r="D34" s="6">
        <v>-0.12642760328340918</v>
      </c>
      <c r="E34" s="6"/>
      <c r="F34" s="6">
        <v>-2.0701726586752858</v>
      </c>
      <c r="G34" s="6">
        <v>1.3718205293984251E-2</v>
      </c>
      <c r="H34" s="6"/>
      <c r="I34" s="6">
        <v>-3.7748292547173206</v>
      </c>
      <c r="J34" s="6">
        <v>2.7135982132608233E-2</v>
      </c>
      <c r="K34" s="6"/>
      <c r="L34" s="6">
        <v>-2.2322429669173678</v>
      </c>
      <c r="M34" s="6">
        <v>-0.10343814549294318</v>
      </c>
      <c r="N34" s="6"/>
      <c r="O34" s="6">
        <v>3.5303163137423272</v>
      </c>
      <c r="P34" s="6">
        <v>-0.12665034008572101</v>
      </c>
      <c r="Q34" s="6"/>
      <c r="R34" s="6">
        <v>1.5862413601971175</v>
      </c>
      <c r="S34" s="6">
        <v>-0.10343814549294318</v>
      </c>
      <c r="T34" s="6"/>
    </row>
    <row r="35" spans="1:20" x14ac:dyDescent="0.35">
      <c r="A35" s="6">
        <v>0.39674788571626746</v>
      </c>
      <c r="B35" s="6"/>
      <c r="C35" s="6">
        <v>5.159649325372631</v>
      </c>
      <c r="D35" s="6">
        <v>-0.11991648956058787</v>
      </c>
      <c r="E35" s="6"/>
      <c r="F35" s="6">
        <v>-2.1232485780747066</v>
      </c>
      <c r="G35" s="6">
        <v>1.4746708829598137E-2</v>
      </c>
      <c r="H35" s="6"/>
      <c r="I35" s="6">
        <v>-3.8269200183522032</v>
      </c>
      <c r="J35" s="6">
        <v>2.6262365181136491E-2</v>
      </c>
      <c r="K35" s="6"/>
      <c r="L35" s="6">
        <v>-2.2975821604746853</v>
      </c>
      <c r="M35" s="6">
        <v>-9.751639392080641E-2</v>
      </c>
      <c r="N35" s="6"/>
      <c r="O35" s="6">
        <v>3.6569666538280483</v>
      </c>
      <c r="P35" s="6">
        <v>-0.11961681144825555</v>
      </c>
      <c r="Q35" s="6"/>
      <c r="R35" s="6">
        <v>1.6125441911967155</v>
      </c>
      <c r="S35" s="6">
        <v>-9.751639392080641E-2</v>
      </c>
      <c r="T35" s="6"/>
    </row>
    <row r="36" spans="1:20" x14ac:dyDescent="0.35">
      <c r="A36" s="6">
        <v>0.37189238523572832</v>
      </c>
      <c r="B36" s="6"/>
      <c r="C36" s="6">
        <v>5.2652221518641413</v>
      </c>
      <c r="D36" s="6">
        <v>-0.11388189746200356</v>
      </c>
      <c r="E36" s="6"/>
      <c r="F36" s="6">
        <v>-2.174013743549092</v>
      </c>
      <c r="G36" s="6">
        <v>1.5578712124975413E-2</v>
      </c>
      <c r="H36" s="6"/>
      <c r="I36" s="6">
        <v>-3.876586413187932</v>
      </c>
      <c r="J36" s="6">
        <v>2.5470783028306739E-2</v>
      </c>
      <c r="K36" s="6"/>
      <c r="L36" s="6">
        <v>-2.3598257629992592</v>
      </c>
      <c r="M36" s="6">
        <v>-9.1972785713016772E-2</v>
      </c>
      <c r="N36" s="6"/>
      <c r="O36" s="6">
        <v>3.7765834652763037</v>
      </c>
      <c r="P36" s="6">
        <v>-0.11313587583686424</v>
      </c>
      <c r="Q36" s="6"/>
      <c r="R36" s="6">
        <v>1.6382866652714934</v>
      </c>
      <c r="S36" s="6">
        <v>-9.1972785713016772E-2</v>
      </c>
      <c r="T36" s="6"/>
    </row>
    <row r="37" spans="1:20" x14ac:dyDescent="0.35">
      <c r="A37" s="6">
        <v>0.34934751810291897</v>
      </c>
      <c r="B37" s="6"/>
      <c r="C37" s="6">
        <v>5.3658652696770437</v>
      </c>
      <c r="D37" s="6">
        <v>-0.10829083036153134</v>
      </c>
      <c r="E37" s="6"/>
      <c r="F37" s="6">
        <v>-2.2226007744057288</v>
      </c>
      <c r="G37" s="6">
        <v>1.624072532077725E-2</v>
      </c>
      <c r="H37" s="6"/>
      <c r="I37" s="6">
        <v>-3.924021532562818</v>
      </c>
      <c r="J37" s="6">
        <v>2.4748299398447159E-2</v>
      </c>
      <c r="K37" s="6"/>
      <c r="L37" s="6">
        <v>-2.4191896140629363</v>
      </c>
      <c r="M37" s="6">
        <v>-8.6794828371551155E-2</v>
      </c>
      <c r="N37" s="6"/>
      <c r="O37" s="6">
        <v>3.8897193411131679</v>
      </c>
      <c r="P37" s="6">
        <v>-0.10715624789462548</v>
      </c>
      <c r="Q37" s="6"/>
      <c r="R37" s="6">
        <v>1.6634330629395568</v>
      </c>
      <c r="S37" s="6">
        <v>-8.6794828371551155E-2</v>
      </c>
      <c r="T37" s="6"/>
    </row>
    <row r="38" spans="1:20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</row>
    <row r="39" spans="1:20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</row>
    <row r="40" spans="1:20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</row>
    <row r="41" spans="1:20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</row>
    <row r="42" spans="1:20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</row>
    <row r="43" spans="1:20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</row>
    <row r="44" spans="1:20" x14ac:dyDescent="0.3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</row>
    <row r="45" spans="1:20" x14ac:dyDescent="0.3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1:20" x14ac:dyDescent="0.3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</row>
    <row r="47" spans="1:20" x14ac:dyDescent="0.3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</row>
    <row r="48" spans="1:20" x14ac:dyDescent="0.3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</row>
    <row r="49" spans="1:20" x14ac:dyDescent="0.3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</row>
    <row r="50" spans="1:20" x14ac:dyDescent="0.3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</row>
    <row r="51" spans="1:20" x14ac:dyDescent="0.3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</row>
    <row r="52" spans="1:20" x14ac:dyDescent="0.3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</row>
    <row r="53" spans="1:20" x14ac:dyDescent="0.3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</row>
    <row r="54" spans="1:20" x14ac:dyDescent="0.3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</row>
    <row r="55" spans="1:20" x14ac:dyDescent="0.3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1:20" x14ac:dyDescent="0.3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</row>
    <row r="57" spans="1:20" x14ac:dyDescent="0.3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</row>
    <row r="58" spans="1:20" x14ac:dyDescent="0.3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</row>
    <row r="59" spans="1:20" x14ac:dyDescent="0.3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</row>
    <row r="60" spans="1:20" x14ac:dyDescent="0.3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</row>
    <row r="61" spans="1:20" x14ac:dyDescent="0.3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</row>
    <row r="62" spans="1:20" x14ac:dyDescent="0.3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</row>
    <row r="63" spans="1:20" x14ac:dyDescent="0.3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</row>
    <row r="64" spans="1:20" x14ac:dyDescent="0.3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</row>
    <row r="65" spans="1:20" x14ac:dyDescent="0.3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</row>
    <row r="66" spans="1:20" x14ac:dyDescent="0.3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</row>
    <row r="67" spans="1:20" x14ac:dyDescent="0.3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</row>
    <row r="68" spans="1:20" x14ac:dyDescent="0.3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</row>
    <row r="69" spans="1:20" x14ac:dyDescent="0.3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1:20" x14ac:dyDescent="0.3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</row>
    <row r="71" spans="1:20" x14ac:dyDescent="0.3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</row>
    <row r="72" spans="1:20" x14ac:dyDescent="0.3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</row>
    <row r="73" spans="1:20" x14ac:dyDescent="0.3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</row>
    <row r="74" spans="1:20" x14ac:dyDescent="0.3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</row>
    <row r="75" spans="1:20" x14ac:dyDescent="0.3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1:20" x14ac:dyDescent="0.3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</row>
    <row r="77" spans="1:20" x14ac:dyDescent="0.3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</row>
    <row r="78" spans="1:20" x14ac:dyDescent="0.3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</row>
    <row r="79" spans="1:20" x14ac:dyDescent="0.3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</row>
    <row r="80" spans="1:20" x14ac:dyDescent="0.3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</row>
    <row r="81" spans="1:20" x14ac:dyDescent="0.3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</row>
    <row r="82" spans="1:20" x14ac:dyDescent="0.3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</row>
    <row r="83" spans="1:20" x14ac:dyDescent="0.3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</row>
    <row r="84" spans="1:20" x14ac:dyDescent="0.3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</row>
    <row r="85" spans="1:20" x14ac:dyDescent="0.3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1:20" x14ac:dyDescent="0.3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</row>
    <row r="87" spans="1:20" x14ac:dyDescent="0.3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</row>
    <row r="88" spans="1:20" x14ac:dyDescent="0.3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</row>
    <row r="89" spans="1:20" x14ac:dyDescent="0.3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</row>
    <row r="90" spans="1:20" x14ac:dyDescent="0.3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</row>
    <row r="91" spans="1:20" x14ac:dyDescent="0.3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</row>
    <row r="92" spans="1:20" x14ac:dyDescent="0.3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</row>
    <row r="93" spans="1:20" x14ac:dyDescent="0.3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</row>
    <row r="94" spans="1:20" x14ac:dyDescent="0.3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</row>
    <row r="95" spans="1:20" x14ac:dyDescent="0.3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1:20" x14ac:dyDescent="0.3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</row>
    <row r="97" spans="1:20" x14ac:dyDescent="0.3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</row>
    <row r="98" spans="1:20" x14ac:dyDescent="0.3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</row>
    <row r="99" spans="1:20" x14ac:dyDescent="0.3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</row>
    <row r="100" spans="1:20" x14ac:dyDescent="0.3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</row>
    <row r="101" spans="1:20" x14ac:dyDescent="0.3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</row>
    <row r="102" spans="1:20" x14ac:dyDescent="0.3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</row>
    <row r="103" spans="1:20" x14ac:dyDescent="0.3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</row>
    <row r="104" spans="1:20" x14ac:dyDescent="0.3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</row>
    <row r="105" spans="1:20" x14ac:dyDescent="0.3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</row>
    <row r="106" spans="1:20" x14ac:dyDescent="0.3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</row>
    <row r="107" spans="1:20" x14ac:dyDescent="0.3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</row>
    <row r="108" spans="1:20" x14ac:dyDescent="0.3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</row>
    <row r="109" spans="1:20" x14ac:dyDescent="0.3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</row>
    <row r="110" spans="1:20" x14ac:dyDescent="0.3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</row>
    <row r="111" spans="1:20" x14ac:dyDescent="0.3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</row>
    <row r="112" spans="1:20" x14ac:dyDescent="0.3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</row>
    <row r="113" spans="1:20" x14ac:dyDescent="0.3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</row>
    <row r="114" spans="1:20" x14ac:dyDescent="0.3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</row>
    <row r="115" spans="1:20" x14ac:dyDescent="0.3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</row>
    <row r="116" spans="1:20" x14ac:dyDescent="0.3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</row>
    <row r="117" spans="1:20" x14ac:dyDescent="0.3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</row>
    <row r="118" spans="1:20" x14ac:dyDescent="0.3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</row>
    <row r="119" spans="1:20" x14ac:dyDescent="0.3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</row>
    <row r="120" spans="1:20" x14ac:dyDescent="0.3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</row>
    <row r="121" spans="1:20" x14ac:dyDescent="0.3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</row>
    <row r="122" spans="1:20" x14ac:dyDescent="0.3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</row>
    <row r="123" spans="1:20" x14ac:dyDescent="0.3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</row>
    <row r="124" spans="1:20" x14ac:dyDescent="0.3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</row>
    <row r="125" spans="1:20" x14ac:dyDescent="0.3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</row>
    <row r="126" spans="1:20" x14ac:dyDescent="0.3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</row>
    <row r="127" spans="1:20" x14ac:dyDescent="0.3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</row>
    <row r="128" spans="1:20" x14ac:dyDescent="0.3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</row>
    <row r="129" spans="1:20" x14ac:dyDescent="0.3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</row>
    <row r="130" spans="1:20" x14ac:dyDescent="0.3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</row>
    <row r="131" spans="1:20" x14ac:dyDescent="0.3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</row>
    <row r="132" spans="1:20" x14ac:dyDescent="0.3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</row>
    <row r="133" spans="1:20" x14ac:dyDescent="0.3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</row>
    <row r="134" spans="1:20" x14ac:dyDescent="0.3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</row>
    <row r="135" spans="1:20" x14ac:dyDescent="0.3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</row>
    <row r="136" spans="1:20" x14ac:dyDescent="0.3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</row>
    <row r="137" spans="1:20" x14ac:dyDescent="0.3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</row>
    <row r="138" spans="1:20" x14ac:dyDescent="0.3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</row>
    <row r="139" spans="1:20" x14ac:dyDescent="0.3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</row>
    <row r="140" spans="1:20" x14ac:dyDescent="0.3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</row>
    <row r="141" spans="1:20" x14ac:dyDescent="0.3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</row>
    <row r="142" spans="1:20" x14ac:dyDescent="0.3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</row>
    <row r="143" spans="1:20" x14ac:dyDescent="0.3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</row>
    <row r="144" spans="1:20" x14ac:dyDescent="0.3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</row>
    <row r="145" spans="1:20" x14ac:dyDescent="0.3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</row>
    <row r="146" spans="1:20" x14ac:dyDescent="0.3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</row>
    <row r="147" spans="1:20" x14ac:dyDescent="0.3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</row>
    <row r="148" spans="1:20" x14ac:dyDescent="0.3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</row>
    <row r="149" spans="1:20" x14ac:dyDescent="0.3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</row>
    <row r="150" spans="1:20" x14ac:dyDescent="0.3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</row>
    <row r="151" spans="1:20" x14ac:dyDescent="0.3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</row>
    <row r="152" spans="1:20" x14ac:dyDescent="0.3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</row>
    <row r="153" spans="1:20" x14ac:dyDescent="0.3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</row>
    <row r="154" spans="1:20" x14ac:dyDescent="0.3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</row>
    <row r="155" spans="1:20" x14ac:dyDescent="0.3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</row>
    <row r="156" spans="1:20" x14ac:dyDescent="0.3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</row>
    <row r="157" spans="1:20" x14ac:dyDescent="0.3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</row>
    <row r="158" spans="1:20" x14ac:dyDescent="0.3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</row>
    <row r="159" spans="1:20" x14ac:dyDescent="0.3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</row>
    <row r="160" spans="1:20" x14ac:dyDescent="0.3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</row>
    <row r="161" spans="1:20" x14ac:dyDescent="0.3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</row>
    <row r="162" spans="1:20" x14ac:dyDescent="0.3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</row>
    <row r="163" spans="1:20" x14ac:dyDescent="0.3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</row>
    <row r="164" spans="1:20" x14ac:dyDescent="0.3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</row>
    <row r="165" spans="1:20" x14ac:dyDescent="0.3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</row>
    <row r="166" spans="1:20" x14ac:dyDescent="0.3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</row>
    <row r="167" spans="1:20" x14ac:dyDescent="0.3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</row>
    <row r="168" spans="1:20" x14ac:dyDescent="0.3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</row>
    <row r="169" spans="1:20" x14ac:dyDescent="0.3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</row>
    <row r="170" spans="1:20" x14ac:dyDescent="0.3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</row>
    <row r="171" spans="1:20" x14ac:dyDescent="0.3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</row>
    <row r="172" spans="1:20" x14ac:dyDescent="0.3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</row>
    <row r="173" spans="1:20" x14ac:dyDescent="0.3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</row>
    <row r="174" spans="1:20" x14ac:dyDescent="0.3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</row>
    <row r="175" spans="1:20" x14ac:dyDescent="0.3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</row>
    <row r="176" spans="1:20" x14ac:dyDescent="0.3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</row>
    <row r="177" spans="1:20" x14ac:dyDescent="0.3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</row>
    <row r="178" spans="1:20" x14ac:dyDescent="0.3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</row>
    <row r="179" spans="1:20" x14ac:dyDescent="0.3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</row>
    <row r="180" spans="1:20" x14ac:dyDescent="0.3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</row>
    <row r="181" spans="1:20" x14ac:dyDescent="0.3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</row>
    <row r="182" spans="1:20" x14ac:dyDescent="0.3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</row>
    <row r="183" spans="1:20" x14ac:dyDescent="0.3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</row>
    <row r="184" spans="1:20" x14ac:dyDescent="0.3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</row>
    <row r="185" spans="1:20" x14ac:dyDescent="0.3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</row>
    <row r="186" spans="1:20" x14ac:dyDescent="0.3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</row>
    <row r="187" spans="1:20" x14ac:dyDescent="0.3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</row>
    <row r="188" spans="1:20" x14ac:dyDescent="0.3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</row>
    <row r="189" spans="1:20" x14ac:dyDescent="0.3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</row>
    <row r="190" spans="1:20" x14ac:dyDescent="0.3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</row>
    <row r="191" spans="1:20" x14ac:dyDescent="0.3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</row>
    <row r="192" spans="1:20" x14ac:dyDescent="0.3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</row>
    <row r="193" spans="1:20" x14ac:dyDescent="0.3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</row>
    <row r="194" spans="1:20" x14ac:dyDescent="0.3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</row>
    <row r="195" spans="1:20" x14ac:dyDescent="0.3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</row>
    <row r="196" spans="1:20" x14ac:dyDescent="0.3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</row>
    <row r="197" spans="1:20" x14ac:dyDescent="0.3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</row>
    <row r="198" spans="1:20" x14ac:dyDescent="0.3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</row>
    <row r="199" spans="1:20" x14ac:dyDescent="0.3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</row>
    <row r="200" spans="1:20" x14ac:dyDescent="0.3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</row>
    <row r="201" spans="1:20" x14ac:dyDescent="0.3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</row>
    <row r="202" spans="1:20" x14ac:dyDescent="0.3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</row>
    <row r="203" spans="1:20" x14ac:dyDescent="0.3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</row>
    <row r="204" spans="1:20" x14ac:dyDescent="0.3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</row>
    <row r="205" spans="1:20" x14ac:dyDescent="0.3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</row>
    <row r="206" spans="1:20" x14ac:dyDescent="0.3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</row>
    <row r="207" spans="1:20" x14ac:dyDescent="0.3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</row>
    <row r="208" spans="1:20" x14ac:dyDescent="0.3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</row>
    <row r="209" spans="1:20" x14ac:dyDescent="0.3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</row>
    <row r="210" spans="1:20" x14ac:dyDescent="0.3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</row>
    <row r="211" spans="1:20" x14ac:dyDescent="0.3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</row>
    <row r="212" spans="1:20" x14ac:dyDescent="0.3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</row>
    <row r="213" spans="1:20" x14ac:dyDescent="0.3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</row>
    <row r="214" spans="1:20" x14ac:dyDescent="0.3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</row>
    <row r="215" spans="1:20" x14ac:dyDescent="0.3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</row>
    <row r="216" spans="1:20" x14ac:dyDescent="0.3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</row>
    <row r="217" spans="1:20" x14ac:dyDescent="0.3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</row>
    <row r="218" spans="1:20" x14ac:dyDescent="0.3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</row>
  </sheetData>
  <mergeCells count="6">
    <mergeCell ref="R1:S1"/>
    <mergeCell ref="C1:D1"/>
    <mergeCell ref="F1:G1"/>
    <mergeCell ref="I1:J1"/>
    <mergeCell ref="L1:M1"/>
    <mergeCell ref="O1:P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3D0C0-6AF1-42A6-B40F-4B49ACCBAFD4}">
  <dimension ref="B3:C10"/>
  <sheetViews>
    <sheetView tabSelected="1" zoomScale="53" workbookViewId="0">
      <selection activeCell="P21" sqref="P21"/>
    </sheetView>
  </sheetViews>
  <sheetFormatPr defaultRowHeight="14.5" x14ac:dyDescent="0.35"/>
  <sheetData>
    <row r="3" spans="2:3" x14ac:dyDescent="0.35">
      <c r="B3">
        <v>0.33333333333333331</v>
      </c>
      <c r="C3">
        <v>1</v>
      </c>
    </row>
    <row r="4" spans="2:3" x14ac:dyDescent="0.35">
      <c r="B4">
        <v>0.51515151515151514</v>
      </c>
      <c r="C4">
        <v>0.61818181818181817</v>
      </c>
    </row>
    <row r="5" spans="2:3" x14ac:dyDescent="0.35">
      <c r="B5">
        <v>0.31818181818181818</v>
      </c>
      <c r="C5">
        <v>0.43636363636363634</v>
      </c>
    </row>
    <row r="6" spans="2:3" x14ac:dyDescent="0.35">
      <c r="B6">
        <v>0.34848484848484851</v>
      </c>
      <c r="C6">
        <v>0.81818181818181823</v>
      </c>
    </row>
    <row r="7" spans="2:3" x14ac:dyDescent="0.35">
      <c r="B7">
        <v>0.66666666666666663</v>
      </c>
      <c r="C7">
        <v>0.2</v>
      </c>
    </row>
    <row r="8" spans="2:3" x14ac:dyDescent="0.35">
      <c r="B8">
        <v>1</v>
      </c>
      <c r="C8">
        <v>0.38181818181818183</v>
      </c>
    </row>
    <row r="9" spans="2:3" x14ac:dyDescent="0.35">
      <c r="B9">
        <v>0.68181818181818177</v>
      </c>
      <c r="C9">
        <v>0.41818181818181815</v>
      </c>
    </row>
    <row r="10" spans="2:3" x14ac:dyDescent="0.35">
      <c r="B10">
        <v>0.51515151515151514</v>
      </c>
      <c r="C10">
        <v>0.14545454545454545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Page</vt:lpstr>
      <vt:lpstr>Iteration Data</vt:lpstr>
      <vt:lpstr>Figure 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Haythornthwaite</dc:creator>
  <cp:lastModifiedBy>Matthew Haythornthwaite</cp:lastModifiedBy>
  <dcterms:created xsi:type="dcterms:W3CDTF">2021-02-28T18:00:16Z</dcterms:created>
  <dcterms:modified xsi:type="dcterms:W3CDTF">2021-03-27T18:20:39Z</dcterms:modified>
</cp:coreProperties>
</file>