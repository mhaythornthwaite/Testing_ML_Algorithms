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hayt\Documents\Software_Developer-Python\2_Machine_Learning_ZTM_Course\Testing_ML_Algorithms\"/>
    </mc:Choice>
  </mc:AlternateContent>
  <xr:revisionPtr revIDLastSave="0" documentId="13_ncr:1_{84998504-EEE3-4C63-9086-0B8784886D93}" xr6:coauthVersionLast="46" xr6:coauthVersionMax="46" xr10:uidLastSave="{00000000-0000-0000-0000-000000000000}"/>
  <bookViews>
    <workbookView xWindow="-110" yWindow="-110" windowWidth="19420" windowHeight="10420" xr2:uid="{0902341D-AD10-4A63-AC83-5FCE75AC7723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89" i="1" l="1"/>
  <c r="T163" i="1" s="1"/>
  <c r="H189" i="1"/>
  <c r="H163" i="1" s="1"/>
  <c r="H137" i="1" s="1"/>
  <c r="H111" i="1" s="1"/>
  <c r="O189" i="1"/>
  <c r="O163" i="1" s="1"/>
  <c r="P189" i="1"/>
  <c r="P163" i="1" s="1"/>
  <c r="P137" i="1" s="1"/>
  <c r="P111" i="1" s="1"/>
  <c r="O190" i="1"/>
  <c r="O164" i="1" s="1"/>
  <c r="U190" i="1"/>
  <c r="U164" i="1" s="1"/>
  <c r="U138" i="1" s="1"/>
  <c r="U112" i="1" s="1"/>
  <c r="W190" i="1"/>
  <c r="W164" i="1" s="1"/>
  <c r="J191" i="1"/>
  <c r="J165" i="1" s="1"/>
  <c r="W191" i="1"/>
  <c r="W165" i="1" s="1"/>
  <c r="W139" i="1" s="1"/>
  <c r="W113" i="1" s="1"/>
  <c r="X191" i="1"/>
  <c r="X165" i="1" s="1"/>
  <c r="X139" i="1" s="1"/>
  <c r="X113" i="1" s="1"/>
  <c r="E192" i="1"/>
  <c r="E166" i="1" s="1"/>
  <c r="R192" i="1"/>
  <c r="R166" i="1" s="1"/>
  <c r="R140" i="1" s="1"/>
  <c r="R114" i="1" s="1"/>
  <c r="S192" i="1"/>
  <c r="S166" i="1" s="1"/>
  <c r="S140" i="1" s="1"/>
  <c r="S114" i="1" s="1"/>
  <c r="F193" i="1"/>
  <c r="F167" i="1" s="1"/>
  <c r="F141" i="1" s="1"/>
  <c r="F115" i="1" s="1"/>
  <c r="H193" i="1"/>
  <c r="H167" i="1" s="1"/>
  <c r="M193" i="1"/>
  <c r="M167" i="1" s="1"/>
  <c r="M141" i="1" s="1"/>
  <c r="M115" i="1" s="1"/>
  <c r="U193" i="1"/>
  <c r="U167" i="1" s="1"/>
  <c r="U141" i="1" s="1"/>
  <c r="U115" i="1" s="1"/>
  <c r="V193" i="1"/>
  <c r="V167" i="1" s="1"/>
  <c r="V141" i="1" s="1"/>
  <c r="V115" i="1" s="1"/>
  <c r="H194" i="1"/>
  <c r="H168" i="1" s="1"/>
  <c r="H142" i="1" s="1"/>
  <c r="H116" i="1" s="1"/>
  <c r="I194" i="1"/>
  <c r="I168" i="1" s="1"/>
  <c r="I142" i="1" s="1"/>
  <c r="I116" i="1" s="1"/>
  <c r="K194" i="1"/>
  <c r="K168" i="1" s="1"/>
  <c r="S194" i="1"/>
  <c r="S168" i="1" s="1"/>
  <c r="S142" i="1" s="1"/>
  <c r="S116" i="1" s="1"/>
  <c r="X194" i="1"/>
  <c r="X168" i="1" s="1"/>
  <c r="X142" i="1" s="1"/>
  <c r="X116" i="1" s="1"/>
  <c r="F195" i="1"/>
  <c r="F169" i="1" s="1"/>
  <c r="F143" i="1" s="1"/>
  <c r="F117" i="1" s="1"/>
  <c r="K195" i="1"/>
  <c r="K169" i="1" s="1"/>
  <c r="K143" i="1" s="1"/>
  <c r="K117" i="1" s="1"/>
  <c r="L195" i="1"/>
  <c r="L169" i="1" s="1"/>
  <c r="L143" i="1" s="1"/>
  <c r="L117" i="1" s="1"/>
  <c r="S195" i="1"/>
  <c r="S169" i="1" s="1"/>
  <c r="S143" i="1" s="1"/>
  <c r="S117" i="1" s="1"/>
  <c r="T195" i="1"/>
  <c r="T169" i="1" s="1"/>
  <c r="T143" i="1" s="1"/>
  <c r="T117" i="1" s="1"/>
  <c r="E196" i="1"/>
  <c r="E170" i="1" s="1"/>
  <c r="E144" i="1" s="1"/>
  <c r="E118" i="1" s="1"/>
  <c r="F196" i="1"/>
  <c r="F170" i="1" s="1"/>
  <c r="F144" i="1" s="1"/>
  <c r="F118" i="1" s="1"/>
  <c r="I196" i="1"/>
  <c r="I170" i="1" s="1"/>
  <c r="I144" i="1" s="1"/>
  <c r="I118" i="1" s="1"/>
  <c r="O196" i="1"/>
  <c r="O170" i="1" s="1"/>
  <c r="O144" i="1" s="1"/>
  <c r="O118" i="1" s="1"/>
  <c r="Q196" i="1"/>
  <c r="Q170" i="1" s="1"/>
  <c r="Q144" i="1" s="1"/>
  <c r="Q118" i="1" s="1"/>
  <c r="V196" i="1"/>
  <c r="V170" i="1" s="1"/>
  <c r="V144" i="1" s="1"/>
  <c r="V118" i="1" s="1"/>
  <c r="W196" i="1"/>
  <c r="W170" i="1" s="1"/>
  <c r="W144" i="1" s="1"/>
  <c r="W118" i="1" s="1"/>
  <c r="D197" i="1"/>
  <c r="D171" i="1" s="1"/>
  <c r="D145" i="1" s="1"/>
  <c r="D119" i="1" s="1"/>
  <c r="J197" i="1"/>
  <c r="J171" i="1" s="1"/>
  <c r="J145" i="1" s="1"/>
  <c r="J119" i="1" s="1"/>
  <c r="M197" i="1"/>
  <c r="M171" i="1" s="1"/>
  <c r="M145" i="1" s="1"/>
  <c r="M119" i="1" s="1"/>
  <c r="Q197" i="1"/>
  <c r="Q171" i="1" s="1"/>
  <c r="Q145" i="1" s="1"/>
  <c r="Q119" i="1" s="1"/>
  <c r="T197" i="1"/>
  <c r="T171" i="1" s="1"/>
  <c r="T145" i="1" s="1"/>
  <c r="T119" i="1" s="1"/>
  <c r="U197" i="1"/>
  <c r="U171" i="1" s="1"/>
  <c r="U145" i="1" s="1"/>
  <c r="U119" i="1" s="1"/>
  <c r="G198" i="1"/>
  <c r="G172" i="1" s="1"/>
  <c r="G146" i="1" s="1"/>
  <c r="G120" i="1" s="1"/>
  <c r="H198" i="1"/>
  <c r="H172" i="1" s="1"/>
  <c r="H146" i="1" s="1"/>
  <c r="H120" i="1" s="1"/>
  <c r="M198" i="1"/>
  <c r="M172" i="1" s="1"/>
  <c r="M146" i="1" s="1"/>
  <c r="M120" i="1" s="1"/>
  <c r="O198" i="1"/>
  <c r="O172" i="1" s="1"/>
  <c r="O146" i="1" s="1"/>
  <c r="O120" i="1" s="1"/>
  <c r="S198" i="1"/>
  <c r="S172" i="1" s="1"/>
  <c r="S146" i="1" s="1"/>
  <c r="S120" i="1" s="1"/>
  <c r="X198" i="1"/>
  <c r="X172" i="1" s="1"/>
  <c r="X146" i="1" s="1"/>
  <c r="X120" i="1" s="1"/>
  <c r="F199" i="1"/>
  <c r="F173" i="1" s="1"/>
  <c r="F147" i="1" s="1"/>
  <c r="F121" i="1" s="1"/>
  <c r="J199" i="1"/>
  <c r="J173" i="1" s="1"/>
  <c r="J147" i="1" s="1"/>
  <c r="J121" i="1" s="1"/>
  <c r="K199" i="1"/>
  <c r="K173" i="1" s="1"/>
  <c r="K147" i="1" s="1"/>
  <c r="K121" i="1" s="1"/>
  <c r="N199" i="1"/>
  <c r="N173" i="1" s="1"/>
  <c r="N147" i="1" s="1"/>
  <c r="N121" i="1" s="1"/>
  <c r="S199" i="1"/>
  <c r="S173" i="1" s="1"/>
  <c r="S147" i="1" s="1"/>
  <c r="S121" i="1" s="1"/>
  <c r="W199" i="1"/>
  <c r="W173" i="1" s="1"/>
  <c r="W147" i="1" s="1"/>
  <c r="W121" i="1" s="1"/>
  <c r="E200" i="1"/>
  <c r="E174" i="1" s="1"/>
  <c r="E148" i="1" s="1"/>
  <c r="E122" i="1" s="1"/>
  <c r="I200" i="1"/>
  <c r="I174" i="1" s="1"/>
  <c r="I148" i="1" s="1"/>
  <c r="I122" i="1" s="1"/>
  <c r="J200" i="1"/>
  <c r="J174" i="1" s="1"/>
  <c r="J148" i="1" s="1"/>
  <c r="J122" i="1" s="1"/>
  <c r="Q200" i="1"/>
  <c r="Q174" i="1" s="1"/>
  <c r="Q148" i="1" s="1"/>
  <c r="Q122" i="1" s="1"/>
  <c r="R200" i="1"/>
  <c r="R174" i="1" s="1"/>
  <c r="R148" i="1" s="1"/>
  <c r="R122" i="1" s="1"/>
  <c r="U200" i="1"/>
  <c r="U174" i="1" s="1"/>
  <c r="U148" i="1" s="1"/>
  <c r="U122" i="1" s="1"/>
  <c r="V200" i="1"/>
  <c r="V174" i="1" s="1"/>
  <c r="V148" i="1" s="1"/>
  <c r="V122" i="1" s="1"/>
  <c r="X200" i="1"/>
  <c r="X174" i="1" s="1"/>
  <c r="X148" i="1" s="1"/>
  <c r="X122" i="1" s="1"/>
  <c r="G201" i="1"/>
  <c r="G175" i="1" s="1"/>
  <c r="G149" i="1" s="1"/>
  <c r="G123" i="1" s="1"/>
  <c r="H201" i="1"/>
  <c r="H175" i="1" s="1"/>
  <c r="H149" i="1" s="1"/>
  <c r="H123" i="1" s="1"/>
  <c r="K201" i="1"/>
  <c r="K175" i="1" s="1"/>
  <c r="K149" i="1" s="1"/>
  <c r="K123" i="1" s="1"/>
  <c r="L201" i="1"/>
  <c r="L175" i="1" s="1"/>
  <c r="L149" i="1" s="1"/>
  <c r="L123" i="1" s="1"/>
  <c r="M201" i="1"/>
  <c r="M175" i="1" s="1"/>
  <c r="M149" i="1" s="1"/>
  <c r="M123" i="1" s="1"/>
  <c r="Q201" i="1"/>
  <c r="Q175" i="1" s="1"/>
  <c r="Q149" i="1" s="1"/>
  <c r="Q123" i="1" s="1"/>
  <c r="S201" i="1"/>
  <c r="S175" i="1" s="1"/>
  <c r="S149" i="1" s="1"/>
  <c r="S123" i="1" s="1"/>
  <c r="T201" i="1"/>
  <c r="T175" i="1" s="1"/>
  <c r="T149" i="1" s="1"/>
  <c r="T123" i="1" s="1"/>
  <c r="U201" i="1"/>
  <c r="U175" i="1" s="1"/>
  <c r="U149" i="1" s="1"/>
  <c r="U123" i="1" s="1"/>
  <c r="W201" i="1"/>
  <c r="W175" i="1" s="1"/>
  <c r="W149" i="1" s="1"/>
  <c r="W123" i="1" s="1"/>
  <c r="X201" i="1"/>
  <c r="X175" i="1" s="1"/>
  <c r="X149" i="1" s="1"/>
  <c r="X123" i="1" s="1"/>
  <c r="G202" i="1"/>
  <c r="G176" i="1" s="1"/>
  <c r="G150" i="1" s="1"/>
  <c r="G124" i="1" s="1"/>
  <c r="H202" i="1"/>
  <c r="H176" i="1" s="1"/>
  <c r="H150" i="1" s="1"/>
  <c r="H124" i="1" s="1"/>
  <c r="J202" i="1"/>
  <c r="J176" i="1" s="1"/>
  <c r="J150" i="1" s="1"/>
  <c r="J124" i="1" s="1"/>
  <c r="K202" i="1"/>
  <c r="K176" i="1" s="1"/>
  <c r="K150" i="1" s="1"/>
  <c r="K124" i="1" s="1"/>
  <c r="L202" i="1"/>
  <c r="L176" i="1" s="1"/>
  <c r="L150" i="1" s="1"/>
  <c r="L124" i="1" s="1"/>
  <c r="N202" i="1"/>
  <c r="N176" i="1" s="1"/>
  <c r="N150" i="1" s="1"/>
  <c r="N124" i="1" s="1"/>
  <c r="R202" i="1"/>
  <c r="R176" i="1" s="1"/>
  <c r="R150" i="1" s="1"/>
  <c r="R124" i="1" s="1"/>
  <c r="S202" i="1"/>
  <c r="S176" i="1" s="1"/>
  <c r="S150" i="1" s="1"/>
  <c r="S124" i="1" s="1"/>
  <c r="T202" i="1"/>
  <c r="T176" i="1" s="1"/>
  <c r="T150" i="1" s="1"/>
  <c r="T124" i="1" s="1"/>
  <c r="V202" i="1"/>
  <c r="V176" i="1" s="1"/>
  <c r="V150" i="1" s="1"/>
  <c r="V124" i="1" s="1"/>
  <c r="W202" i="1"/>
  <c r="W176" i="1" s="1"/>
  <c r="W150" i="1" s="1"/>
  <c r="W124" i="1" s="1"/>
  <c r="X202" i="1"/>
  <c r="X176" i="1" s="1"/>
  <c r="X150" i="1" s="1"/>
  <c r="X124" i="1" s="1"/>
  <c r="G203" i="1"/>
  <c r="G177" i="1" s="1"/>
  <c r="G151" i="1" s="1"/>
  <c r="G125" i="1" s="1"/>
  <c r="I203" i="1"/>
  <c r="I177" i="1" s="1"/>
  <c r="I151" i="1" s="1"/>
  <c r="I125" i="1" s="1"/>
  <c r="J203" i="1"/>
  <c r="J177" i="1" s="1"/>
  <c r="J151" i="1" s="1"/>
  <c r="J125" i="1" s="1"/>
  <c r="K203" i="1"/>
  <c r="K177" i="1" s="1"/>
  <c r="K151" i="1" s="1"/>
  <c r="K125" i="1" s="1"/>
  <c r="M203" i="1"/>
  <c r="M177" i="1" s="1"/>
  <c r="M151" i="1" s="1"/>
  <c r="M125" i="1" s="1"/>
  <c r="N203" i="1"/>
  <c r="N177" i="1" s="1"/>
  <c r="N151" i="1" s="1"/>
  <c r="N125" i="1" s="1"/>
  <c r="Q203" i="1"/>
  <c r="Q177" i="1" s="1"/>
  <c r="Q151" i="1" s="1"/>
  <c r="Q125" i="1" s="1"/>
  <c r="R203" i="1"/>
  <c r="R177" i="1" s="1"/>
  <c r="R151" i="1" s="1"/>
  <c r="R125" i="1" s="1"/>
  <c r="S203" i="1"/>
  <c r="S177" i="1" s="1"/>
  <c r="S151" i="1" s="1"/>
  <c r="S125" i="1" s="1"/>
  <c r="U203" i="1"/>
  <c r="U177" i="1" s="1"/>
  <c r="U151" i="1" s="1"/>
  <c r="U125" i="1" s="1"/>
  <c r="V203" i="1"/>
  <c r="V177" i="1" s="1"/>
  <c r="V151" i="1" s="1"/>
  <c r="V125" i="1" s="1"/>
  <c r="W203" i="1"/>
  <c r="W177" i="1" s="1"/>
  <c r="W151" i="1" s="1"/>
  <c r="W125" i="1" s="1"/>
  <c r="D204" i="1"/>
  <c r="D178" i="1" s="1"/>
  <c r="D152" i="1" s="1"/>
  <c r="D126" i="1" s="1"/>
  <c r="F204" i="1"/>
  <c r="F178" i="1" s="1"/>
  <c r="F152" i="1" s="1"/>
  <c r="F126" i="1" s="1"/>
  <c r="H204" i="1"/>
  <c r="H178" i="1" s="1"/>
  <c r="H152" i="1" s="1"/>
  <c r="H126" i="1" s="1"/>
  <c r="I204" i="1"/>
  <c r="I178" i="1" s="1"/>
  <c r="I152" i="1" s="1"/>
  <c r="I126" i="1" s="1"/>
  <c r="J204" i="1"/>
  <c r="J178" i="1" s="1"/>
  <c r="J152" i="1" s="1"/>
  <c r="J126" i="1" s="1"/>
  <c r="L204" i="1"/>
  <c r="L178" i="1" s="1"/>
  <c r="L152" i="1" s="1"/>
  <c r="L126" i="1" s="1"/>
  <c r="M204" i="1"/>
  <c r="M178" i="1" s="1"/>
  <c r="M152" i="1" s="1"/>
  <c r="M126" i="1" s="1"/>
  <c r="N204" i="1"/>
  <c r="N178" i="1" s="1"/>
  <c r="N152" i="1" s="1"/>
  <c r="N126" i="1" s="1"/>
  <c r="P204" i="1"/>
  <c r="P178" i="1" s="1"/>
  <c r="P152" i="1" s="1"/>
  <c r="P126" i="1" s="1"/>
  <c r="Q204" i="1"/>
  <c r="Q178" i="1" s="1"/>
  <c r="Q152" i="1" s="1"/>
  <c r="Q126" i="1" s="1"/>
  <c r="R204" i="1"/>
  <c r="R178" i="1" s="1"/>
  <c r="R152" i="1" s="1"/>
  <c r="R126" i="1" s="1"/>
  <c r="T204" i="1"/>
  <c r="T178" i="1" s="1"/>
  <c r="T152" i="1" s="1"/>
  <c r="T126" i="1" s="1"/>
  <c r="U204" i="1"/>
  <c r="U178" i="1" s="1"/>
  <c r="U152" i="1" s="1"/>
  <c r="U126" i="1" s="1"/>
  <c r="V204" i="1"/>
  <c r="V178" i="1" s="1"/>
  <c r="V152" i="1" s="1"/>
  <c r="V126" i="1" s="1"/>
  <c r="X204" i="1"/>
  <c r="X178" i="1" s="1"/>
  <c r="X152" i="1" s="1"/>
  <c r="X126" i="1" s="1"/>
  <c r="D205" i="1"/>
  <c r="D179" i="1" s="1"/>
  <c r="D153" i="1" s="1"/>
  <c r="D127" i="1" s="1"/>
  <c r="E205" i="1"/>
  <c r="E179" i="1" s="1"/>
  <c r="E153" i="1" s="1"/>
  <c r="E127" i="1" s="1"/>
  <c r="G205" i="1"/>
  <c r="G179" i="1" s="1"/>
  <c r="G153" i="1" s="1"/>
  <c r="G127" i="1" s="1"/>
  <c r="H205" i="1"/>
  <c r="H179" i="1" s="1"/>
  <c r="H153" i="1" s="1"/>
  <c r="H127" i="1" s="1"/>
  <c r="I205" i="1"/>
  <c r="I179" i="1" s="1"/>
  <c r="I153" i="1" s="1"/>
  <c r="I127" i="1" s="1"/>
  <c r="K205" i="1"/>
  <c r="K179" i="1" s="1"/>
  <c r="K153" i="1" s="1"/>
  <c r="K127" i="1" s="1"/>
  <c r="L205" i="1"/>
  <c r="L179" i="1" s="1"/>
  <c r="L153" i="1" s="1"/>
  <c r="L127" i="1" s="1"/>
  <c r="M205" i="1"/>
  <c r="M179" i="1" s="1"/>
  <c r="M153" i="1" s="1"/>
  <c r="M127" i="1" s="1"/>
  <c r="O205" i="1"/>
  <c r="O179" i="1" s="1"/>
  <c r="O153" i="1" s="1"/>
  <c r="O127" i="1" s="1"/>
  <c r="P205" i="1"/>
  <c r="P179" i="1" s="1"/>
  <c r="P153" i="1" s="1"/>
  <c r="P127" i="1" s="1"/>
  <c r="Q205" i="1"/>
  <c r="Q179" i="1" s="1"/>
  <c r="Q153" i="1" s="1"/>
  <c r="Q127" i="1" s="1"/>
  <c r="S205" i="1"/>
  <c r="S179" i="1" s="1"/>
  <c r="S153" i="1" s="1"/>
  <c r="S127" i="1" s="1"/>
  <c r="T205" i="1"/>
  <c r="T179" i="1" s="1"/>
  <c r="T153" i="1" s="1"/>
  <c r="T127" i="1" s="1"/>
  <c r="U205" i="1"/>
  <c r="U179" i="1" s="1"/>
  <c r="U153" i="1" s="1"/>
  <c r="U127" i="1" s="1"/>
  <c r="W205" i="1"/>
  <c r="W179" i="1" s="1"/>
  <c r="W153" i="1" s="1"/>
  <c r="W127" i="1" s="1"/>
  <c r="X205" i="1"/>
  <c r="X179" i="1" s="1"/>
  <c r="X153" i="1" s="1"/>
  <c r="X127" i="1" s="1"/>
  <c r="D206" i="1"/>
  <c r="D180" i="1" s="1"/>
  <c r="D154" i="1" s="1"/>
  <c r="D128" i="1" s="1"/>
  <c r="F206" i="1"/>
  <c r="F180" i="1" s="1"/>
  <c r="F154" i="1" s="1"/>
  <c r="F128" i="1" s="1"/>
  <c r="G206" i="1"/>
  <c r="G180" i="1" s="1"/>
  <c r="G154" i="1" s="1"/>
  <c r="G128" i="1" s="1"/>
  <c r="H206" i="1"/>
  <c r="H180" i="1" s="1"/>
  <c r="H154" i="1" s="1"/>
  <c r="H128" i="1" s="1"/>
  <c r="J206" i="1"/>
  <c r="J180" i="1" s="1"/>
  <c r="J154" i="1" s="1"/>
  <c r="J128" i="1" s="1"/>
  <c r="K206" i="1"/>
  <c r="K180" i="1" s="1"/>
  <c r="K154" i="1" s="1"/>
  <c r="K128" i="1" s="1"/>
  <c r="L206" i="1"/>
  <c r="L180" i="1" s="1"/>
  <c r="L154" i="1" s="1"/>
  <c r="L128" i="1" s="1"/>
  <c r="M206" i="1"/>
  <c r="M180" i="1" s="1"/>
  <c r="M154" i="1" s="1"/>
  <c r="M128" i="1" s="1"/>
  <c r="N206" i="1"/>
  <c r="N180" i="1" s="1"/>
  <c r="N154" i="1" s="1"/>
  <c r="N128" i="1" s="1"/>
  <c r="O206" i="1"/>
  <c r="O180" i="1" s="1"/>
  <c r="O154" i="1" s="1"/>
  <c r="O128" i="1" s="1"/>
  <c r="P206" i="1"/>
  <c r="P180" i="1" s="1"/>
  <c r="P154" i="1" s="1"/>
  <c r="P128" i="1" s="1"/>
  <c r="Q206" i="1"/>
  <c r="Q180" i="1" s="1"/>
  <c r="Q154" i="1" s="1"/>
  <c r="Q128" i="1" s="1"/>
  <c r="R206" i="1"/>
  <c r="R180" i="1" s="1"/>
  <c r="R154" i="1" s="1"/>
  <c r="R128" i="1" s="1"/>
  <c r="S206" i="1"/>
  <c r="S180" i="1" s="1"/>
  <c r="S154" i="1" s="1"/>
  <c r="S128" i="1" s="1"/>
  <c r="T206" i="1"/>
  <c r="T180" i="1" s="1"/>
  <c r="T154" i="1" s="1"/>
  <c r="T128" i="1" s="1"/>
  <c r="U206" i="1"/>
  <c r="U180" i="1" s="1"/>
  <c r="U154" i="1" s="1"/>
  <c r="U128" i="1" s="1"/>
  <c r="V206" i="1"/>
  <c r="V180" i="1" s="1"/>
  <c r="V154" i="1" s="1"/>
  <c r="V128" i="1" s="1"/>
  <c r="W206" i="1"/>
  <c r="W180" i="1" s="1"/>
  <c r="W154" i="1" s="1"/>
  <c r="W128" i="1" s="1"/>
  <c r="X206" i="1"/>
  <c r="X180" i="1" s="1"/>
  <c r="X154" i="1" s="1"/>
  <c r="X128" i="1" s="1"/>
  <c r="D207" i="1"/>
  <c r="D181" i="1" s="1"/>
  <c r="D155" i="1" s="1"/>
  <c r="D129" i="1" s="1"/>
  <c r="E207" i="1"/>
  <c r="E181" i="1" s="1"/>
  <c r="E155" i="1" s="1"/>
  <c r="E129" i="1" s="1"/>
  <c r="F207" i="1"/>
  <c r="F181" i="1" s="1"/>
  <c r="F155" i="1" s="1"/>
  <c r="F129" i="1" s="1"/>
  <c r="G207" i="1"/>
  <c r="G181" i="1" s="1"/>
  <c r="G155" i="1" s="1"/>
  <c r="G129" i="1" s="1"/>
  <c r="H207" i="1"/>
  <c r="H181" i="1" s="1"/>
  <c r="H155" i="1" s="1"/>
  <c r="H129" i="1" s="1"/>
  <c r="I207" i="1"/>
  <c r="I181" i="1" s="1"/>
  <c r="I155" i="1" s="1"/>
  <c r="I129" i="1" s="1"/>
  <c r="J207" i="1"/>
  <c r="J181" i="1" s="1"/>
  <c r="J155" i="1" s="1"/>
  <c r="J129" i="1" s="1"/>
  <c r="K207" i="1"/>
  <c r="K181" i="1" s="1"/>
  <c r="K155" i="1" s="1"/>
  <c r="K129" i="1" s="1"/>
  <c r="L207" i="1"/>
  <c r="L181" i="1" s="1"/>
  <c r="L155" i="1" s="1"/>
  <c r="L129" i="1" s="1"/>
  <c r="M207" i="1"/>
  <c r="M181" i="1" s="1"/>
  <c r="M155" i="1" s="1"/>
  <c r="M129" i="1" s="1"/>
  <c r="N207" i="1"/>
  <c r="N181" i="1" s="1"/>
  <c r="N155" i="1" s="1"/>
  <c r="N129" i="1" s="1"/>
  <c r="O207" i="1"/>
  <c r="O181" i="1" s="1"/>
  <c r="O155" i="1" s="1"/>
  <c r="O129" i="1" s="1"/>
  <c r="P207" i="1"/>
  <c r="P181" i="1" s="1"/>
  <c r="P155" i="1" s="1"/>
  <c r="P129" i="1" s="1"/>
  <c r="Q207" i="1"/>
  <c r="Q181" i="1" s="1"/>
  <c r="Q155" i="1" s="1"/>
  <c r="Q129" i="1" s="1"/>
  <c r="R207" i="1"/>
  <c r="R181" i="1" s="1"/>
  <c r="R155" i="1" s="1"/>
  <c r="R129" i="1" s="1"/>
  <c r="S207" i="1"/>
  <c r="S181" i="1" s="1"/>
  <c r="S155" i="1" s="1"/>
  <c r="S129" i="1" s="1"/>
  <c r="T207" i="1"/>
  <c r="T181" i="1" s="1"/>
  <c r="T155" i="1" s="1"/>
  <c r="T129" i="1" s="1"/>
  <c r="U207" i="1"/>
  <c r="U181" i="1" s="1"/>
  <c r="U155" i="1" s="1"/>
  <c r="U129" i="1" s="1"/>
  <c r="V207" i="1"/>
  <c r="V181" i="1" s="1"/>
  <c r="V155" i="1" s="1"/>
  <c r="V129" i="1" s="1"/>
  <c r="W207" i="1"/>
  <c r="W181" i="1" s="1"/>
  <c r="W155" i="1" s="1"/>
  <c r="W129" i="1" s="1"/>
  <c r="X207" i="1"/>
  <c r="X181" i="1" s="1"/>
  <c r="X155" i="1" s="1"/>
  <c r="X129" i="1" s="1"/>
  <c r="J188" i="1"/>
  <c r="J162" i="1" s="1"/>
  <c r="J136" i="1" s="1"/>
  <c r="J110" i="1" s="1"/>
  <c r="F188" i="1"/>
  <c r="F162" i="1" s="1"/>
  <c r="F136" i="1" s="1"/>
  <c r="F110" i="1" s="1"/>
  <c r="G188" i="1"/>
  <c r="G162" i="1" s="1"/>
  <c r="G136" i="1" s="1"/>
  <c r="G110" i="1" s="1"/>
  <c r="H188" i="1"/>
  <c r="H162" i="1" s="1"/>
  <c r="H136" i="1" s="1"/>
  <c r="H110" i="1" s="1"/>
  <c r="I188" i="1"/>
  <c r="I162" i="1" s="1"/>
  <c r="I136" i="1" s="1"/>
  <c r="I110" i="1" s="1"/>
  <c r="K188" i="1"/>
  <c r="K162" i="1" s="1"/>
  <c r="K136" i="1" s="1"/>
  <c r="K110" i="1" s="1"/>
  <c r="L188" i="1"/>
  <c r="L162" i="1" s="1"/>
  <c r="L136" i="1" s="1"/>
  <c r="L110" i="1" s="1"/>
  <c r="M188" i="1"/>
  <c r="M162" i="1" s="1"/>
  <c r="M136" i="1" s="1"/>
  <c r="M110" i="1" s="1"/>
  <c r="N188" i="1"/>
  <c r="N162" i="1" s="1"/>
  <c r="N136" i="1" s="1"/>
  <c r="N110" i="1" s="1"/>
  <c r="O188" i="1"/>
  <c r="O162" i="1" s="1"/>
  <c r="O136" i="1" s="1"/>
  <c r="O110" i="1" s="1"/>
  <c r="P188" i="1"/>
  <c r="P162" i="1" s="1"/>
  <c r="P136" i="1" s="1"/>
  <c r="P110" i="1" s="1"/>
  <c r="Q188" i="1"/>
  <c r="Q162" i="1" s="1"/>
  <c r="Q136" i="1" s="1"/>
  <c r="Q110" i="1" s="1"/>
  <c r="R188" i="1"/>
  <c r="R162" i="1" s="1"/>
  <c r="R136" i="1" s="1"/>
  <c r="R110" i="1" s="1"/>
  <c r="S188" i="1"/>
  <c r="S162" i="1" s="1"/>
  <c r="S136" i="1" s="1"/>
  <c r="S110" i="1" s="1"/>
  <c r="T188" i="1"/>
  <c r="T162" i="1" s="1"/>
  <c r="T136" i="1" s="1"/>
  <c r="T110" i="1" s="1"/>
  <c r="U188" i="1"/>
  <c r="U162" i="1" s="1"/>
  <c r="U136" i="1" s="1"/>
  <c r="U110" i="1" s="1"/>
  <c r="V188" i="1"/>
  <c r="V162" i="1" s="1"/>
  <c r="V136" i="1" s="1"/>
  <c r="V110" i="1" s="1"/>
  <c r="W188" i="1"/>
  <c r="W162" i="1" s="1"/>
  <c r="W136" i="1" s="1"/>
  <c r="W110" i="1" s="1"/>
  <c r="X188" i="1"/>
  <c r="X162" i="1" s="1"/>
  <c r="X136" i="1" s="1"/>
  <c r="X110" i="1" s="1"/>
  <c r="E188" i="1"/>
  <c r="E162" i="1" s="1"/>
  <c r="E136" i="1" s="1"/>
  <c r="E110" i="1" s="1"/>
  <c r="D188" i="1"/>
  <c r="D162" i="1" s="1"/>
  <c r="D136" i="1" s="1"/>
  <c r="D110" i="1" s="1"/>
  <c r="H187" i="1"/>
  <c r="H161" i="1" s="1"/>
  <c r="H135" i="1" s="1"/>
  <c r="H109" i="1" s="1"/>
  <c r="I187" i="1"/>
  <c r="I161" i="1" s="1"/>
  <c r="I135" i="1" s="1"/>
  <c r="I109" i="1" s="1"/>
  <c r="J187" i="1"/>
  <c r="J161" i="1" s="1"/>
  <c r="J135" i="1" s="1"/>
  <c r="J109" i="1" s="1"/>
  <c r="K187" i="1"/>
  <c r="K161" i="1" s="1"/>
  <c r="K135" i="1" s="1"/>
  <c r="K109" i="1" s="1"/>
  <c r="L187" i="1"/>
  <c r="L161" i="1" s="1"/>
  <c r="L135" i="1" s="1"/>
  <c r="L109" i="1" s="1"/>
  <c r="M187" i="1"/>
  <c r="M161" i="1" s="1"/>
  <c r="M135" i="1" s="1"/>
  <c r="M109" i="1" s="1"/>
  <c r="N187" i="1"/>
  <c r="N161" i="1" s="1"/>
  <c r="N135" i="1" s="1"/>
  <c r="N109" i="1" s="1"/>
  <c r="O187" i="1"/>
  <c r="O161" i="1" s="1"/>
  <c r="O135" i="1" s="1"/>
  <c r="O109" i="1" s="1"/>
  <c r="P187" i="1"/>
  <c r="P161" i="1" s="1"/>
  <c r="P135" i="1" s="1"/>
  <c r="P109" i="1" s="1"/>
  <c r="Q187" i="1"/>
  <c r="Q161" i="1" s="1"/>
  <c r="Q135" i="1" s="1"/>
  <c r="Q109" i="1" s="1"/>
  <c r="R187" i="1"/>
  <c r="R161" i="1" s="1"/>
  <c r="R135" i="1" s="1"/>
  <c r="R109" i="1" s="1"/>
  <c r="S187" i="1"/>
  <c r="S161" i="1" s="1"/>
  <c r="S135" i="1" s="1"/>
  <c r="S109" i="1" s="1"/>
  <c r="T187" i="1"/>
  <c r="T161" i="1" s="1"/>
  <c r="T135" i="1" s="1"/>
  <c r="T109" i="1" s="1"/>
  <c r="U187" i="1"/>
  <c r="U161" i="1" s="1"/>
  <c r="U135" i="1" s="1"/>
  <c r="U109" i="1" s="1"/>
  <c r="V187" i="1"/>
  <c r="V161" i="1" s="1"/>
  <c r="V135" i="1" s="1"/>
  <c r="V109" i="1" s="1"/>
  <c r="W187" i="1"/>
  <c r="W161" i="1" s="1"/>
  <c r="W135" i="1" s="1"/>
  <c r="W109" i="1" s="1"/>
  <c r="X187" i="1"/>
  <c r="X161" i="1" s="1"/>
  <c r="X135" i="1" s="1"/>
  <c r="X109" i="1" s="1"/>
  <c r="G187" i="1"/>
  <c r="G161" i="1" s="1"/>
  <c r="G135" i="1" s="1"/>
  <c r="G109" i="1" s="1"/>
  <c r="E187" i="1"/>
  <c r="E161" i="1" s="1"/>
  <c r="E135" i="1" s="1"/>
  <c r="E109" i="1" s="1"/>
  <c r="F187" i="1"/>
  <c r="F161" i="1" s="1"/>
  <c r="F135" i="1" s="1"/>
  <c r="F109" i="1" s="1"/>
  <c r="BG12" i="1"/>
  <c r="BG11" i="1"/>
  <c r="BG10" i="1"/>
  <c r="BG9" i="1"/>
  <c r="BG8" i="1"/>
  <c r="BG7" i="1"/>
  <c r="BG6" i="1"/>
  <c r="BG5" i="1"/>
  <c r="AZ12" i="1"/>
  <c r="AZ11" i="1"/>
  <c r="AZ10" i="1"/>
  <c r="AZ9" i="1"/>
  <c r="AZ8" i="1"/>
  <c r="AZ7" i="1"/>
  <c r="AZ6" i="1"/>
  <c r="AZ5" i="1"/>
  <c r="AS12" i="1"/>
  <c r="AS11" i="1"/>
  <c r="AS10" i="1"/>
  <c r="AS9" i="1"/>
  <c r="AS8" i="1"/>
  <c r="AS7" i="1"/>
  <c r="AS6" i="1"/>
  <c r="AS5" i="1"/>
  <c r="AL6" i="1"/>
  <c r="AL7" i="1"/>
  <c r="AL8" i="1"/>
  <c r="AL9" i="1"/>
  <c r="AL10" i="1"/>
  <c r="AL11" i="1"/>
  <c r="AL12" i="1"/>
  <c r="AL5" i="1"/>
  <c r="BE6" i="1"/>
  <c r="BE7" i="1"/>
  <c r="BE8" i="1"/>
  <c r="BE9" i="1"/>
  <c r="BE10" i="1"/>
  <c r="BE11" i="1"/>
  <c r="BE12" i="1"/>
  <c r="BE5" i="1"/>
  <c r="I201" i="1" l="1"/>
  <c r="I175" i="1" s="1"/>
  <c r="I149" i="1" s="1"/>
  <c r="I123" i="1" s="1"/>
  <c r="T200" i="1"/>
  <c r="T174" i="1" s="1"/>
  <c r="T148" i="1" s="1"/>
  <c r="T122" i="1" s="1"/>
  <c r="X199" i="1"/>
  <c r="X173" i="1" s="1"/>
  <c r="X147" i="1" s="1"/>
  <c r="X121" i="1" s="1"/>
  <c r="G199" i="1"/>
  <c r="G173" i="1" s="1"/>
  <c r="G147" i="1" s="1"/>
  <c r="G121" i="1" s="1"/>
  <c r="L198" i="1"/>
  <c r="L172" i="1" s="1"/>
  <c r="L146" i="1" s="1"/>
  <c r="L120" i="1" s="1"/>
  <c r="P197" i="1"/>
  <c r="P171" i="1" s="1"/>
  <c r="P145" i="1" s="1"/>
  <c r="P119" i="1" s="1"/>
  <c r="R196" i="1"/>
  <c r="R170" i="1" s="1"/>
  <c r="R144" i="1" s="1"/>
  <c r="R118" i="1" s="1"/>
  <c r="W195" i="1"/>
  <c r="W169" i="1" s="1"/>
  <c r="W143" i="1" s="1"/>
  <c r="W117" i="1" s="1"/>
  <c r="D195" i="1"/>
  <c r="D169" i="1" s="1"/>
  <c r="D143" i="1" s="1"/>
  <c r="D117" i="1" s="1"/>
  <c r="X193" i="1"/>
  <c r="X167" i="1" s="1"/>
  <c r="X141" i="1" s="1"/>
  <c r="X115" i="1" s="1"/>
  <c r="U192" i="1"/>
  <c r="U166" i="1" s="1"/>
  <c r="R191" i="1"/>
  <c r="R165" i="1" s="1"/>
  <c r="R139" i="1" s="1"/>
  <c r="R113" i="1" s="1"/>
  <c r="M190" i="1"/>
  <c r="M164" i="1" s="1"/>
  <c r="M138" i="1" s="1"/>
  <c r="M112" i="1" s="1"/>
  <c r="F189" i="1"/>
  <c r="F163" i="1" s="1"/>
  <c r="F137" i="1" s="1"/>
  <c r="F111" i="1" s="1"/>
  <c r="P191" i="1"/>
  <c r="P165" i="1" s="1"/>
  <c r="P139" i="1" s="1"/>
  <c r="P113" i="1" s="1"/>
  <c r="L190" i="1"/>
  <c r="L164" i="1" s="1"/>
  <c r="L138" i="1" s="1"/>
  <c r="L112" i="1" s="1"/>
  <c r="G190" i="1"/>
  <c r="G164" i="1" s="1"/>
  <c r="G138" i="1" s="1"/>
  <c r="G112" i="1" s="1"/>
  <c r="F203" i="1"/>
  <c r="F177" i="1" s="1"/>
  <c r="F151" i="1" s="1"/>
  <c r="F125" i="1" s="1"/>
  <c r="P202" i="1"/>
  <c r="P176" i="1" s="1"/>
  <c r="P150" i="1" s="1"/>
  <c r="P124" i="1" s="1"/>
  <c r="F202" i="1"/>
  <c r="F176" i="1" s="1"/>
  <c r="F150" i="1" s="1"/>
  <c r="F124" i="1" s="1"/>
  <c r="P201" i="1"/>
  <c r="P175" i="1" s="1"/>
  <c r="P149" i="1" s="1"/>
  <c r="P123" i="1" s="1"/>
  <c r="E201" i="1"/>
  <c r="E175" i="1" s="1"/>
  <c r="E149" i="1" s="1"/>
  <c r="E123" i="1" s="1"/>
  <c r="N200" i="1"/>
  <c r="N174" i="1" s="1"/>
  <c r="N148" i="1" s="1"/>
  <c r="N122" i="1" s="1"/>
  <c r="R199" i="1"/>
  <c r="R173" i="1" s="1"/>
  <c r="R147" i="1" s="1"/>
  <c r="R121" i="1" s="1"/>
  <c r="U198" i="1"/>
  <c r="U172" i="1" s="1"/>
  <c r="U146" i="1" s="1"/>
  <c r="U120" i="1" s="1"/>
  <c r="E198" i="1"/>
  <c r="E172" i="1" s="1"/>
  <c r="E146" i="1" s="1"/>
  <c r="E120" i="1" s="1"/>
  <c r="I197" i="1"/>
  <c r="I171" i="1" s="1"/>
  <c r="I145" i="1" s="1"/>
  <c r="I119" i="1" s="1"/>
  <c r="M196" i="1"/>
  <c r="M170" i="1" s="1"/>
  <c r="M144" i="1" s="1"/>
  <c r="M118" i="1" s="1"/>
  <c r="R195" i="1"/>
  <c r="R169" i="1" s="1"/>
  <c r="R143" i="1" s="1"/>
  <c r="R117" i="1" s="1"/>
  <c r="Q194" i="1"/>
  <c r="Q168" i="1" s="1"/>
  <c r="Q142" i="1" s="1"/>
  <c r="Q116" i="1" s="1"/>
  <c r="P193" i="1"/>
  <c r="P167" i="1" s="1"/>
  <c r="P141" i="1" s="1"/>
  <c r="P115" i="1" s="1"/>
  <c r="M192" i="1"/>
  <c r="M166" i="1" s="1"/>
  <c r="M140" i="1" s="1"/>
  <c r="M114" i="1" s="1"/>
  <c r="H191" i="1"/>
  <c r="H165" i="1" s="1"/>
  <c r="H139" i="1" s="1"/>
  <c r="H113" i="1" s="1"/>
  <c r="E190" i="1"/>
  <c r="E164" i="1" s="1"/>
  <c r="E138" i="1" s="1"/>
  <c r="E112" i="1" s="1"/>
  <c r="I189" i="1"/>
  <c r="I163" i="1" s="1"/>
  <c r="I137" i="1" s="1"/>
  <c r="I111" i="1" s="1"/>
  <c r="E204" i="1"/>
  <c r="E178" i="1" s="1"/>
  <c r="E152" i="1" s="1"/>
  <c r="E126" i="1" s="1"/>
  <c r="O203" i="1"/>
  <c r="O177" i="1" s="1"/>
  <c r="O151" i="1" s="1"/>
  <c r="O125" i="1" s="1"/>
  <c r="E203" i="1"/>
  <c r="E177" i="1" s="1"/>
  <c r="E151" i="1" s="1"/>
  <c r="E125" i="1" s="1"/>
  <c r="O202" i="1"/>
  <c r="O176" i="1" s="1"/>
  <c r="O150" i="1" s="1"/>
  <c r="O124" i="1" s="1"/>
  <c r="D202" i="1"/>
  <c r="D176" i="1" s="1"/>
  <c r="D150" i="1" s="1"/>
  <c r="D124" i="1" s="1"/>
  <c r="O201" i="1"/>
  <c r="O175" i="1" s="1"/>
  <c r="O149" i="1" s="1"/>
  <c r="O123" i="1" s="1"/>
  <c r="D201" i="1"/>
  <c r="D175" i="1" s="1"/>
  <c r="D149" i="1" s="1"/>
  <c r="D123" i="1" s="1"/>
  <c r="K200" i="1"/>
  <c r="K174" i="1" s="1"/>
  <c r="K148" i="1" s="1"/>
  <c r="K122" i="1" s="1"/>
  <c r="P199" i="1"/>
  <c r="P173" i="1" s="1"/>
  <c r="P147" i="1" s="1"/>
  <c r="P121" i="1" s="1"/>
  <c r="T198" i="1"/>
  <c r="T172" i="1" s="1"/>
  <c r="T146" i="1" s="1"/>
  <c r="T120" i="1" s="1"/>
  <c r="X197" i="1"/>
  <c r="X171" i="1" s="1"/>
  <c r="X145" i="1" s="1"/>
  <c r="X119" i="1" s="1"/>
  <c r="H197" i="1"/>
  <c r="H171" i="1" s="1"/>
  <c r="H145" i="1" s="1"/>
  <c r="H119" i="1" s="1"/>
  <c r="J196" i="1"/>
  <c r="J170" i="1" s="1"/>
  <c r="J144" i="1" s="1"/>
  <c r="J118" i="1" s="1"/>
  <c r="N195" i="1"/>
  <c r="N169" i="1" s="1"/>
  <c r="N143" i="1" s="1"/>
  <c r="N117" i="1" s="1"/>
  <c r="P194" i="1"/>
  <c r="P168" i="1" s="1"/>
  <c r="P142" i="1" s="1"/>
  <c r="P116" i="1" s="1"/>
  <c r="N193" i="1"/>
  <c r="N167" i="1" s="1"/>
  <c r="N141" i="1" s="1"/>
  <c r="N115" i="1" s="1"/>
  <c r="K192" i="1"/>
  <c r="K166" i="1" s="1"/>
  <c r="K140" i="1" s="1"/>
  <c r="K114" i="1" s="1"/>
  <c r="G191" i="1"/>
  <c r="G165" i="1" s="1"/>
  <c r="G139" i="1" s="1"/>
  <c r="G113" i="1" s="1"/>
  <c r="L189" i="1"/>
  <c r="L163" i="1" s="1"/>
  <c r="L137" i="1" s="1"/>
  <c r="L111" i="1" s="1"/>
  <c r="U189" i="1"/>
  <c r="U163" i="1" s="1"/>
  <c r="U137" i="1" s="1"/>
  <c r="U111" i="1" s="1"/>
  <c r="I206" i="1"/>
  <c r="I180" i="1" s="1"/>
  <c r="I154" i="1" s="1"/>
  <c r="I128" i="1" s="1"/>
  <c r="V205" i="1"/>
  <c r="V179" i="1" s="1"/>
  <c r="V153" i="1" s="1"/>
  <c r="V127" i="1" s="1"/>
  <c r="N205" i="1"/>
  <c r="N179" i="1" s="1"/>
  <c r="N153" i="1" s="1"/>
  <c r="N127" i="1" s="1"/>
  <c r="F205" i="1"/>
  <c r="F179" i="1" s="1"/>
  <c r="F153" i="1" s="1"/>
  <c r="F127" i="1" s="1"/>
  <c r="S204" i="1"/>
  <c r="S178" i="1" s="1"/>
  <c r="S152" i="1" s="1"/>
  <c r="S126" i="1" s="1"/>
  <c r="K204" i="1"/>
  <c r="K178" i="1" s="1"/>
  <c r="K152" i="1" s="1"/>
  <c r="K126" i="1" s="1"/>
  <c r="X203" i="1"/>
  <c r="X177" i="1" s="1"/>
  <c r="X151" i="1" s="1"/>
  <c r="X125" i="1" s="1"/>
  <c r="P203" i="1"/>
  <c r="P177" i="1" s="1"/>
  <c r="P151" i="1" s="1"/>
  <c r="P125" i="1" s="1"/>
  <c r="H203" i="1"/>
  <c r="H177" i="1" s="1"/>
  <c r="H151" i="1" s="1"/>
  <c r="H125" i="1" s="1"/>
  <c r="U202" i="1"/>
  <c r="U176" i="1" s="1"/>
  <c r="U150" i="1" s="1"/>
  <c r="U124" i="1" s="1"/>
  <c r="M202" i="1"/>
  <c r="M176" i="1" s="1"/>
  <c r="M150" i="1" s="1"/>
  <c r="M124" i="1" s="1"/>
  <c r="E202" i="1"/>
  <c r="E176" i="1" s="1"/>
  <c r="E150" i="1" s="1"/>
  <c r="E124" i="1" s="1"/>
  <c r="R201" i="1"/>
  <c r="R175" i="1" s="1"/>
  <c r="R149" i="1" s="1"/>
  <c r="R123" i="1" s="1"/>
  <c r="J201" i="1"/>
  <c r="J175" i="1" s="1"/>
  <c r="J149" i="1" s="1"/>
  <c r="J123" i="1" s="1"/>
  <c r="W200" i="1"/>
  <c r="W174" i="1" s="1"/>
  <c r="W148" i="1" s="1"/>
  <c r="W122" i="1" s="1"/>
  <c r="M200" i="1"/>
  <c r="M174" i="1" s="1"/>
  <c r="M148" i="1" s="1"/>
  <c r="M122" i="1" s="1"/>
  <c r="V199" i="1"/>
  <c r="V173" i="1" s="1"/>
  <c r="V147" i="1" s="1"/>
  <c r="V121" i="1" s="1"/>
  <c r="H199" i="1"/>
  <c r="H173" i="1" s="1"/>
  <c r="H147" i="1" s="1"/>
  <c r="H121" i="1" s="1"/>
  <c r="P198" i="1"/>
  <c r="P172" i="1" s="1"/>
  <c r="P146" i="1" s="1"/>
  <c r="P120" i="1" s="1"/>
  <c r="D198" i="1"/>
  <c r="D172" i="1" s="1"/>
  <c r="D146" i="1" s="1"/>
  <c r="D120" i="1" s="1"/>
  <c r="L197" i="1"/>
  <c r="L171" i="1" s="1"/>
  <c r="L145" i="1" s="1"/>
  <c r="L119" i="1" s="1"/>
  <c r="U196" i="1"/>
  <c r="U170" i="1" s="1"/>
  <c r="U144" i="1" s="1"/>
  <c r="U118" i="1" s="1"/>
  <c r="G196" i="1"/>
  <c r="G170" i="1" s="1"/>
  <c r="G144" i="1" s="1"/>
  <c r="G118" i="1" s="1"/>
  <c r="O195" i="1"/>
  <c r="O169" i="1" s="1"/>
  <c r="O143" i="1" s="1"/>
  <c r="O117" i="1" s="1"/>
  <c r="T194" i="1"/>
  <c r="T168" i="1" s="1"/>
  <c r="T142" i="1" s="1"/>
  <c r="T116" i="1" s="1"/>
  <c r="D194" i="1"/>
  <c r="D168" i="1" s="1"/>
  <c r="D142" i="1" s="1"/>
  <c r="D116" i="1" s="1"/>
  <c r="I193" i="1"/>
  <c r="I167" i="1" s="1"/>
  <c r="I141" i="1" s="1"/>
  <c r="I115" i="1" s="1"/>
  <c r="N192" i="1"/>
  <c r="N166" i="1" s="1"/>
  <c r="N140" i="1" s="1"/>
  <c r="N114" i="1" s="1"/>
  <c r="S191" i="1"/>
  <c r="S165" i="1" s="1"/>
  <c r="S139" i="1" s="1"/>
  <c r="S113" i="1" s="1"/>
  <c r="X190" i="1"/>
  <c r="X164" i="1" s="1"/>
  <c r="X138" i="1" s="1"/>
  <c r="X112" i="1" s="1"/>
  <c r="H190" i="1"/>
  <c r="H164" i="1" s="1"/>
  <c r="H138" i="1" s="1"/>
  <c r="H112" i="1" s="1"/>
  <c r="K189" i="1"/>
  <c r="K163" i="1" s="1"/>
  <c r="K137" i="1" s="1"/>
  <c r="K111" i="1" s="1"/>
  <c r="E193" i="1"/>
  <c r="E167" i="1" s="1"/>
  <c r="E141" i="1" s="1"/>
  <c r="E115" i="1" s="1"/>
  <c r="J192" i="1"/>
  <c r="J166" i="1" s="1"/>
  <c r="J140" i="1" s="1"/>
  <c r="J114" i="1" s="1"/>
  <c r="O191" i="1"/>
  <c r="O165" i="1" s="1"/>
  <c r="O139" i="1" s="1"/>
  <c r="O113" i="1" s="1"/>
  <c r="T190" i="1"/>
  <c r="T164" i="1" s="1"/>
  <c r="T138" i="1" s="1"/>
  <c r="T112" i="1" s="1"/>
  <c r="D190" i="1"/>
  <c r="D164" i="1" s="1"/>
  <c r="D138" i="1" s="1"/>
  <c r="D112" i="1" s="1"/>
  <c r="E206" i="1"/>
  <c r="E180" i="1" s="1"/>
  <c r="E154" i="1" s="1"/>
  <c r="E128" i="1" s="1"/>
  <c r="R205" i="1"/>
  <c r="R179" i="1" s="1"/>
  <c r="R153" i="1" s="1"/>
  <c r="R127" i="1" s="1"/>
  <c r="J205" i="1"/>
  <c r="J179" i="1" s="1"/>
  <c r="J153" i="1" s="1"/>
  <c r="J127" i="1" s="1"/>
  <c r="W204" i="1"/>
  <c r="W178" i="1" s="1"/>
  <c r="W152" i="1" s="1"/>
  <c r="W126" i="1" s="1"/>
  <c r="O204" i="1"/>
  <c r="O178" i="1" s="1"/>
  <c r="O152" i="1" s="1"/>
  <c r="O126" i="1" s="1"/>
  <c r="G204" i="1"/>
  <c r="G178" i="1" s="1"/>
  <c r="G152" i="1" s="1"/>
  <c r="G126" i="1" s="1"/>
  <c r="T203" i="1"/>
  <c r="T177" i="1" s="1"/>
  <c r="T151" i="1" s="1"/>
  <c r="T125" i="1" s="1"/>
  <c r="L203" i="1"/>
  <c r="L177" i="1" s="1"/>
  <c r="L151" i="1" s="1"/>
  <c r="L125" i="1" s="1"/>
  <c r="D203" i="1"/>
  <c r="D177" i="1" s="1"/>
  <c r="D151" i="1" s="1"/>
  <c r="D125" i="1" s="1"/>
  <c r="Q202" i="1"/>
  <c r="Q176" i="1" s="1"/>
  <c r="Q150" i="1" s="1"/>
  <c r="Q124" i="1" s="1"/>
  <c r="I202" i="1"/>
  <c r="I176" i="1" s="1"/>
  <c r="I150" i="1" s="1"/>
  <c r="I124" i="1" s="1"/>
  <c r="V201" i="1"/>
  <c r="V175" i="1" s="1"/>
  <c r="V149" i="1" s="1"/>
  <c r="V123" i="1" s="1"/>
  <c r="N201" i="1"/>
  <c r="N175" i="1" s="1"/>
  <c r="N149" i="1" s="1"/>
  <c r="N123" i="1" s="1"/>
  <c r="F201" i="1"/>
  <c r="F175" i="1" s="1"/>
  <c r="F149" i="1" s="1"/>
  <c r="F123" i="1" s="1"/>
  <c r="S200" i="1"/>
  <c r="S174" i="1" s="1"/>
  <c r="S148" i="1" s="1"/>
  <c r="S122" i="1" s="1"/>
  <c r="F200" i="1"/>
  <c r="F174" i="1" s="1"/>
  <c r="F148" i="1" s="1"/>
  <c r="F122" i="1" s="1"/>
  <c r="O199" i="1"/>
  <c r="O173" i="1" s="1"/>
  <c r="O147" i="1" s="1"/>
  <c r="O121" i="1" s="1"/>
  <c r="W198" i="1"/>
  <c r="W172" i="1" s="1"/>
  <c r="W146" i="1" s="1"/>
  <c r="W120" i="1" s="1"/>
  <c r="K198" i="1"/>
  <c r="K172" i="1" s="1"/>
  <c r="K146" i="1" s="1"/>
  <c r="K120" i="1" s="1"/>
  <c r="R197" i="1"/>
  <c r="R171" i="1" s="1"/>
  <c r="R145" i="1" s="1"/>
  <c r="R119" i="1" s="1"/>
  <c r="E197" i="1"/>
  <c r="E171" i="1" s="1"/>
  <c r="E145" i="1" s="1"/>
  <c r="E119" i="1" s="1"/>
  <c r="N196" i="1"/>
  <c r="N170" i="1" s="1"/>
  <c r="N144" i="1" s="1"/>
  <c r="N118" i="1" s="1"/>
  <c r="V195" i="1"/>
  <c r="V169" i="1" s="1"/>
  <c r="V143" i="1" s="1"/>
  <c r="V117" i="1" s="1"/>
  <c r="G195" i="1"/>
  <c r="G169" i="1" s="1"/>
  <c r="G143" i="1" s="1"/>
  <c r="G117" i="1" s="1"/>
  <c r="L194" i="1"/>
  <c r="L168" i="1" s="1"/>
  <c r="L142" i="1" s="1"/>
  <c r="L116" i="1" s="1"/>
  <c r="Q193" i="1"/>
  <c r="Q167" i="1" s="1"/>
  <c r="Q141" i="1" s="1"/>
  <c r="Q115" i="1" s="1"/>
  <c r="V192" i="1"/>
  <c r="V166" i="1" s="1"/>
  <c r="V140" i="1" s="1"/>
  <c r="V114" i="1" s="1"/>
  <c r="F192" i="1"/>
  <c r="F166" i="1" s="1"/>
  <c r="F140" i="1" s="1"/>
  <c r="F114" i="1" s="1"/>
  <c r="K191" i="1"/>
  <c r="K165" i="1" s="1"/>
  <c r="K139" i="1" s="1"/>
  <c r="K113" i="1" s="1"/>
  <c r="P190" i="1"/>
  <c r="P164" i="1" s="1"/>
  <c r="P138" i="1" s="1"/>
  <c r="P112" i="1" s="1"/>
  <c r="L200" i="1"/>
  <c r="L174" i="1" s="1"/>
  <c r="L148" i="1" s="1"/>
  <c r="L122" i="1" s="1"/>
  <c r="D200" i="1"/>
  <c r="D174" i="1" s="1"/>
  <c r="D148" i="1" s="1"/>
  <c r="D122" i="1" s="1"/>
  <c r="Q199" i="1"/>
  <c r="Q173" i="1" s="1"/>
  <c r="Q147" i="1" s="1"/>
  <c r="Q121" i="1" s="1"/>
  <c r="I199" i="1"/>
  <c r="I173" i="1" s="1"/>
  <c r="I147" i="1" s="1"/>
  <c r="I121" i="1" s="1"/>
  <c r="V198" i="1"/>
  <c r="V172" i="1" s="1"/>
  <c r="V146" i="1" s="1"/>
  <c r="V120" i="1" s="1"/>
  <c r="N198" i="1"/>
  <c r="N172" i="1" s="1"/>
  <c r="N146" i="1" s="1"/>
  <c r="N120" i="1" s="1"/>
  <c r="F198" i="1"/>
  <c r="F172" i="1" s="1"/>
  <c r="F146" i="1" s="1"/>
  <c r="F120" i="1" s="1"/>
  <c r="S197" i="1"/>
  <c r="S171" i="1" s="1"/>
  <c r="S145" i="1" s="1"/>
  <c r="S119" i="1" s="1"/>
  <c r="K197" i="1"/>
  <c r="K171" i="1" s="1"/>
  <c r="K145" i="1" s="1"/>
  <c r="K119" i="1" s="1"/>
  <c r="X196" i="1"/>
  <c r="X170" i="1" s="1"/>
  <c r="X144" i="1" s="1"/>
  <c r="X118" i="1" s="1"/>
  <c r="P196" i="1"/>
  <c r="P170" i="1" s="1"/>
  <c r="P144" i="1" s="1"/>
  <c r="P118" i="1" s="1"/>
  <c r="H196" i="1"/>
  <c r="H170" i="1" s="1"/>
  <c r="H144" i="1" s="1"/>
  <c r="H118" i="1" s="1"/>
  <c r="U195" i="1"/>
  <c r="U169" i="1" s="1"/>
  <c r="U143" i="1" s="1"/>
  <c r="U117" i="1" s="1"/>
  <c r="M195" i="1"/>
  <c r="M169" i="1" s="1"/>
  <c r="M143" i="1" s="1"/>
  <c r="M117" i="1" s="1"/>
  <c r="E195" i="1"/>
  <c r="E169" i="1" s="1"/>
  <c r="E143" i="1" s="1"/>
  <c r="E117" i="1" s="1"/>
  <c r="R194" i="1"/>
  <c r="R168" i="1" s="1"/>
  <c r="R142" i="1" s="1"/>
  <c r="R116" i="1" s="1"/>
  <c r="J194" i="1"/>
  <c r="J168" i="1" s="1"/>
  <c r="J142" i="1" s="1"/>
  <c r="J116" i="1" s="1"/>
  <c r="W193" i="1"/>
  <c r="W167" i="1" s="1"/>
  <c r="W141" i="1" s="1"/>
  <c r="W115" i="1" s="1"/>
  <c r="O193" i="1"/>
  <c r="O167" i="1" s="1"/>
  <c r="O141" i="1" s="1"/>
  <c r="O115" i="1" s="1"/>
  <c r="G193" i="1"/>
  <c r="G167" i="1" s="1"/>
  <c r="G141" i="1" s="1"/>
  <c r="G115" i="1" s="1"/>
  <c r="T192" i="1"/>
  <c r="T166" i="1" s="1"/>
  <c r="T140" i="1" s="1"/>
  <c r="T114" i="1" s="1"/>
  <c r="L192" i="1"/>
  <c r="L166" i="1" s="1"/>
  <c r="L140" i="1" s="1"/>
  <c r="L114" i="1" s="1"/>
  <c r="D192" i="1"/>
  <c r="D166" i="1" s="1"/>
  <c r="D140" i="1" s="1"/>
  <c r="D114" i="1" s="1"/>
  <c r="Q191" i="1"/>
  <c r="Q165" i="1" s="1"/>
  <c r="Q139" i="1" s="1"/>
  <c r="Q113" i="1" s="1"/>
  <c r="I191" i="1"/>
  <c r="I165" i="1" s="1"/>
  <c r="I139" i="1" s="1"/>
  <c r="I113" i="1" s="1"/>
  <c r="V190" i="1"/>
  <c r="V164" i="1" s="1"/>
  <c r="V138" i="1" s="1"/>
  <c r="V112" i="1" s="1"/>
  <c r="N190" i="1"/>
  <c r="N164" i="1" s="1"/>
  <c r="N138" i="1" s="1"/>
  <c r="N112" i="1" s="1"/>
  <c r="F190" i="1"/>
  <c r="F164" i="1" s="1"/>
  <c r="F138" i="1" s="1"/>
  <c r="F112" i="1" s="1"/>
  <c r="S189" i="1"/>
  <c r="S163" i="1" s="1"/>
  <c r="S137" i="1" s="1"/>
  <c r="S111" i="1" s="1"/>
  <c r="G189" i="1"/>
  <c r="G163" i="1" s="1"/>
  <c r="G137" i="1" s="1"/>
  <c r="G111" i="1" s="1"/>
  <c r="E189" i="1"/>
  <c r="E163" i="1" s="1"/>
  <c r="E137" i="1" s="1"/>
  <c r="E111" i="1" s="1"/>
  <c r="J195" i="1"/>
  <c r="J169" i="1" s="1"/>
  <c r="J143" i="1" s="1"/>
  <c r="J117" i="1" s="1"/>
  <c r="W194" i="1"/>
  <c r="W168" i="1" s="1"/>
  <c r="W142" i="1" s="1"/>
  <c r="W116" i="1" s="1"/>
  <c r="O194" i="1"/>
  <c r="O168" i="1" s="1"/>
  <c r="O142" i="1" s="1"/>
  <c r="O116" i="1" s="1"/>
  <c r="G194" i="1"/>
  <c r="G168" i="1" s="1"/>
  <c r="G142" i="1" s="1"/>
  <c r="G116" i="1" s="1"/>
  <c r="T193" i="1"/>
  <c r="T167" i="1" s="1"/>
  <c r="T141" i="1" s="1"/>
  <c r="T115" i="1" s="1"/>
  <c r="L193" i="1"/>
  <c r="L167" i="1" s="1"/>
  <c r="L141" i="1" s="1"/>
  <c r="L115" i="1" s="1"/>
  <c r="D193" i="1"/>
  <c r="D167" i="1" s="1"/>
  <c r="D141" i="1" s="1"/>
  <c r="D115" i="1" s="1"/>
  <c r="Q192" i="1"/>
  <c r="Q166" i="1" s="1"/>
  <c r="Q140" i="1" s="1"/>
  <c r="Q114" i="1" s="1"/>
  <c r="I192" i="1"/>
  <c r="I166" i="1" s="1"/>
  <c r="I140" i="1" s="1"/>
  <c r="I114" i="1" s="1"/>
  <c r="V191" i="1"/>
  <c r="V165" i="1" s="1"/>
  <c r="V139" i="1" s="1"/>
  <c r="V113" i="1" s="1"/>
  <c r="N191" i="1"/>
  <c r="N165" i="1" s="1"/>
  <c r="N139" i="1" s="1"/>
  <c r="N113" i="1" s="1"/>
  <c r="F191" i="1"/>
  <c r="F165" i="1" s="1"/>
  <c r="F139" i="1" s="1"/>
  <c r="F113" i="1" s="1"/>
  <c r="S190" i="1"/>
  <c r="S164" i="1" s="1"/>
  <c r="S138" i="1" s="1"/>
  <c r="S112" i="1" s="1"/>
  <c r="K190" i="1"/>
  <c r="K164" i="1" s="1"/>
  <c r="K138" i="1" s="1"/>
  <c r="K112" i="1" s="1"/>
  <c r="X189" i="1"/>
  <c r="X163" i="1" s="1"/>
  <c r="X137" i="1" s="1"/>
  <c r="X111" i="1" s="1"/>
  <c r="N189" i="1"/>
  <c r="N163" i="1" s="1"/>
  <c r="N137" i="1" s="1"/>
  <c r="N111" i="1" s="1"/>
  <c r="D187" i="1"/>
  <c r="D161" i="1" s="1"/>
  <c r="D135" i="1" s="1"/>
  <c r="D109" i="1" s="1"/>
  <c r="P200" i="1"/>
  <c r="P174" i="1" s="1"/>
  <c r="P148" i="1" s="1"/>
  <c r="P122" i="1" s="1"/>
  <c r="H200" i="1"/>
  <c r="H174" i="1" s="1"/>
  <c r="H148" i="1" s="1"/>
  <c r="H122" i="1" s="1"/>
  <c r="U199" i="1"/>
  <c r="U173" i="1" s="1"/>
  <c r="U147" i="1" s="1"/>
  <c r="U121" i="1" s="1"/>
  <c r="M199" i="1"/>
  <c r="M173" i="1" s="1"/>
  <c r="M147" i="1" s="1"/>
  <c r="M121" i="1" s="1"/>
  <c r="E199" i="1"/>
  <c r="E173" i="1" s="1"/>
  <c r="E147" i="1" s="1"/>
  <c r="E121" i="1" s="1"/>
  <c r="R198" i="1"/>
  <c r="R172" i="1" s="1"/>
  <c r="R146" i="1" s="1"/>
  <c r="R120" i="1" s="1"/>
  <c r="J198" i="1"/>
  <c r="J172" i="1" s="1"/>
  <c r="J146" i="1" s="1"/>
  <c r="J120" i="1" s="1"/>
  <c r="W197" i="1"/>
  <c r="W171" i="1" s="1"/>
  <c r="W145" i="1" s="1"/>
  <c r="W119" i="1" s="1"/>
  <c r="O197" i="1"/>
  <c r="O171" i="1" s="1"/>
  <c r="O145" i="1" s="1"/>
  <c r="O119" i="1" s="1"/>
  <c r="G197" i="1"/>
  <c r="G171" i="1" s="1"/>
  <c r="G145" i="1" s="1"/>
  <c r="G119" i="1" s="1"/>
  <c r="T196" i="1"/>
  <c r="T170" i="1" s="1"/>
  <c r="T144" i="1" s="1"/>
  <c r="T118" i="1" s="1"/>
  <c r="L196" i="1"/>
  <c r="L170" i="1" s="1"/>
  <c r="L144" i="1" s="1"/>
  <c r="L118" i="1" s="1"/>
  <c r="D196" i="1"/>
  <c r="D170" i="1" s="1"/>
  <c r="D144" i="1" s="1"/>
  <c r="D118" i="1" s="1"/>
  <c r="Q195" i="1"/>
  <c r="Q169" i="1" s="1"/>
  <c r="Q143" i="1" s="1"/>
  <c r="Q117" i="1" s="1"/>
  <c r="I195" i="1"/>
  <c r="I169" i="1" s="1"/>
  <c r="I143" i="1" s="1"/>
  <c r="I117" i="1" s="1"/>
  <c r="V194" i="1"/>
  <c r="V168" i="1" s="1"/>
  <c r="V142" i="1" s="1"/>
  <c r="V116" i="1" s="1"/>
  <c r="N194" i="1"/>
  <c r="N168" i="1" s="1"/>
  <c r="N142" i="1" s="1"/>
  <c r="N116" i="1" s="1"/>
  <c r="F194" i="1"/>
  <c r="F168" i="1" s="1"/>
  <c r="F142" i="1" s="1"/>
  <c r="F116" i="1" s="1"/>
  <c r="S193" i="1"/>
  <c r="S167" i="1" s="1"/>
  <c r="S141" i="1" s="1"/>
  <c r="S115" i="1" s="1"/>
  <c r="K193" i="1"/>
  <c r="K167" i="1" s="1"/>
  <c r="K141" i="1" s="1"/>
  <c r="K115" i="1" s="1"/>
  <c r="X192" i="1"/>
  <c r="X166" i="1" s="1"/>
  <c r="X140" i="1" s="1"/>
  <c r="X114" i="1" s="1"/>
  <c r="P192" i="1"/>
  <c r="P166" i="1" s="1"/>
  <c r="P140" i="1" s="1"/>
  <c r="P114" i="1" s="1"/>
  <c r="H192" i="1"/>
  <c r="H166" i="1" s="1"/>
  <c r="H140" i="1" s="1"/>
  <c r="H114" i="1" s="1"/>
  <c r="U191" i="1"/>
  <c r="U165" i="1" s="1"/>
  <c r="U139" i="1" s="1"/>
  <c r="U113" i="1" s="1"/>
  <c r="M191" i="1"/>
  <c r="M165" i="1" s="1"/>
  <c r="M139" i="1" s="1"/>
  <c r="M113" i="1" s="1"/>
  <c r="E191" i="1"/>
  <c r="E165" i="1" s="1"/>
  <c r="E139" i="1" s="1"/>
  <c r="E113" i="1" s="1"/>
  <c r="R190" i="1"/>
  <c r="R164" i="1" s="1"/>
  <c r="R138" i="1" s="1"/>
  <c r="R112" i="1" s="1"/>
  <c r="J190" i="1"/>
  <c r="J164" i="1" s="1"/>
  <c r="J138" i="1" s="1"/>
  <c r="J112" i="1" s="1"/>
  <c r="W189" i="1"/>
  <c r="W163" i="1" s="1"/>
  <c r="W137" i="1" s="1"/>
  <c r="W111" i="1" s="1"/>
  <c r="M189" i="1"/>
  <c r="M163" i="1" s="1"/>
  <c r="M137" i="1" s="1"/>
  <c r="M111" i="1" s="1"/>
  <c r="O200" i="1"/>
  <c r="O174" i="1" s="1"/>
  <c r="O148" i="1" s="1"/>
  <c r="O122" i="1" s="1"/>
  <c r="G200" i="1"/>
  <c r="G174" i="1" s="1"/>
  <c r="G148" i="1" s="1"/>
  <c r="G122" i="1" s="1"/>
  <c r="T199" i="1"/>
  <c r="T173" i="1" s="1"/>
  <c r="T147" i="1" s="1"/>
  <c r="T121" i="1" s="1"/>
  <c r="L199" i="1"/>
  <c r="L173" i="1" s="1"/>
  <c r="L147" i="1" s="1"/>
  <c r="L121" i="1" s="1"/>
  <c r="D199" i="1"/>
  <c r="D173" i="1" s="1"/>
  <c r="D147" i="1" s="1"/>
  <c r="D121" i="1" s="1"/>
  <c r="Q198" i="1"/>
  <c r="Q172" i="1" s="1"/>
  <c r="Q146" i="1" s="1"/>
  <c r="Q120" i="1" s="1"/>
  <c r="I198" i="1"/>
  <c r="I172" i="1" s="1"/>
  <c r="I146" i="1" s="1"/>
  <c r="I120" i="1" s="1"/>
  <c r="V197" i="1"/>
  <c r="V171" i="1" s="1"/>
  <c r="V145" i="1" s="1"/>
  <c r="V119" i="1" s="1"/>
  <c r="N197" i="1"/>
  <c r="N171" i="1" s="1"/>
  <c r="N145" i="1" s="1"/>
  <c r="N119" i="1" s="1"/>
  <c r="F197" i="1"/>
  <c r="F171" i="1" s="1"/>
  <c r="F145" i="1" s="1"/>
  <c r="F119" i="1" s="1"/>
  <c r="S196" i="1"/>
  <c r="S170" i="1" s="1"/>
  <c r="S144" i="1" s="1"/>
  <c r="S118" i="1" s="1"/>
  <c r="K196" i="1"/>
  <c r="K170" i="1" s="1"/>
  <c r="K144" i="1" s="1"/>
  <c r="K118" i="1" s="1"/>
  <c r="X195" i="1"/>
  <c r="X169" i="1" s="1"/>
  <c r="X143" i="1" s="1"/>
  <c r="X117" i="1" s="1"/>
  <c r="P195" i="1"/>
  <c r="P169" i="1" s="1"/>
  <c r="P143" i="1" s="1"/>
  <c r="P117" i="1" s="1"/>
  <c r="H195" i="1"/>
  <c r="H169" i="1" s="1"/>
  <c r="H143" i="1" s="1"/>
  <c r="H117" i="1" s="1"/>
  <c r="U194" i="1"/>
  <c r="U168" i="1" s="1"/>
  <c r="U142" i="1" s="1"/>
  <c r="U116" i="1" s="1"/>
  <c r="M194" i="1"/>
  <c r="M168" i="1" s="1"/>
  <c r="M142" i="1" s="1"/>
  <c r="M116" i="1" s="1"/>
  <c r="E194" i="1"/>
  <c r="E168" i="1" s="1"/>
  <c r="E142" i="1" s="1"/>
  <c r="E116" i="1" s="1"/>
  <c r="R193" i="1"/>
  <c r="R167" i="1" s="1"/>
  <c r="R141" i="1" s="1"/>
  <c r="R115" i="1" s="1"/>
  <c r="J193" i="1"/>
  <c r="J167" i="1" s="1"/>
  <c r="J141" i="1" s="1"/>
  <c r="J115" i="1" s="1"/>
  <c r="W192" i="1"/>
  <c r="W166" i="1" s="1"/>
  <c r="W140" i="1" s="1"/>
  <c r="W114" i="1" s="1"/>
  <c r="O192" i="1"/>
  <c r="O166" i="1" s="1"/>
  <c r="O140" i="1" s="1"/>
  <c r="O114" i="1" s="1"/>
  <c r="G192" i="1"/>
  <c r="G166" i="1" s="1"/>
  <c r="G140" i="1" s="1"/>
  <c r="G114" i="1" s="1"/>
  <c r="T191" i="1"/>
  <c r="T165" i="1" s="1"/>
  <c r="T139" i="1" s="1"/>
  <c r="T113" i="1" s="1"/>
  <c r="L191" i="1"/>
  <c r="L165" i="1" s="1"/>
  <c r="L139" i="1" s="1"/>
  <c r="L113" i="1" s="1"/>
  <c r="D191" i="1"/>
  <c r="D165" i="1" s="1"/>
  <c r="D139" i="1" s="1"/>
  <c r="D113" i="1" s="1"/>
  <c r="Q190" i="1"/>
  <c r="Q164" i="1" s="1"/>
  <c r="Q138" i="1" s="1"/>
  <c r="Q112" i="1" s="1"/>
  <c r="I190" i="1"/>
  <c r="I164" i="1" s="1"/>
  <c r="I138" i="1" s="1"/>
  <c r="I112" i="1" s="1"/>
  <c r="V189" i="1"/>
  <c r="V163" i="1" s="1"/>
  <c r="V137" i="1" s="1"/>
  <c r="V111" i="1" s="1"/>
  <c r="D189" i="1"/>
  <c r="D163" i="1" s="1"/>
  <c r="D137" i="1" s="1"/>
  <c r="D111" i="1" s="1"/>
  <c r="R189" i="1"/>
  <c r="R163" i="1" s="1"/>
  <c r="R137" i="1" s="1"/>
  <c r="R111" i="1" s="1"/>
  <c r="J189" i="1"/>
  <c r="J163" i="1" s="1"/>
  <c r="J137" i="1" s="1"/>
  <c r="J111" i="1" s="1"/>
  <c r="Q189" i="1"/>
  <c r="Q163" i="1" s="1"/>
  <c r="Q137" i="1" s="1"/>
  <c r="Q111" i="1" s="1"/>
  <c r="O137" i="1"/>
  <c r="O111" i="1" s="1"/>
  <c r="K142" i="1"/>
  <c r="K116" i="1" s="1"/>
  <c r="H141" i="1"/>
  <c r="H115" i="1" s="1"/>
  <c r="U140" i="1"/>
  <c r="U114" i="1" s="1"/>
  <c r="E140" i="1"/>
  <c r="E114" i="1" s="1"/>
  <c r="J139" i="1"/>
  <c r="J113" i="1" s="1"/>
  <c r="W138" i="1"/>
  <c r="W112" i="1" s="1"/>
  <c r="O138" i="1"/>
  <c r="O112" i="1" s="1"/>
  <c r="T137" i="1"/>
  <c r="T111" i="1" s="1"/>
  <c r="I6" i="1"/>
  <c r="I7" i="1"/>
  <c r="I8" i="1"/>
  <c r="I9" i="1"/>
  <c r="I10" i="1"/>
  <c r="I11" i="1"/>
  <c r="I12" i="1"/>
  <c r="H6" i="1"/>
  <c r="AJ6" i="1" s="1"/>
  <c r="H7" i="1"/>
  <c r="AJ7" i="1" s="1"/>
  <c r="H8" i="1"/>
  <c r="AJ8" i="1" s="1"/>
  <c r="H9" i="1"/>
  <c r="AJ9" i="1" s="1"/>
  <c r="H10" i="1"/>
  <c r="AJ10" i="1" s="1"/>
  <c r="H11" i="1"/>
  <c r="AJ11" i="1" s="1"/>
  <c r="H12" i="1"/>
  <c r="AJ12" i="1" s="1"/>
  <c r="H5" i="1"/>
  <c r="AJ5" i="1" s="1"/>
  <c r="G6" i="1"/>
  <c r="G7" i="1"/>
  <c r="G8" i="1"/>
  <c r="G9" i="1"/>
  <c r="G10" i="1"/>
  <c r="G11" i="1"/>
  <c r="G12" i="1"/>
  <c r="G5" i="1"/>
  <c r="I5" i="1"/>
  <c r="S5" i="1" l="1"/>
  <c r="U5" i="1" s="1"/>
  <c r="R5" i="1" s="1"/>
  <c r="T5" i="1" s="1"/>
  <c r="AX6" i="1"/>
  <c r="S6" i="1"/>
  <c r="U6" i="1" s="1"/>
  <c r="R6" i="1" s="1"/>
  <c r="T6" i="1" s="1"/>
  <c r="K6" i="1" s="1"/>
  <c r="AX5" i="1"/>
  <c r="AX12" i="1"/>
  <c r="S12" i="1"/>
  <c r="U12" i="1" s="1"/>
  <c r="AX7" i="1"/>
  <c r="S7" i="1"/>
  <c r="U7" i="1" s="1"/>
  <c r="AX11" i="1"/>
  <c r="S11" i="1"/>
  <c r="U11" i="1" s="1"/>
  <c r="AX10" i="1"/>
  <c r="S10" i="1"/>
  <c r="U10" i="1" s="1"/>
  <c r="AX9" i="1"/>
  <c r="S9" i="1"/>
  <c r="U9" i="1" s="1"/>
  <c r="AX8" i="1"/>
  <c r="S8" i="1"/>
  <c r="U8" i="1" s="1"/>
  <c r="AY8" i="1" l="1"/>
  <c r="AK8" i="1"/>
  <c r="R8" i="1"/>
  <c r="T8" i="1" s="1"/>
  <c r="AR8" i="1"/>
  <c r="Y8" i="1"/>
  <c r="BF8" i="1"/>
  <c r="BF7" i="1"/>
  <c r="Y7" i="1"/>
  <c r="AK7" i="1"/>
  <c r="AR7" i="1"/>
  <c r="AY7" i="1"/>
  <c r="R7" i="1"/>
  <c r="T7" i="1" s="1"/>
  <c r="AK12" i="1"/>
  <c r="BF12" i="1"/>
  <c r="R12" i="1"/>
  <c r="T12" i="1" s="1"/>
  <c r="AY12" i="1"/>
  <c r="Y12" i="1"/>
  <c r="AR12" i="1"/>
  <c r="R10" i="1"/>
  <c r="T10" i="1" s="1"/>
  <c r="Y10" i="1"/>
  <c r="AK10" i="1"/>
  <c r="AY10" i="1"/>
  <c r="BF10" i="1"/>
  <c r="AR10" i="1"/>
  <c r="AR5" i="1"/>
  <c r="AK5" i="1"/>
  <c r="BF5" i="1"/>
  <c r="AY5" i="1"/>
  <c r="Y5" i="1"/>
  <c r="AR11" i="1"/>
  <c r="BF11" i="1"/>
  <c r="AY11" i="1"/>
  <c r="AK11" i="1"/>
  <c r="R11" i="1"/>
  <c r="T11" i="1" s="1"/>
  <c r="Y11" i="1"/>
  <c r="AR6" i="1"/>
  <c r="AK6" i="1"/>
  <c r="Y6" i="1"/>
  <c r="AY6" i="1"/>
  <c r="BF6" i="1"/>
  <c r="AK9" i="1"/>
  <c r="AR9" i="1"/>
  <c r="BF9" i="1"/>
  <c r="AY9" i="1"/>
  <c r="R9" i="1"/>
  <c r="T9" i="1" s="1"/>
  <c r="Y9" i="1"/>
  <c r="AA12" i="1" l="1"/>
  <c r="BH12" i="1"/>
  <c r="BB12" i="1"/>
  <c r="BA12" i="1"/>
  <c r="K12" i="1"/>
  <c r="M12" i="1" s="1"/>
  <c r="Z12" i="1"/>
  <c r="AM12" i="1"/>
  <c r="BI12" i="1"/>
  <c r="AT12" i="1"/>
  <c r="AE12" i="1"/>
  <c r="AU12" i="1"/>
  <c r="AF12" i="1"/>
  <c r="AN12" i="1"/>
  <c r="AU6" i="1"/>
  <c r="AN6" i="1"/>
  <c r="M6" i="1"/>
  <c r="AE6" i="1"/>
  <c r="BB6" i="1"/>
  <c r="AA6" i="1"/>
  <c r="BH6" i="1"/>
  <c r="Z6" i="1"/>
  <c r="AF6" i="1"/>
  <c r="BA6" i="1"/>
  <c r="AM6" i="1"/>
  <c r="BI6" i="1"/>
  <c r="AT6" i="1"/>
  <c r="BI5" i="1"/>
  <c r="AM5" i="1"/>
  <c r="K5" i="1"/>
  <c r="M5" i="1" s="1"/>
  <c r="AT5" i="1"/>
  <c r="BB5" i="1"/>
  <c r="BA5" i="1"/>
  <c r="AU5" i="1"/>
  <c r="Z5" i="1"/>
  <c r="AN5" i="1"/>
  <c r="AF5" i="1"/>
  <c r="AE5" i="1"/>
  <c r="AA5" i="1"/>
  <c r="BH5" i="1"/>
  <c r="AF7" i="1"/>
  <c r="BA7" i="1"/>
  <c r="AE7" i="1"/>
  <c r="AM7" i="1"/>
  <c r="BI7" i="1"/>
  <c r="AT7" i="1"/>
  <c r="Z7" i="1"/>
  <c r="BB7" i="1"/>
  <c r="K7" i="1"/>
  <c r="M7" i="1" s="1"/>
  <c r="AU7" i="1"/>
  <c r="AN7" i="1"/>
  <c r="AA7" i="1"/>
  <c r="BH7" i="1"/>
  <c r="AA11" i="1"/>
  <c r="BH11" i="1"/>
  <c r="BA11" i="1"/>
  <c r="K11" i="1"/>
  <c r="M11" i="1" s="1"/>
  <c r="AM11" i="1"/>
  <c r="AN11" i="1"/>
  <c r="BI11" i="1"/>
  <c r="AT11" i="1"/>
  <c r="BB11" i="1"/>
  <c r="Z11" i="1"/>
  <c r="AU11" i="1"/>
  <c r="AF11" i="1"/>
  <c r="AE11" i="1"/>
  <c r="BI10" i="1"/>
  <c r="AT10" i="1"/>
  <c r="BB10" i="1"/>
  <c r="AN10" i="1"/>
  <c r="Z10" i="1"/>
  <c r="AU10" i="1"/>
  <c r="AF10" i="1"/>
  <c r="BH10" i="1"/>
  <c r="AE10" i="1"/>
  <c r="AA10" i="1"/>
  <c r="AM10" i="1"/>
  <c r="BA10" i="1"/>
  <c r="K10" i="1"/>
  <c r="M10" i="1" s="1"/>
  <c r="AA9" i="1"/>
  <c r="AF9" i="1"/>
  <c r="BH9" i="1"/>
  <c r="BA9" i="1"/>
  <c r="AN9" i="1"/>
  <c r="AT9" i="1"/>
  <c r="AE9" i="1"/>
  <c r="BI9" i="1"/>
  <c r="AM9" i="1"/>
  <c r="K9" i="1"/>
  <c r="M9" i="1" s="1"/>
  <c r="BB9" i="1"/>
  <c r="AU9" i="1"/>
  <c r="Z9" i="1"/>
  <c r="AF8" i="1"/>
  <c r="BA8" i="1"/>
  <c r="AM8" i="1"/>
  <c r="AE8" i="1"/>
  <c r="K8" i="1"/>
  <c r="M8" i="1" s="1"/>
  <c r="BI8" i="1"/>
  <c r="AT8" i="1"/>
  <c r="Z8" i="1"/>
  <c r="BH8" i="1"/>
  <c r="BB8" i="1"/>
  <c r="AN8" i="1"/>
  <c r="AU8" i="1"/>
  <c r="AA8" i="1"/>
  <c r="AW9" i="1" l="1"/>
  <c r="AW6" i="1"/>
  <c r="AW8" i="1"/>
  <c r="AI8" i="1"/>
  <c r="BD8" i="1"/>
  <c r="X11" i="1"/>
  <c r="AC12" i="1"/>
  <c r="AW12" i="1"/>
  <c r="X8" i="1"/>
  <c r="AI9" i="1"/>
  <c r="AC10" i="1"/>
  <c r="AC8" i="1"/>
  <c r="AP7" i="1"/>
  <c r="AW11" i="1"/>
  <c r="AC7" i="1"/>
  <c r="X12" i="1"/>
  <c r="BD6" i="1"/>
  <c r="AI12" i="1"/>
  <c r="X10" i="1"/>
  <c r="X7" i="1"/>
  <c r="X6" i="1"/>
  <c r="AP10" i="1"/>
  <c r="BD11" i="1"/>
  <c r="AW10" i="1"/>
  <c r="AC11" i="1"/>
  <c r="BD7" i="1"/>
  <c r="BD12" i="1"/>
  <c r="AC9" i="1"/>
  <c r="AP9" i="1"/>
  <c r="AP11" i="1"/>
  <c r="AC5" i="1"/>
  <c r="BD5" i="1"/>
  <c r="AI5" i="1"/>
  <c r="AP5" i="1"/>
  <c r="M14" i="1"/>
  <c r="AI10" i="1"/>
  <c r="X9" i="1"/>
  <c r="AI7" i="1"/>
  <c r="X5" i="1"/>
  <c r="AP6" i="1"/>
  <c r="AP8" i="1"/>
  <c r="BD9" i="1"/>
  <c r="BD10" i="1"/>
  <c r="AI11" i="1"/>
  <c r="AW7" i="1"/>
  <c r="AC6" i="1"/>
  <c r="AP12" i="1"/>
  <c r="AW5" i="1"/>
  <c r="AI6" i="1"/>
  <c r="Y14" i="1" l="1"/>
  <c r="AX14" i="1"/>
  <c r="BB14" i="1" s="1"/>
  <c r="AJ14" i="1"/>
  <c r="AQ14" i="1"/>
  <c r="BE14" i="1"/>
  <c r="BI14" i="1" s="1"/>
  <c r="AD14" i="1"/>
  <c r="AF14" i="1" s="1"/>
  <c r="AU14" i="1" l="1"/>
  <c r="AN14" i="1"/>
  <c r="AA14" i="1"/>
  <c r="X47" i="1"/>
</calcChain>
</file>

<file path=xl/sharedStrings.xml><?xml version="1.0" encoding="utf-8"?>
<sst xmlns="http://schemas.openxmlformats.org/spreadsheetml/2006/main" count="164" uniqueCount="81">
  <si>
    <t>Input</t>
  </si>
  <si>
    <t>Hidden</t>
  </si>
  <si>
    <t>Output</t>
  </si>
  <si>
    <t>x1</t>
  </si>
  <si>
    <t>y</t>
  </si>
  <si>
    <t>Data</t>
  </si>
  <si>
    <t>x2</t>
  </si>
  <si>
    <t>Normalised Data</t>
  </si>
  <si>
    <t>w1</t>
  </si>
  <si>
    <t>w2</t>
  </si>
  <si>
    <t>w3</t>
  </si>
  <si>
    <t>b1</t>
  </si>
  <si>
    <t>b2</t>
  </si>
  <si>
    <t>b3</t>
  </si>
  <si>
    <t>a2</t>
  </si>
  <si>
    <t>z2</t>
  </si>
  <si>
    <t>z1</t>
  </si>
  <si>
    <t>a1</t>
  </si>
  <si>
    <t>Prediction</t>
  </si>
  <si>
    <t>dC/dw3</t>
  </si>
  <si>
    <t>da2/dz2</t>
  </si>
  <si>
    <t>Cost</t>
  </si>
  <si>
    <t>dC/db3</t>
  </si>
  <si>
    <t>dz2/db2</t>
  </si>
  <si>
    <t>C = \sum_{i=1}^{n} (a2_{i} - y_{i})^2</t>
  </si>
  <si>
    <t>.</t>
  </si>
  <si>
    <t xml:space="preserve">z2 = (a1 * w3) + b3 </t>
  </si>
  <si>
    <t>a2 = \sigma (z2)</t>
  </si>
  <si>
    <t xml:space="preserve">z1 = (x1 * w1) + b1 + (x2 * w2) + b2 </t>
  </si>
  <si>
    <t>\frac{da2}{dz2} = \sigma (z2). (1 - \sigma (z2))</t>
  </si>
  <si>
    <t>\frac{dC}{da2} = a(a2 - y)</t>
  </si>
  <si>
    <t>dz2/dw3</t>
  </si>
  <si>
    <t>\frac{dC}{dw3} = \frac{dz2}{dw3}.\frac{da2}{dz2}.\frac{dC}{da2}</t>
  </si>
  <si>
    <t>\frac{dz2}{dw3} = a1</t>
  </si>
  <si>
    <t>\frac{dC}{db3} = \frac{dz2}{db3}.\frac{da2}{dz2}.\frac{dC}{da2}</t>
  </si>
  <si>
    <t>\frac{dz2}{db3} = 1</t>
  </si>
  <si>
    <t>\frac{dC}{dw2} = \frac{dz1}{dw2}.\frac{da1}{dz1}.\frac{dz2}{da1}.\frac{da2}{dz2}.\frac{dC}{da2}</t>
  </si>
  <si>
    <t>\frac{dC}{db2} = \frac{dz1}{db2}.\frac{da1}{dz1}.\frac{dz2}{da1}.\frac{da2}{dz2}.\frac{dC}{da2}</t>
  </si>
  <si>
    <t>\frac{dC}{dw1} = \frac{dz1}{dw1}.\frac{da1}{dz1}.\frac{dz2}{da1}.\frac{da2}{dz2}.\frac{dC}{da2}</t>
  </si>
  <si>
    <t>\frac{dC}{db1} = \frac{dz1}{db1}.\frac{da1}{dz1}.\frac{dz2}{da1}.\frac{da2}{dz2}.\frac{dC}{da2}</t>
  </si>
  <si>
    <t>a1 = \sigma (z1)</t>
  </si>
  <si>
    <t>\sigma (z2) = \frac{1}{1 + e^{-z2}}</t>
  </si>
  <si>
    <t>\sigma (z1) = \frac{1}{1 + e^{-z1}}</t>
  </si>
  <si>
    <t>\frac{dz2}{da1} = w3</t>
  </si>
  <si>
    <t>\frac{da1}{dz1} = \sigma (z1). (1 - \sigma (z1))</t>
  </si>
  <si>
    <t>\frac{dz1}{dw2} = x2</t>
  </si>
  <si>
    <t>\frac{dz1}{db2} = 1</t>
  </si>
  <si>
    <t>\frac{dz1}{db1} = 1</t>
  </si>
  <si>
    <t>\frac{dz1}{dw1} = x1</t>
  </si>
  <si>
    <t>dz2/da1</t>
  </si>
  <si>
    <t>da1/dz1</t>
  </si>
  <si>
    <t>dz1/dw2</t>
  </si>
  <si>
    <t>dC/dw2</t>
  </si>
  <si>
    <t>dC/da2</t>
  </si>
  <si>
    <t>dz1/db2</t>
  </si>
  <si>
    <t>dC/db2</t>
  </si>
  <si>
    <t>dz1/dw1</t>
  </si>
  <si>
    <t>dC/dw1</t>
  </si>
  <si>
    <t>dz1/db1</t>
  </si>
  <si>
    <t>dC/db1</t>
  </si>
  <si>
    <t>Gradient:</t>
  </si>
  <si>
    <t>N.B./ Negative gradient means increase</t>
  </si>
  <si>
    <t>w3 Iterations</t>
  </si>
  <si>
    <t xml:space="preserve">Weight </t>
  </si>
  <si>
    <t>Learning Rate</t>
  </si>
  <si>
    <t>PREDICTION (a2)</t>
  </si>
  <si>
    <t>X1</t>
  </si>
  <si>
    <t>b3 Iterations</t>
  </si>
  <si>
    <t>w2 Iterations</t>
  </si>
  <si>
    <t>b2 Iterations</t>
  </si>
  <si>
    <t>w1 Iterations</t>
  </si>
  <si>
    <t>b1 Iterations</t>
  </si>
  <si>
    <t>w3 iterations</t>
  </si>
  <si>
    <t>Weight</t>
  </si>
  <si>
    <t>Gradient</t>
  </si>
  <si>
    <t>b3 iterations</t>
  </si>
  <si>
    <t>w2 iterations</t>
  </si>
  <si>
    <t>b2 iterations</t>
  </si>
  <si>
    <t>w1 iterations</t>
  </si>
  <si>
    <t>b1 iterations</t>
  </si>
  <si>
    <t>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</si>
</sst>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1"/>
      </right>
      <top/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/>
    <xf numFmtId="0" fontId="1" fillId="0" borderId="0" xfId="0" applyFont="1"/>
    <xf numFmtId="0" fontId="0" fillId="0" borderId="4" xfId="0" applyBorder="1"/>
    <xf numFmtId="0" fontId="0" fillId="0" borderId="0" xfId="0" applyBorder="1"/>
    <xf numFmtId="0" fontId="0" fillId="0" borderId="5" xfId="0" applyBorder="1"/>
    <xf numFmtId="2" fontId="0" fillId="0" borderId="4" xfId="0" applyNumberFormat="1" applyBorder="1"/>
    <xf numFmtId="2" fontId="0" fillId="0" borderId="0" xfId="0" applyNumberFormat="1" applyBorder="1"/>
    <xf numFmtId="2" fontId="0" fillId="0" borderId="5" xfId="0" applyNumberFormat="1" applyBorder="1"/>
    <xf numFmtId="2" fontId="1" fillId="0" borderId="6" xfId="0" applyNumberFormat="1" applyFont="1" applyBorder="1"/>
    <xf numFmtId="0" fontId="0" fillId="0" borderId="7" xfId="0" applyBorder="1"/>
    <xf numFmtId="2" fontId="1" fillId="0" borderId="7" xfId="0" applyNumberFormat="1" applyFont="1" applyBorder="1" applyAlignment="1">
      <alignment horizontal="center"/>
    </xf>
    <xf numFmtId="0" fontId="1" fillId="0" borderId="7" xfId="0" applyFont="1" applyBorder="1"/>
    <xf numFmtId="2" fontId="1" fillId="0" borderId="7" xfId="0" applyNumberFormat="1" applyFont="1" applyBorder="1"/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 vertical="center"/>
    </xf>
    <xf numFmtId="0" fontId="0" fillId="0" borderId="9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7" xfId="0" applyBorder="1"/>
    <xf numFmtId="165" fontId="4" fillId="0" borderId="17" xfId="0" applyNumberFormat="1" applyFont="1" applyBorder="1"/>
    <xf numFmtId="165" fontId="4" fillId="0" borderId="14" xfId="0" applyNumberFormat="1" applyFont="1" applyBorder="1"/>
    <xf numFmtId="165" fontId="4" fillId="0" borderId="15" xfId="0" applyNumberFormat="1" applyFont="1" applyBorder="1"/>
    <xf numFmtId="165" fontId="4" fillId="0" borderId="18" xfId="0" applyNumberFormat="1" applyFont="1" applyBorder="1"/>
    <xf numFmtId="165" fontId="4" fillId="0" borderId="0" xfId="0" applyNumberFormat="1" applyFont="1" applyBorder="1"/>
    <xf numFmtId="165" fontId="4" fillId="0" borderId="9" xfId="0" applyNumberFormat="1" applyFont="1" applyBorder="1"/>
    <xf numFmtId="165" fontId="4" fillId="0" borderId="19" xfId="0" applyNumberFormat="1" applyFont="1" applyBorder="1"/>
    <xf numFmtId="165" fontId="4" fillId="0" borderId="12" xfId="0" applyNumberFormat="1" applyFont="1" applyBorder="1"/>
    <xf numFmtId="165" fontId="4" fillId="0" borderId="13" xfId="0" applyNumberFormat="1" applyFont="1" applyBorder="1"/>
    <xf numFmtId="2" fontId="4" fillId="0" borderId="0" xfId="0" applyNumberFormat="1" applyFont="1" applyBorder="1"/>
    <xf numFmtId="2" fontId="4" fillId="0" borderId="14" xfId="0" applyNumberFormat="1" applyFont="1" applyBorder="1"/>
    <xf numFmtId="2" fontId="4" fillId="0" borderId="17" xfId="0" applyNumberFormat="1" applyFont="1" applyBorder="1"/>
    <xf numFmtId="2" fontId="4" fillId="0" borderId="15" xfId="0" applyNumberFormat="1" applyFont="1" applyBorder="1"/>
    <xf numFmtId="2" fontId="4" fillId="0" borderId="18" xfId="0" applyNumberFormat="1" applyFont="1" applyBorder="1"/>
    <xf numFmtId="2" fontId="4" fillId="0" borderId="9" xfId="0" applyNumberFormat="1" applyFont="1" applyBorder="1"/>
    <xf numFmtId="2" fontId="4" fillId="0" borderId="19" xfId="0" applyNumberFormat="1" applyFont="1" applyBorder="1"/>
    <xf numFmtId="2" fontId="4" fillId="0" borderId="12" xfId="0" applyNumberFormat="1" applyFont="1" applyBorder="1"/>
    <xf numFmtId="2" fontId="4" fillId="0" borderId="13" xfId="0" applyNumberFormat="1" applyFont="1" applyBorder="1"/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2" fontId="1" fillId="0" borderId="3" xfId="0" applyNumberFormat="1" applyFont="1" applyBorder="1"/>
    <xf numFmtId="2" fontId="1" fillId="0" borderId="8" xfId="0" applyNumberFormat="1" applyFont="1" applyBorder="1"/>
    <xf numFmtId="2" fontId="1" fillId="0" borderId="5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777777777777776E-2"/>
          <c:y val="0.1902314814814815"/>
          <c:w val="0.85652055993000875"/>
          <c:h val="0.61498432487605714"/>
        </c:manualLayout>
      </c:layout>
      <c:surfaceChart>
        <c:wireframe val="0"/>
        <c:ser>
          <c:idx val="0"/>
          <c:order val="0"/>
          <c:spPr>
            <a:solidFill>
              <a:schemeClr val="accent1">
                <a:shade val="36000"/>
              </a:schemeClr>
            </a:solidFill>
            <a:ln/>
            <a:effectLst/>
            <a:sp3d prstMaterial="flat"/>
          </c:spPr>
          <c:val>
            <c:numRef>
              <c:f>Sheet1!$D$109:$X$109</c:f>
              <c:numCache>
                <c:formatCode>0.00</c:formatCode>
                <c:ptCount val="21"/>
                <c:pt idx="0">
                  <c:v>0.17864110767244132</c:v>
                </c:pt>
                <c:pt idx="1">
                  <c:v>0.17990595917585059</c:v>
                </c:pt>
                <c:pt idx="2">
                  <c:v>0.18136631843509746</c:v>
                </c:pt>
                <c:pt idx="3">
                  <c:v>0.18305261537721235</c:v>
                </c:pt>
                <c:pt idx="4">
                  <c:v>0.18500005377597464</c:v>
                </c:pt>
                <c:pt idx="5">
                  <c:v>0.18724935628308559</c:v>
                </c:pt>
                <c:pt idx="6">
                  <c:v>0.18984761630364183</c:v>
                </c:pt>
                <c:pt idx="7">
                  <c:v>0.19284926482700335</c:v>
                </c:pt>
                <c:pt idx="8">
                  <c:v>0.19631715608394942</c:v>
                </c:pt>
                <c:pt idx="9">
                  <c:v>0.20032376802894636</c:v>
                </c:pt>
                <c:pt idx="10">
                  <c:v>0.20495250021887279</c:v>
                </c:pt>
                <c:pt idx="11">
                  <c:v>0.21029902999464162</c:v>
                </c:pt>
                <c:pt idx="12">
                  <c:v>0.21647265439485547</c:v>
                </c:pt>
                <c:pt idx="13">
                  <c:v>0.22359749547495172</c:v>
                </c:pt>
                <c:pt idx="14">
                  <c:v>0.23181337565116031</c:v>
                </c:pt>
                <c:pt idx="15">
                  <c:v>0.24127607277909224</c:v>
                </c:pt>
                <c:pt idx="16">
                  <c:v>0.25215654004774862</c:v>
                </c:pt>
                <c:pt idx="17">
                  <c:v>0.26463852838560376</c:v>
                </c:pt>
                <c:pt idx="18">
                  <c:v>0.27891389740922107</c:v>
                </c:pt>
                <c:pt idx="19">
                  <c:v>0.29517478616488391</c:v>
                </c:pt>
                <c:pt idx="20">
                  <c:v>0.31360181058848607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F-4768-8448-4082E61BA44F}"/>
            </c:ext>
          </c:extLst>
        </c:ser>
        <c:ser>
          <c:idx val="1"/>
          <c:order val="1"/>
          <c:spPr>
            <a:solidFill>
              <a:schemeClr val="accent1">
                <a:shade val="42000"/>
              </a:schemeClr>
            </a:solidFill>
            <a:ln/>
            <a:effectLst/>
            <a:sp3d prstMaterial="flat"/>
          </c:spPr>
          <c:val>
            <c:numRef>
              <c:f>Sheet1!$D$110:$X$110</c:f>
              <c:numCache>
                <c:formatCode>0.00</c:formatCode>
                <c:ptCount val="21"/>
                <c:pt idx="0">
                  <c:v>0.18055270067001669</c:v>
                </c:pt>
                <c:pt idx="1">
                  <c:v>0.18211309333186818</c:v>
                </c:pt>
                <c:pt idx="2">
                  <c:v>0.1839150058151974</c:v>
                </c:pt>
                <c:pt idx="3">
                  <c:v>0.1859960855658227</c:v>
                </c:pt>
                <c:pt idx="4">
                  <c:v>0.18839987752437171</c:v>
                </c:pt>
                <c:pt idx="5">
                  <c:v>0.1911767281425738</c:v>
                </c:pt>
                <c:pt idx="6">
                  <c:v>0.19438480684765555</c:v>
                </c:pt>
                <c:pt idx="7">
                  <c:v>0.19809124575102982</c:v>
                </c:pt>
                <c:pt idx="8">
                  <c:v>0.20237338824708723</c:v>
                </c:pt>
                <c:pt idx="9">
                  <c:v>0.20732012031049907</c:v>
                </c:pt>
                <c:pt idx="10">
                  <c:v>0.21303323169436078</c:v>
                </c:pt>
                <c:pt idx="11">
                  <c:v>0.21962871385684038</c:v>
                </c:pt>
                <c:pt idx="12">
                  <c:v>0.22723784250655318</c:v>
                </c:pt>
                <c:pt idx="13">
                  <c:v>0.2360078101648983</c:v>
                </c:pt>
                <c:pt idx="14">
                  <c:v>0.24610156440564093</c:v>
                </c:pt>
                <c:pt idx="15">
                  <c:v>0.25769637107355869</c:v>
                </c:pt>
                <c:pt idx="16">
                  <c:v>0.27098046899597938</c:v>
                </c:pt>
                <c:pt idx="17">
                  <c:v>0.28614704115905398</c:v>
                </c:pt>
                <c:pt idx="18">
                  <c:v>0.30338465204220971</c:v>
                </c:pt>
                <c:pt idx="19">
                  <c:v>0.32286338242729012</c:v>
                </c:pt>
                <c:pt idx="20">
                  <c:v>0.34471625610901696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3F-4768-8448-4082E61BA44F}"/>
            </c:ext>
          </c:extLst>
        </c:ser>
        <c:ser>
          <c:idx val="2"/>
          <c:order val="2"/>
          <c:spPr>
            <a:solidFill>
              <a:schemeClr val="accent1">
                <a:shade val="49000"/>
              </a:schemeClr>
            </a:solidFill>
            <a:ln/>
            <a:effectLst/>
            <a:sp3d prstMaterial="flat"/>
          </c:spPr>
          <c:val>
            <c:numRef>
              <c:f>Sheet1!$D$111:$X$111</c:f>
              <c:numCache>
                <c:formatCode>0.00</c:formatCode>
                <c:ptCount val="21"/>
                <c:pt idx="0">
                  <c:v>0.18291105533018726</c:v>
                </c:pt>
                <c:pt idx="1">
                  <c:v>0.18483656228445258</c:v>
                </c:pt>
                <c:pt idx="2">
                  <c:v>0.18706051239865626</c:v>
                </c:pt>
                <c:pt idx="3">
                  <c:v>0.1896294646672019</c:v>
                </c:pt>
                <c:pt idx="4">
                  <c:v>0.19259723535634804</c:v>
                </c:pt>
                <c:pt idx="5">
                  <c:v>0.19602597433171637</c:v>
                </c:pt>
                <c:pt idx="6">
                  <c:v>0.1999873569249537</c:v>
                </c:pt>
                <c:pt idx="7">
                  <c:v>0.20456387522480787</c:v>
                </c:pt>
                <c:pt idx="8">
                  <c:v>0.20985019177800629</c:v>
                </c:pt>
                <c:pt idx="9">
                  <c:v>0.215954486287883</c:v>
                </c:pt>
                <c:pt idx="10">
                  <c:v>0.22299967760162753</c:v>
                </c:pt>
                <c:pt idx="11">
                  <c:v>0.23112433407864941</c:v>
                </c:pt>
                <c:pt idx="12">
                  <c:v>0.24048299067859302</c:v>
                </c:pt>
                <c:pt idx="13">
                  <c:v>0.25124546860176211</c:v>
                </c:pt>
                <c:pt idx="14">
                  <c:v>0.26359464727848664</c:v>
                </c:pt>
                <c:pt idx="15">
                  <c:v>0.27772198604283832</c:v>
                </c:pt>
                <c:pt idx="16">
                  <c:v>0.29381997295516027</c:v>
                </c:pt>
                <c:pt idx="17">
                  <c:v>0.3120706616948149</c:v>
                </c:pt>
                <c:pt idx="18">
                  <c:v>0.33262965178436266</c:v>
                </c:pt>
                <c:pt idx="19">
                  <c:v>0.3556054062713509</c:v>
                </c:pt>
                <c:pt idx="20">
                  <c:v>0.38103480155251546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3F-4768-8448-4082E61BA44F}"/>
            </c:ext>
          </c:extLst>
        </c:ser>
        <c:ser>
          <c:idx val="3"/>
          <c:order val="3"/>
          <c:spPr>
            <a:solidFill>
              <a:schemeClr val="accent1">
                <a:shade val="55000"/>
              </a:schemeClr>
            </a:solidFill>
            <a:ln/>
            <a:effectLst/>
            <a:sp3d prstMaterial="flat"/>
          </c:spPr>
          <c:val>
            <c:numRef>
              <c:f>Sheet1!$D$112:$X$112</c:f>
              <c:numCache>
                <c:formatCode>0.00</c:formatCode>
                <c:ptCount val="21"/>
                <c:pt idx="0">
                  <c:v>0.18582137013349589</c:v>
                </c:pt>
                <c:pt idx="1">
                  <c:v>0.18819805854928642</c:v>
                </c:pt>
                <c:pt idx="2">
                  <c:v>0.19094357761809191</c:v>
                </c:pt>
                <c:pt idx="3">
                  <c:v>0.1941154418864425</c:v>
                </c:pt>
                <c:pt idx="4">
                  <c:v>0.19778003482033918</c:v>
                </c:pt>
                <c:pt idx="5">
                  <c:v>0.20201384951964674</c:v>
                </c:pt>
                <c:pt idx="6">
                  <c:v>0.20690481500432531</c:v>
                </c:pt>
                <c:pt idx="7">
                  <c:v>0.21255365780777769</c:v>
                </c:pt>
                <c:pt idx="8">
                  <c:v>0.21907520948591747</c:v>
                </c:pt>
                <c:pt idx="9">
                  <c:v>0.22659951335728223</c:v>
                </c:pt>
                <c:pt idx="10">
                  <c:v>0.23527250331426316</c:v>
                </c:pt>
                <c:pt idx="11">
                  <c:v>0.24525592000961718</c:v>
                </c:pt>
                <c:pt idx="12">
                  <c:v>0.25672599525505579</c:v>
                </c:pt>
                <c:pt idx="13">
                  <c:v>0.26987028325674439</c:v>
                </c:pt>
                <c:pt idx="14">
                  <c:v>0.28488187331272202</c:v>
                </c:pt>
                <c:pt idx="15">
                  <c:v>0.30195013531963477</c:v>
                </c:pt>
                <c:pt idx="16">
                  <c:v>0.32124721457439465</c:v>
                </c:pt>
                <c:pt idx="17">
                  <c:v>0.3429098283407529</c:v>
                </c:pt>
                <c:pt idx="18">
                  <c:v>0.36701665736244454</c:v>
                </c:pt>
                <c:pt idx="19">
                  <c:v>0.39356285393077234</c:v>
                </c:pt>
                <c:pt idx="20">
                  <c:v>0.4224348293747725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3F-4768-8448-4082E61BA44F}"/>
            </c:ext>
          </c:extLst>
        </c:ser>
        <c:ser>
          <c:idx val="4"/>
          <c:order val="4"/>
          <c:spPr>
            <a:solidFill>
              <a:schemeClr val="accent1">
                <a:shade val="61000"/>
              </a:schemeClr>
            </a:solidFill>
            <a:ln/>
            <a:effectLst/>
            <a:sp3d prstMaterial="flat"/>
          </c:spPr>
          <c:val>
            <c:numRef>
              <c:f>Sheet1!$D$113:$X$113</c:f>
              <c:numCache>
                <c:formatCode>0.00</c:formatCode>
                <c:ptCount val="21"/>
                <c:pt idx="0">
                  <c:v>0.18941377446609997</c:v>
                </c:pt>
                <c:pt idx="1">
                  <c:v>0.19234805095121121</c:v>
                </c:pt>
                <c:pt idx="2">
                  <c:v>0.19573808011406846</c:v>
                </c:pt>
                <c:pt idx="3">
                  <c:v>0.19965474266508326</c:v>
                </c:pt>
                <c:pt idx="4">
                  <c:v>0.20417963162859115</c:v>
                </c:pt>
                <c:pt idx="5">
                  <c:v>0.20940640314193965</c:v>
                </c:pt>
                <c:pt idx="6">
                  <c:v>0.21544212722206438</c:v>
                </c:pt>
                <c:pt idx="7">
                  <c:v>0.22240852527851843</c:v>
                </c:pt>
                <c:pt idx="8">
                  <c:v>0.23044291377949061</c:v>
                </c:pt>
                <c:pt idx="9">
                  <c:v>0.23969858086337834</c:v>
                </c:pt>
                <c:pt idx="10">
                  <c:v>0.2503442023287632</c:v>
                </c:pt>
                <c:pt idx="11">
                  <c:v>0.26256175884835364</c:v>
                </c:pt>
                <c:pt idx="12">
                  <c:v>0.27654226323224013</c:v>
                </c:pt>
                <c:pt idx="13">
                  <c:v>0.29247848203787202</c:v>
                </c:pt>
                <c:pt idx="14">
                  <c:v>0.31055380773256935</c:v>
                </c:pt>
                <c:pt idx="15">
                  <c:v>0.33092661070989138</c:v>
                </c:pt>
                <c:pt idx="16">
                  <c:v>0.35370990735542035</c:v>
                </c:pt>
                <c:pt idx="17">
                  <c:v>0.37894714206266839</c:v>
                </c:pt>
                <c:pt idx="18">
                  <c:v>0.40658632335711942</c:v>
                </c:pt>
                <c:pt idx="19">
                  <c:v>0.4364564868078194</c:v>
                </c:pt>
                <c:pt idx="20">
                  <c:v>0.46825197062813889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3F-4768-8448-4082E61BA44F}"/>
            </c:ext>
          </c:extLst>
        </c:ser>
        <c:ser>
          <c:idx val="5"/>
          <c:order val="5"/>
          <c:spPr>
            <a:solidFill>
              <a:schemeClr val="accent1">
                <a:shade val="68000"/>
              </a:schemeClr>
            </a:solidFill>
            <a:ln/>
            <a:effectLst/>
            <a:sp3d prstMaterial="flat"/>
          </c:spPr>
          <c:val>
            <c:numRef>
              <c:f>Sheet1!$D$114:$X$114</c:f>
              <c:numCache>
                <c:formatCode>0.00</c:formatCode>
                <c:ptCount val="21"/>
                <c:pt idx="0">
                  <c:v>0.19384911804924823</c:v>
                </c:pt>
                <c:pt idx="1">
                  <c:v>0.19747233724977881</c:v>
                </c:pt>
                <c:pt idx="2">
                  <c:v>0.20165836707031554</c:v>
                </c:pt>
                <c:pt idx="3">
                  <c:v>0.20649418803869315</c:v>
                </c:pt>
                <c:pt idx="4">
                  <c:v>0.21207947162581064</c:v>
                </c:pt>
                <c:pt idx="5">
                  <c:v>0.21852789644217332</c:v>
                </c:pt>
                <c:pt idx="6">
                  <c:v>0.2259682777824332</c:v>
                </c:pt>
                <c:pt idx="7">
                  <c:v>0.23454529063063087</c:v>
                </c:pt>
                <c:pt idx="8">
                  <c:v>0.24441946090323796</c:v>
                </c:pt>
                <c:pt idx="9">
                  <c:v>0.25576596718364614</c:v>
                </c:pt>
                <c:pt idx="10">
                  <c:v>0.26877164372109158</c:v>
                </c:pt>
                <c:pt idx="11">
                  <c:v>0.28362942932904495</c:v>
                </c:pt>
                <c:pt idx="12">
                  <c:v>0.3005294160826929</c:v>
                </c:pt>
                <c:pt idx="13">
                  <c:v>0.3196457011361184</c:v>
                </c:pt>
                <c:pt idx="14">
                  <c:v>0.34111855469738994</c:v>
                </c:pt>
                <c:pt idx="15">
                  <c:v>0.36503212185623296</c:v>
                </c:pt>
                <c:pt idx="16">
                  <c:v>0.39138906589383843</c:v>
                </c:pt>
                <c:pt idx="17">
                  <c:v>0.42008517805576479</c:v>
                </c:pt>
                <c:pt idx="18">
                  <c:v>0.45088869428595491</c:v>
                </c:pt>
                <c:pt idx="19">
                  <c:v>0.48343021247149803</c:v>
                </c:pt>
                <c:pt idx="20">
                  <c:v>0.51720883267369433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3F-4768-8448-4082E61BA44F}"/>
            </c:ext>
          </c:extLst>
        </c:ser>
        <c:ser>
          <c:idx val="6"/>
          <c:order val="6"/>
          <c:spPr>
            <a:solidFill>
              <a:schemeClr val="accent1">
                <a:shade val="74000"/>
              </a:schemeClr>
            </a:solidFill>
            <a:ln/>
            <a:effectLst/>
            <a:sp3d prstMaterial="flat"/>
          </c:spPr>
          <c:val>
            <c:numRef>
              <c:f>Sheet1!$D$115:$X$115</c:f>
              <c:numCache>
                <c:formatCode>0.00</c:formatCode>
                <c:ptCount val="21"/>
                <c:pt idx="0">
                  <c:v>0.19932588258805661</c:v>
                </c:pt>
                <c:pt idx="1">
                  <c:v>0.203799720545038</c:v>
                </c:pt>
                <c:pt idx="2">
                  <c:v>0.2089676083330996</c:v>
                </c:pt>
                <c:pt idx="3">
                  <c:v>0.21493551402442732</c:v>
                </c:pt>
                <c:pt idx="4">
                  <c:v>0.22182396756308792</c:v>
                </c:pt>
                <c:pt idx="5">
                  <c:v>0.22976903605418528</c:v>
                </c:pt>
                <c:pt idx="6">
                  <c:v>0.23892275747897329</c:v>
                </c:pt>
                <c:pt idx="7">
                  <c:v>0.24945264971298345</c:v>
                </c:pt>
                <c:pt idx="8">
                  <c:v>0.26153976867891648</c:v>
                </c:pt>
                <c:pt idx="9">
                  <c:v>0.27537463610963719</c:v>
                </c:pt>
                <c:pt idx="10">
                  <c:v>0.2911502286280625</c:v>
                </c:pt>
                <c:pt idx="11">
                  <c:v>0.30905118086165889</c:v>
                </c:pt>
                <c:pt idx="12">
                  <c:v>0.3292385079994164</c:v>
                </c:pt>
                <c:pt idx="13">
                  <c:v>0.35182962891381064</c:v>
                </c:pt>
                <c:pt idx="14">
                  <c:v>0.37687439404643502</c:v>
                </c:pt>
                <c:pt idx="15">
                  <c:v>0.40432923000249898</c:v>
                </c:pt>
                <c:pt idx="16">
                  <c:v>0.43403323645185377</c:v>
                </c:pt>
                <c:pt idx="17">
                  <c:v>0.46569162761705324</c:v>
                </c:pt>
                <c:pt idx="18">
                  <c:v>0.49887251486220702</c:v>
                </c:pt>
                <c:pt idx="19">
                  <c:v>0.53302184441139655</c:v>
                </c:pt>
                <c:pt idx="20">
                  <c:v>0.56749795788998492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D3F-4768-8448-4082E61BA44F}"/>
            </c:ext>
          </c:extLst>
        </c:ser>
        <c:ser>
          <c:idx val="7"/>
          <c:order val="7"/>
          <c:spPr>
            <a:solidFill>
              <a:schemeClr val="accent1">
                <a:shade val="80000"/>
              </a:schemeClr>
            </a:solidFill>
            <a:ln/>
            <a:effectLst/>
            <a:sp3d prstMaterial="flat"/>
          </c:spPr>
          <c:val>
            <c:numRef>
              <c:f>Sheet1!$D$116:$X$116</c:f>
              <c:numCache>
                <c:formatCode>0.00</c:formatCode>
                <c:ptCount val="21"/>
                <c:pt idx="0">
                  <c:v>0.20608818744078991</c:v>
                </c:pt>
                <c:pt idx="1">
                  <c:v>0.2116106140363801</c:v>
                </c:pt>
                <c:pt idx="2">
                  <c:v>0.21798670799929182</c:v>
                </c:pt>
                <c:pt idx="3">
                  <c:v>0.22534406123485032</c:v>
                </c:pt>
                <c:pt idx="4">
                  <c:v>0.23382608999751936</c:v>
                </c:pt>
                <c:pt idx="5">
                  <c:v>0.24359209837123108</c:v>
                </c:pt>
                <c:pt idx="6">
                  <c:v>0.25481619357224972</c:v>
                </c:pt>
                <c:pt idx="7">
                  <c:v>0.26768445601555318</c:v>
                </c:pt>
                <c:pt idx="8">
                  <c:v>0.2823896191140548</c:v>
                </c:pt>
                <c:pt idx="9">
                  <c:v>0.29912241610950202</c:v>
                </c:pt>
                <c:pt idx="10">
                  <c:v>0.31805878568985579</c:v>
                </c:pt>
                <c:pt idx="11">
                  <c:v>0.33934241246054964</c:v>
                </c:pt>
                <c:pt idx="12">
                  <c:v>0.3630627475514383</c:v>
                </c:pt>
                <c:pt idx="13">
                  <c:v>0.38922980579578059</c:v>
                </c:pt>
                <c:pt idx="14">
                  <c:v>0.4177486273649107</c:v>
                </c:pt>
                <c:pt idx="15">
                  <c:v>0.44839801930821926</c:v>
                </c:pt>
                <c:pt idx="16">
                  <c:v>0.4808194201232201</c:v>
                </c:pt>
                <c:pt idx="17">
                  <c:v>0.51452160136338587</c:v>
                </c:pt>
                <c:pt idx="18">
                  <c:v>0.54890473825217867</c:v>
                </c:pt>
                <c:pt idx="19">
                  <c:v>0.58330316910108559</c:v>
                </c:pt>
                <c:pt idx="20">
                  <c:v>0.61704103760147733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D3F-4768-8448-4082E61BA44F}"/>
            </c:ext>
          </c:extLst>
        </c:ser>
        <c:ser>
          <c:idx val="8"/>
          <c:order val="8"/>
          <c:spPr>
            <a:solidFill>
              <a:schemeClr val="accent1">
                <a:shade val="87000"/>
              </a:schemeClr>
            </a:solidFill>
            <a:ln/>
            <a:effectLst/>
            <a:sp3d prstMaterial="flat"/>
          </c:spPr>
          <c:val>
            <c:numRef>
              <c:f>Sheet1!$D$117:$X$117</c:f>
              <c:numCache>
                <c:formatCode>0.00</c:formatCode>
                <c:ptCount val="21"/>
                <c:pt idx="0">
                  <c:v>0.21443458412155048</c:v>
                </c:pt>
                <c:pt idx="1">
                  <c:v>0.22124593412920851</c:v>
                </c:pt>
                <c:pt idx="2">
                  <c:v>0.22910262280071467</c:v>
                </c:pt>
                <c:pt idx="3">
                  <c:v>0.23815543519317267</c:v>
                </c:pt>
                <c:pt idx="4">
                  <c:v>0.24857071960286886</c:v>
                </c:pt>
                <c:pt idx="5">
                  <c:v>0.26052858244545513</c:v>
                </c:pt>
                <c:pt idx="6">
                  <c:v>0.27421901147808192</c:v>
                </c:pt>
                <c:pt idx="7">
                  <c:v>0.28983512701505598</c:v>
                </c:pt>
                <c:pt idx="8">
                  <c:v>0.30756271153464443</c:v>
                </c:pt>
                <c:pt idx="9">
                  <c:v>0.32756530118897081</c:v>
                </c:pt>
                <c:pt idx="10">
                  <c:v>0.34996456807366855</c:v>
                </c:pt>
                <c:pt idx="11">
                  <c:v>0.37481660685593154</c:v>
                </c:pt>
                <c:pt idx="12">
                  <c:v>0.40208611161505475</c:v>
                </c:pt>
                <c:pt idx="13">
                  <c:v>0.43162214055169873</c:v>
                </c:pt>
                <c:pt idx="14">
                  <c:v>0.46314076138201288</c:v>
                </c:pt>
                <c:pt idx="15">
                  <c:v>0.49622058159062071</c:v>
                </c:pt>
                <c:pt idx="16">
                  <c:v>0.53031614905063296</c:v>
                </c:pt>
                <c:pt idx="17">
                  <c:v>0.56479102562058991</c:v>
                </c:pt>
                <c:pt idx="18">
                  <c:v>0.59896749850658226</c:v>
                </c:pt>
                <c:pt idx="19">
                  <c:v>0.63218498611820195</c:v>
                </c:pt>
                <c:pt idx="20">
                  <c:v>0.66385627505765488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D3F-4768-8448-4082E61BA44F}"/>
            </c:ext>
          </c:extLst>
        </c:ser>
        <c:ser>
          <c:idx val="9"/>
          <c:order val="9"/>
          <c:spPr>
            <a:solidFill>
              <a:schemeClr val="accent1">
                <a:shade val="93000"/>
              </a:schemeClr>
            </a:solidFill>
            <a:ln/>
            <a:effectLst/>
            <a:sp3d prstMaterial="flat"/>
          </c:spPr>
          <c:val>
            <c:numRef>
              <c:f>Sheet1!$D$118:$X$118</c:f>
              <c:numCache>
                <c:formatCode>0.00</c:formatCode>
                <c:ptCount val="21"/>
                <c:pt idx="0">
                  <c:v>0.22472678978061159</c:v>
                </c:pt>
                <c:pt idx="1">
                  <c:v>0.23311481986973651</c:v>
                </c:pt>
                <c:pt idx="2">
                  <c:v>0.24277374415989528</c:v>
                </c:pt>
                <c:pt idx="3">
                  <c:v>0.25387658138867963</c:v>
                </c:pt>
                <c:pt idx="4">
                  <c:v>0.26660862568473326</c:v>
                </c:pt>
                <c:pt idx="5">
                  <c:v>0.28116235199281525</c:v>
                </c:pt>
                <c:pt idx="6">
                  <c:v>0.29772905591480026</c:v>
                </c:pt>
                <c:pt idx="7">
                  <c:v>0.3164864096889296</c:v>
                </c:pt>
                <c:pt idx="8">
                  <c:v>0.33758137579959896</c:v>
                </c:pt>
                <c:pt idx="9">
                  <c:v>0.36110855413499215</c:v>
                </c:pt>
                <c:pt idx="10">
                  <c:v>0.38708515079525346</c:v>
                </c:pt>
                <c:pt idx="11">
                  <c:v>0.41542532036149904</c:v>
                </c:pt>
                <c:pt idx="12">
                  <c:v>0.44591836906997789</c:v>
                </c:pt>
                <c:pt idx="13">
                  <c:v>0.478216603136153</c:v>
                </c:pt>
                <c:pt idx="14">
                  <c:v>0.51183861469729763</c:v>
                </c:pt>
                <c:pt idx="15">
                  <c:v>0.54619178919639566</c:v>
                </c:pt>
                <c:pt idx="16">
                  <c:v>0.58061373978784059</c:v>
                </c:pt>
                <c:pt idx="17">
                  <c:v>0.61442725591380065</c:v>
                </c:pt>
                <c:pt idx="18">
                  <c:v>0.64699911692857359</c:v>
                </c:pt>
                <c:pt idx="19">
                  <c:v>0.6777916704946364</c:v>
                </c:pt>
                <c:pt idx="20">
                  <c:v>0.70639816020759649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D3F-4768-8448-4082E61BA44F}"/>
            </c:ext>
          </c:extLst>
        </c:ser>
        <c:ser>
          <c:idx val="10"/>
          <c:order val="10"/>
          <c:spPr>
            <a:solidFill>
              <a:schemeClr val="accent1"/>
            </a:solidFill>
            <a:ln/>
            <a:effectLst/>
            <a:sp3d prstMaterial="flat"/>
          </c:spPr>
          <c:val>
            <c:numRef>
              <c:f>Sheet1!$D$119:$X$119</c:f>
              <c:numCache>
                <c:formatCode>0.00</c:formatCode>
                <c:ptCount val="21"/>
                <c:pt idx="0">
                  <c:v>0.23739652920457233</c:v>
                </c:pt>
                <c:pt idx="1">
                  <c:v>0.24769832122722091</c:v>
                </c:pt>
                <c:pt idx="2">
                  <c:v>0.25952810594119341</c:v>
                </c:pt>
                <c:pt idx="3">
                  <c:v>0.27307529585063195</c:v>
                </c:pt>
                <c:pt idx="4">
                  <c:v>0.28853309061612425</c:v>
                </c:pt>
                <c:pt idx="5">
                  <c:v>0.30608832856457185</c:v>
                </c:pt>
                <c:pt idx="6">
                  <c:v>0.32590694524582658</c:v>
                </c:pt>
                <c:pt idx="7">
                  <c:v>0.3481147183807049</c:v>
                </c:pt>
                <c:pt idx="8">
                  <c:v>0.37277382531301329</c:v>
                </c:pt>
                <c:pt idx="9">
                  <c:v>0.39985707499266532</c:v>
                </c:pt>
                <c:pt idx="10">
                  <c:v>0.42922337365978241</c:v>
                </c:pt>
                <c:pt idx="11">
                  <c:v>0.46059961217855644</c:v>
                </c:pt>
                <c:pt idx="12">
                  <c:v>0.49357497595422212</c:v>
                </c:pt>
                <c:pt idx="13">
                  <c:v>0.52761282052921421</c:v>
                </c:pt>
                <c:pt idx="14">
                  <c:v>0.56208223954598513</c:v>
                </c:pt>
                <c:pt idx="15">
                  <c:v>0.59630669894440058</c:v>
                </c:pt>
                <c:pt idx="16">
                  <c:v>0.62962213388104549</c:v>
                </c:pt>
                <c:pt idx="17">
                  <c:v>0.66143376177128521</c:v>
                </c:pt>
                <c:pt idx="18">
                  <c:v>0.69126104995700499</c:v>
                </c:pt>
                <c:pt idx="19">
                  <c:v>0.71876377555522186</c:v>
                </c:pt>
                <c:pt idx="20">
                  <c:v>0.74374738117472206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D3F-4768-8448-4082E61BA44F}"/>
            </c:ext>
          </c:extLst>
        </c:ser>
        <c:ser>
          <c:idx val="11"/>
          <c:order val="11"/>
          <c:spPr>
            <a:solidFill>
              <a:schemeClr val="accent1">
                <a:tint val="94000"/>
              </a:schemeClr>
            </a:solidFill>
            <a:ln/>
            <a:effectLst/>
            <a:sp3d prstMaterial="flat"/>
          </c:spPr>
          <c:val>
            <c:numRef>
              <c:f>Sheet1!$D$120:$X$120</c:f>
              <c:numCache>
                <c:formatCode>0.00</c:formatCode>
                <c:ptCount val="21"/>
                <c:pt idx="0">
                  <c:v>0.25294703787616335</c:v>
                </c:pt>
                <c:pt idx="1">
                  <c:v>0.26554405822328603</c:v>
                </c:pt>
                <c:pt idx="2">
                  <c:v>0.27994753675514467</c:v>
                </c:pt>
                <c:pt idx="3">
                  <c:v>0.29634925481035934</c:v>
                </c:pt>
                <c:pt idx="4">
                  <c:v>0.31492851253590604</c:v>
                </c:pt>
                <c:pt idx="5">
                  <c:v>0.33583541585175558</c:v>
                </c:pt>
                <c:pt idx="6">
                  <c:v>0.35916955725580046</c:v>
                </c:pt>
                <c:pt idx="7">
                  <c:v>0.38495517316180139</c:v>
                </c:pt>
                <c:pt idx="8">
                  <c:v>0.41311539475147724</c:v>
                </c:pt>
                <c:pt idx="9">
                  <c:v>0.4434499492092453</c:v>
                </c:pt>
                <c:pt idx="10">
                  <c:v>0.47562202869224757</c:v>
                </c:pt>
                <c:pt idx="11">
                  <c:v>0.50916018514180461</c:v>
                </c:pt>
                <c:pt idx="12">
                  <c:v>0.54347927321981915</c:v>
                </c:pt>
                <c:pt idx="13">
                  <c:v>0.57792052578751552</c:v>
                </c:pt>
                <c:pt idx="14">
                  <c:v>0.61180574759824535</c:v>
                </c:pt>
                <c:pt idx="15">
                  <c:v>0.64449623047770455</c:v>
                </c:pt>
                <c:pt idx="16">
                  <c:v>0.6754452751264306</c:v>
                </c:pt>
                <c:pt idx="17">
                  <c:v>0.70423502344895583</c:v>
                </c:pt>
                <c:pt idx="18">
                  <c:v>0.73059287585289723</c:v>
                </c:pt>
                <c:pt idx="19">
                  <c:v>0.7543881155818003</c:v>
                </c:pt>
                <c:pt idx="20">
                  <c:v>0.77561348013524045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D3F-4768-8448-4082E61BA44F}"/>
            </c:ext>
          </c:extLst>
        </c:ser>
        <c:ser>
          <c:idx val="12"/>
          <c:order val="12"/>
          <c:spPr>
            <a:solidFill>
              <a:schemeClr val="accent1">
                <a:tint val="88000"/>
              </a:schemeClr>
            </a:solidFill>
            <a:ln/>
            <a:effectLst/>
            <a:sp3d prstMaterial="flat"/>
          </c:spPr>
          <c:val>
            <c:numRef>
              <c:f>Sheet1!$D$121:$X$121</c:f>
              <c:numCache>
                <c:formatCode>0.00</c:formatCode>
                <c:ptCount val="21"/>
                <c:pt idx="0">
                  <c:v>0.27194339548843033</c:v>
                </c:pt>
                <c:pt idx="1">
                  <c:v>0.28724403202898929</c:v>
                </c:pt>
                <c:pt idx="2">
                  <c:v>0.3046279591917766</c:v>
                </c:pt>
                <c:pt idx="3">
                  <c:v>0.32426339264601178</c:v>
                </c:pt>
                <c:pt idx="4">
                  <c:v>0.34628006987887583</c:v>
                </c:pt>
                <c:pt idx="5">
                  <c:v>0.37074608977697066</c:v>
                </c:pt>
                <c:pt idx="6">
                  <c:v>0.39764222176728858</c:v>
                </c:pt>
                <c:pt idx="7">
                  <c:v>0.42683710495759769</c:v>
                </c:pt>
                <c:pt idx="8">
                  <c:v>0.45806841539000676</c:v>
                </c:pt>
                <c:pt idx="9">
                  <c:v>0.49093598859039023</c:v>
                </c:pt>
                <c:pt idx="10">
                  <c:v>0.524912184261351</c:v>
                </c:pt>
                <c:pt idx="11">
                  <c:v>0.55937193253480677</c:v>
                </c:pt>
                <c:pt idx="12">
                  <c:v>0.59364024301650997</c:v>
                </c:pt>
                <c:pt idx="13">
                  <c:v>0.62704992450921104</c:v>
                </c:pt>
                <c:pt idx="14">
                  <c:v>0.65899890699758623</c:v>
                </c:pt>
                <c:pt idx="15">
                  <c:v>0.68899645863851755</c:v>
                </c:pt>
                <c:pt idx="16">
                  <c:v>0.7166908690260233</c:v>
                </c:pt>
                <c:pt idx="17">
                  <c:v>0.7418763750122207</c:v>
                </c:pt>
                <c:pt idx="18">
                  <c:v>0.76448209378124821</c:v>
                </c:pt>
                <c:pt idx="19">
                  <c:v>0.78454884817851311</c:v>
                </c:pt>
                <c:pt idx="20">
                  <c:v>0.80220052576103229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D3F-4768-8448-4082E61BA44F}"/>
            </c:ext>
          </c:extLst>
        </c:ser>
        <c:ser>
          <c:idx val="13"/>
          <c:order val="13"/>
          <c:spPr>
            <a:solidFill>
              <a:schemeClr val="accent1">
                <a:tint val="81000"/>
              </a:schemeClr>
            </a:solidFill>
            <a:ln/>
            <a:effectLst/>
            <a:sp3d prstMaterial="flat"/>
          </c:spPr>
          <c:val>
            <c:numRef>
              <c:f>Sheet1!$D$122:$X$122</c:f>
              <c:numCache>
                <c:formatCode>0.00</c:formatCode>
                <c:ptCount val="21"/>
                <c:pt idx="0">
                  <c:v>0.29498293096426348</c:v>
                </c:pt>
                <c:pt idx="1">
                  <c:v>0.31338503165505049</c:v>
                </c:pt>
                <c:pt idx="2">
                  <c:v>0.33410450080200466</c:v>
                </c:pt>
                <c:pt idx="3">
                  <c:v>0.35724576860097923</c:v>
                </c:pt>
                <c:pt idx="4">
                  <c:v>0.38283994033197283</c:v>
                </c:pt>
                <c:pt idx="5">
                  <c:v>0.41081898290427471</c:v>
                </c:pt>
                <c:pt idx="6">
                  <c:v>0.44099296012662603</c:v>
                </c:pt>
                <c:pt idx="7">
                  <c:v>0.47303595959684791</c:v>
                </c:pt>
                <c:pt idx="8">
                  <c:v>0.50648662240566944</c:v>
                </c:pt>
                <c:pt idx="9">
                  <c:v>0.5407675228152673</c:v>
                </c:pt>
                <c:pt idx="10">
                  <c:v>0.57522385345209315</c:v>
                </c:pt>
                <c:pt idx="11">
                  <c:v>0.60917680457644297</c:v>
                </c:pt>
                <c:pt idx="12">
                  <c:v>0.64198251016335817</c:v>
                </c:pt>
                <c:pt idx="13">
                  <c:v>0.67308545413968068</c:v>
                </c:pt>
                <c:pt idx="14">
                  <c:v>0.70205677780429865</c:v>
                </c:pt>
                <c:pt idx="15">
                  <c:v>0.72861234614677584</c:v>
                </c:pt>
                <c:pt idx="16">
                  <c:v>0.7526107972593733</c:v>
                </c:pt>
                <c:pt idx="17">
                  <c:v>0.77403606800661884</c:v>
                </c:pt>
                <c:pt idx="18">
                  <c:v>0.792970909071262</c:v>
                </c:pt>
                <c:pt idx="19">
                  <c:v>0.80956770675754941</c:v>
                </c:pt>
                <c:pt idx="20">
                  <c:v>0.82402133169907632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D3F-4768-8448-4082E61BA44F}"/>
            </c:ext>
          </c:extLst>
        </c:ser>
        <c:ser>
          <c:idx val="14"/>
          <c:order val="14"/>
          <c:spPr>
            <a:solidFill>
              <a:schemeClr val="accent1">
                <a:tint val="75000"/>
              </a:schemeClr>
            </a:solidFill>
            <a:ln/>
            <a:effectLst/>
            <a:sp3d prstMaterial="flat"/>
          </c:spPr>
          <c:val>
            <c:numRef>
              <c:f>Sheet1!$D$123:$X$123</c:f>
              <c:numCache>
                <c:formatCode>0.00</c:formatCode>
                <c:ptCount val="21"/>
                <c:pt idx="0">
                  <c:v>0.32263459345122353</c:v>
                </c:pt>
                <c:pt idx="1">
                  <c:v>0.34446060919033322</c:v>
                </c:pt>
                <c:pt idx="2">
                  <c:v>0.36873343621379562</c:v>
                </c:pt>
                <c:pt idx="3">
                  <c:v>0.39544164844534885</c:v>
                </c:pt>
                <c:pt idx="4">
                  <c:v>0.42446349824846247</c:v>
                </c:pt>
                <c:pt idx="5">
                  <c:v>0.45554740145979533</c:v>
                </c:pt>
                <c:pt idx="6">
                  <c:v>0.48830390641948118</c:v>
                </c:pt>
                <c:pt idx="7">
                  <c:v>0.52221456385347842</c:v>
                </c:pt>
                <c:pt idx="8">
                  <c:v>0.55666043794063935</c:v>
                </c:pt>
                <c:pt idx="9">
                  <c:v>0.59096844447650887</c:v>
                </c:pt>
                <c:pt idx="10">
                  <c:v>0.62446862603515707</c:v>
                </c:pt>
                <c:pt idx="11">
                  <c:v>0.65655191485027042</c:v>
                </c:pt>
                <c:pt idx="12">
                  <c:v>0.68671755216264563</c:v>
                </c:pt>
                <c:pt idx="13">
                  <c:v>0.71460238130479059</c:v>
                </c:pt>
                <c:pt idx="14">
                  <c:v>0.73998936176433094</c:v>
                </c:pt>
                <c:pt idx="15">
                  <c:v>0.762797729409465</c:v>
                </c:pt>
                <c:pt idx="16">
                  <c:v>0.78306052933969361</c:v>
                </c:pt>
                <c:pt idx="17">
                  <c:v>0.80089618112284311</c:v>
                </c:pt>
                <c:pt idx="18">
                  <c:v>0.81647977054282606</c:v>
                </c:pt>
                <c:pt idx="19">
                  <c:v>0.83001785583142207</c:v>
                </c:pt>
                <c:pt idx="20">
                  <c:v>0.84172860725017196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D3F-4768-8448-4082E61BA44F}"/>
            </c:ext>
          </c:extLst>
        </c:ser>
        <c:ser>
          <c:idx val="15"/>
          <c:order val="15"/>
          <c:spPr>
            <a:solidFill>
              <a:schemeClr val="accent1">
                <a:tint val="69000"/>
              </a:schemeClr>
            </a:solidFill>
            <a:ln/>
            <a:effectLst/>
            <a:sp3d prstMaterial="flat"/>
          </c:spPr>
          <c:val>
            <c:numRef>
              <c:f>Sheet1!$D$124:$X$124</c:f>
              <c:numCache>
                <c:formatCode>0.00</c:formatCode>
                <c:ptCount val="21"/>
                <c:pt idx="0">
                  <c:v>0.35533719597291452</c:v>
                </c:pt>
                <c:pt idx="1">
                  <c:v>0.38073951496770259</c:v>
                </c:pt>
                <c:pt idx="2">
                  <c:v>0.40853621187339179</c:v>
                </c:pt>
                <c:pt idx="3">
                  <c:v>0.43854759695118917</c:v>
                </c:pt>
                <c:pt idx="4">
                  <c:v>0.47045865418222443</c:v>
                </c:pt>
                <c:pt idx="5">
                  <c:v>0.50381823328890574</c:v>
                </c:pt>
                <c:pt idx="6">
                  <c:v>0.5380568697009539</c:v>
                </c:pt>
                <c:pt idx="7">
                  <c:v>0.57252405068555223</c:v>
                </c:pt>
                <c:pt idx="8">
                  <c:v>0.60654072239174983</c:v>
                </c:pt>
                <c:pt idx="9">
                  <c:v>0.6394581962334055</c:v>
                </c:pt>
                <c:pt idx="10">
                  <c:v>0.67071237889801549</c:v>
                </c:pt>
                <c:pt idx="11">
                  <c:v>0.69986352257266182</c:v>
                </c:pt>
                <c:pt idx="12">
                  <c:v>0.72661594230094673</c:v>
                </c:pt>
                <c:pt idx="13">
                  <c:v>0.750817519493997</c:v>
                </c:pt>
                <c:pt idx="14">
                  <c:v>0.77244322330673365</c:v>
                </c:pt>
                <c:pt idx="15">
                  <c:v>0.7915690913818727</c:v>
                </c:pt>
                <c:pt idx="16">
                  <c:v>0.80834306661475752</c:v>
                </c:pt>
                <c:pt idx="17">
                  <c:v>0.82295756292368505</c:v>
                </c:pt>
                <c:pt idx="18">
                  <c:v>0.8356266080723983</c:v>
                </c:pt>
                <c:pt idx="19">
                  <c:v>0.84656861061887756</c:v>
                </c:pt>
                <c:pt idx="20">
                  <c:v>0.855994554009751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D3F-4768-8448-4082E61BA44F}"/>
            </c:ext>
          </c:extLst>
        </c:ser>
        <c:ser>
          <c:idx val="16"/>
          <c:order val="16"/>
          <c:spPr>
            <a:solidFill>
              <a:schemeClr val="accent1">
                <a:tint val="62000"/>
              </a:schemeClr>
            </a:solidFill>
            <a:ln/>
            <a:effectLst/>
            <a:sp3d prstMaterial="flat"/>
          </c:spPr>
          <c:val>
            <c:numRef>
              <c:f>Sheet1!$D$125:$X$125</c:f>
              <c:numCache>
                <c:formatCode>0.00</c:formatCode>
                <c:ptCount val="21"/>
                <c:pt idx="0">
                  <c:v>0.39325544645110244</c:v>
                </c:pt>
                <c:pt idx="1">
                  <c:v>0.42210271195461091</c:v>
                </c:pt>
                <c:pt idx="2">
                  <c:v>0.45303679582873951</c:v>
                </c:pt>
                <c:pt idx="3">
                  <c:v>0.48567901252117907</c:v>
                </c:pt>
                <c:pt idx="4">
                  <c:v>0.51952028093517821</c:v>
                </c:pt>
                <c:pt idx="5">
                  <c:v>0.55394808941755758</c:v>
                </c:pt>
                <c:pt idx="6">
                  <c:v>0.58829161964141141</c:v>
                </c:pt>
                <c:pt idx="7">
                  <c:v>0.62187851087063972</c:v>
                </c:pt>
                <c:pt idx="8">
                  <c:v>0.65409299489420514</c:v>
                </c:pt>
                <c:pt idx="9">
                  <c:v>0.68442446849036143</c:v>
                </c:pt>
                <c:pt idx="10">
                  <c:v>0.71249837999119814</c:v>
                </c:pt>
                <c:pt idx="11">
                  <c:v>0.73808634757932223</c:v>
                </c:pt>
                <c:pt idx="12">
                  <c:v>0.76109758335923849</c:v>
                </c:pt>
                <c:pt idx="13">
                  <c:v>0.78155717590859575</c:v>
                </c:pt>
                <c:pt idx="14">
                  <c:v>0.7995778973780665</c:v>
                </c:pt>
                <c:pt idx="15">
                  <c:v>0.81533135242440813</c:v>
                </c:pt>
                <c:pt idx="16">
                  <c:v>0.82902241857412096</c:v>
                </c:pt>
                <c:pt idx="17">
                  <c:v>0.84086893953709196</c:v>
                </c:pt>
                <c:pt idx="18">
                  <c:v>0.85108706937838008</c:v>
                </c:pt>
                <c:pt idx="19">
                  <c:v>0.85988169858971419</c:v>
                </c:pt>
                <c:pt idx="20">
                  <c:v>0.86744095360262941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3F-4768-8448-4082E61BA44F}"/>
            </c:ext>
          </c:extLst>
        </c:ser>
        <c:ser>
          <c:idx val="17"/>
          <c:order val="17"/>
          <c:spPr>
            <a:solidFill>
              <a:schemeClr val="accent1">
                <a:tint val="56000"/>
              </a:schemeClr>
            </a:solidFill>
            <a:ln/>
            <a:effectLst/>
            <a:sp3d prstMaterial="flat"/>
          </c:spPr>
          <c:val>
            <c:numRef>
              <c:f>Sheet1!$D$126:$X$126</c:f>
              <c:numCache>
                <c:formatCode>0.00</c:formatCode>
                <c:ptCount val="21"/>
                <c:pt idx="0">
                  <c:v>0.43611404951108501</c:v>
                </c:pt>
                <c:pt idx="1">
                  <c:v>0.46789036621595581</c:v>
                </c:pt>
                <c:pt idx="2">
                  <c:v>0.50115532153526576</c:v>
                </c:pt>
                <c:pt idx="3">
                  <c:v>0.53534764463997686</c:v>
                </c:pt>
                <c:pt idx="4">
                  <c:v>0.56982144676447255</c:v>
                </c:pt>
                <c:pt idx="5">
                  <c:v>0.60389780006546889</c:v>
                </c:pt>
                <c:pt idx="6">
                  <c:v>0.63692353391152601</c:v>
                </c:pt>
                <c:pt idx="7">
                  <c:v>0.66832622642857353</c:v>
                </c:pt>
                <c:pt idx="8">
                  <c:v>0.69765536261082683</c:v>
                </c:pt>
                <c:pt idx="9">
                  <c:v>0.7246037021548547</c:v>
                </c:pt>
                <c:pt idx="10">
                  <c:v>0.74900826445016333</c:v>
                </c:pt>
                <c:pt idx="11">
                  <c:v>0.77083488670028089</c:v>
                </c:pt>
                <c:pt idx="12">
                  <c:v>0.7901527106804469</c:v>
                </c:pt>
                <c:pt idx="13">
                  <c:v>0.80710506482675692</c:v>
                </c:pt>
                <c:pt idx="14">
                  <c:v>0.82188176453308748</c:v>
                </c:pt>
                <c:pt idx="15">
                  <c:v>0.83469583679446313</c:v>
                </c:pt>
                <c:pt idx="16">
                  <c:v>0.84576583972112107</c:v>
                </c:pt>
                <c:pt idx="17">
                  <c:v>0.85530365568355071</c:v>
                </c:pt>
                <c:pt idx="18">
                  <c:v>0.86350693030370396</c:v>
                </c:pt>
                <c:pt idx="19">
                  <c:v>0.87055507894669959</c:v>
                </c:pt>
                <c:pt idx="20">
                  <c:v>0.87660781508891883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D3F-4768-8448-4082E61BA44F}"/>
            </c:ext>
          </c:extLst>
        </c:ser>
        <c:ser>
          <c:idx val="18"/>
          <c:order val="18"/>
          <c:spPr>
            <a:solidFill>
              <a:schemeClr val="accent1">
                <a:tint val="50000"/>
              </a:schemeClr>
            </a:solidFill>
            <a:ln/>
            <a:effectLst/>
            <a:sp3d prstMaterial="flat"/>
          </c:spPr>
          <c:val>
            <c:numRef>
              <c:f>Sheet1!$D$127:$X$127</c:f>
              <c:numCache>
                <c:formatCode>0.00</c:formatCode>
                <c:ptCount val="21"/>
                <c:pt idx="0">
                  <c:v>0.48306158601530019</c:v>
                </c:pt>
                <c:pt idx="1">
                  <c:v>0.5168296549927367</c:v>
                </c:pt>
                <c:pt idx="2">
                  <c:v>0.55123522073557985</c:v>
                </c:pt>
                <c:pt idx="3">
                  <c:v>0.58561008722480601</c:v>
                </c:pt>
                <c:pt idx="4">
                  <c:v>0.61927985568826438</c:v>
                </c:pt>
                <c:pt idx="5">
                  <c:v>0.65162236209141522</c:v>
                </c:pt>
                <c:pt idx="6">
                  <c:v>0.68211735128764073</c:v>
                </c:pt>
                <c:pt idx="7">
                  <c:v>0.71037893797470486</c:v>
                </c:pt>
                <c:pt idx="8">
                  <c:v>0.73616734299211983</c:v>
                </c:pt>
                <c:pt idx="9">
                  <c:v>0.75938161685979633</c:v>
                </c:pt>
                <c:pt idx="10">
                  <c:v>0.78003871428408555</c:v>
                </c:pt>
                <c:pt idx="11">
                  <c:v>0.79824557960082587</c:v>
                </c:pt>
                <c:pt idx="12">
                  <c:v>0.8141701773461536</c:v>
                </c:pt>
                <c:pt idx="13">
                  <c:v>0.82801557863481201</c:v>
                </c:pt>
                <c:pt idx="14">
                  <c:v>0.83999921034359182</c:v>
                </c:pt>
                <c:pt idx="15">
                  <c:v>0.85033776665172134</c:v>
                </c:pt>
                <c:pt idx="16">
                  <c:v>0.85923726906581366</c:v>
                </c:pt>
                <c:pt idx="17">
                  <c:v>0.86688728558553574</c:v>
                </c:pt>
                <c:pt idx="18">
                  <c:v>0.87345822044298838</c:v>
                </c:pt>
                <c:pt idx="19">
                  <c:v>0.87910069704074634</c:v>
                </c:pt>
                <c:pt idx="20">
                  <c:v>0.88394625379033798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D3F-4768-8448-4082E61BA44F}"/>
            </c:ext>
          </c:extLst>
        </c:ser>
        <c:ser>
          <c:idx val="19"/>
          <c:order val="19"/>
          <c:spPr>
            <a:solidFill>
              <a:schemeClr val="accent1">
                <a:tint val="43000"/>
              </a:schemeClr>
            </a:solidFill>
            <a:ln/>
            <a:effectLst/>
            <a:sp3d prstMaterial="flat"/>
          </c:spPr>
          <c:val>
            <c:numRef>
              <c:f>Sheet1!$D$128:$X$128</c:f>
              <c:numCache>
                <c:formatCode>0.00</c:formatCode>
                <c:ptCount val="21"/>
                <c:pt idx="0">
                  <c:v>0.53264017726125312</c:v>
                </c:pt>
                <c:pt idx="1">
                  <c:v>0.56711637215723032</c:v>
                </c:pt>
                <c:pt idx="2">
                  <c:v>0.60124833994921667</c:v>
                </c:pt>
                <c:pt idx="3">
                  <c:v>0.63437877330753623</c:v>
                </c:pt>
                <c:pt idx="4">
                  <c:v>0.66592717939817114</c:v>
                </c:pt>
                <c:pt idx="5">
                  <c:v>0.69543240836677256</c:v>
                </c:pt>
                <c:pt idx="6">
                  <c:v>0.72257566846582122</c:v>
                </c:pt>
                <c:pt idx="7">
                  <c:v>0.74718301817353638</c:v>
                </c:pt>
                <c:pt idx="8">
                  <c:v>0.76921100158707367</c:v>
                </c:pt>
                <c:pt idx="9">
                  <c:v>0.78872168198508041</c:v>
                </c:pt>
                <c:pt idx="10">
                  <c:v>0.8058536005689203</c:v>
                </c:pt>
                <c:pt idx="11">
                  <c:v>0.82079382974957482</c:v>
                </c:pt>
                <c:pt idx="12">
                  <c:v>0.83375428654753247</c:v>
                </c:pt>
                <c:pt idx="13">
                  <c:v>0.84495360361169791</c:v>
                </c:pt>
                <c:pt idx="14">
                  <c:v>0.85460451606155874</c:v>
                </c:pt>
                <c:pt idx="15">
                  <c:v>0.86290597318977535</c:v>
                </c:pt>
                <c:pt idx="16">
                  <c:v>0.87003890392597238</c:v>
                </c:pt>
                <c:pt idx="17">
                  <c:v>0.87616458128776109</c:v>
                </c:pt>
                <c:pt idx="18">
                  <c:v>0.88142469421389735</c:v>
                </c:pt>
                <c:pt idx="19">
                  <c:v>0.88594244363747843</c:v>
                </c:pt>
                <c:pt idx="20">
                  <c:v>0.88982417707677186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D3F-4768-8448-4082E61BA44F}"/>
            </c:ext>
          </c:extLst>
        </c:ser>
        <c:ser>
          <c:idx val="20"/>
          <c:order val="20"/>
          <c:spPr>
            <a:solidFill>
              <a:schemeClr val="accent1">
                <a:tint val="37000"/>
              </a:schemeClr>
            </a:solidFill>
            <a:ln/>
            <a:effectLst/>
            <a:sp3d prstMaterial="flat"/>
          </c:spPr>
          <c:val>
            <c:numRef>
              <c:f>Sheet1!$D$129:$X$129</c:f>
              <c:numCache>
                <c:formatCode>0.00</c:formatCode>
                <c:ptCount val="21"/>
                <c:pt idx="0">
                  <c:v>0.5829241681673708</c:v>
                </c:pt>
                <c:pt idx="1">
                  <c:v>0.61667294129842154</c:v>
                </c:pt>
                <c:pt idx="2">
                  <c:v>0.64914023674185029</c:v>
                </c:pt>
                <c:pt idx="3">
                  <c:v>0.6797963499298898</c:v>
                </c:pt>
                <c:pt idx="4">
                  <c:v>0.70824413348838378</c:v>
                </c:pt>
                <c:pt idx="5">
                  <c:v>0.73423236300666883</c:v>
                </c:pt>
                <c:pt idx="6">
                  <c:v>0.75764979449382786</c:v>
                </c:pt>
                <c:pt idx="7">
                  <c:v>0.77850507309065453</c:v>
                </c:pt>
                <c:pt idx="8">
                  <c:v>0.79689913410202917</c:v>
                </c:pt>
                <c:pt idx="9">
                  <c:v>0.81299614068516834</c:v>
                </c:pt>
                <c:pt idx="10">
                  <c:v>0.8269972290386669</c:v>
                </c:pt>
                <c:pt idx="11">
                  <c:v>0.83911931622266467</c:v>
                </c:pt>
                <c:pt idx="12">
                  <c:v>0.84957957560881758</c:v>
                </c:pt>
                <c:pt idx="13">
                  <c:v>0.85858512454981073</c:v>
                </c:pt>
                <c:pt idx="14">
                  <c:v>0.8663269563629914</c:v>
                </c:pt>
                <c:pt idx="15">
                  <c:v>0.87297702628244211</c:v>
                </c:pt>
                <c:pt idx="16">
                  <c:v>0.87868750084607405</c:v>
                </c:pt>
                <c:pt idx="17">
                  <c:v>0.88359137385013953</c:v>
                </c:pt>
                <c:pt idx="18">
                  <c:v>0.88780386009385925</c:v>
                </c:pt>
                <c:pt idx="19">
                  <c:v>0.89142416093099164</c:v>
                </c:pt>
                <c:pt idx="20">
                  <c:v>0.8945373392560495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D3F-4768-8448-4082E61BA44F}"/>
            </c:ext>
          </c:extLst>
        </c:ser>
        <c:bandFmts>
          <c:bandFmt>
            <c:idx val="0"/>
            <c:spPr>
              <a:solidFill>
                <a:schemeClr val="accent1">
                  <a:shade val="32000"/>
                </a:schemeClr>
              </a:solidFill>
              <a:ln/>
              <a:effectLst/>
              <a:sp3d prstMaterial="flat"/>
            </c:spPr>
          </c:bandFmt>
          <c:bandFmt>
            <c:idx val="1"/>
            <c:spPr>
              <a:solidFill>
                <a:schemeClr val="accent1">
                  <a:shade val="35000"/>
                </a:schemeClr>
              </a:solidFill>
              <a:ln/>
              <a:effectLst/>
              <a:sp3d prstMaterial="flat"/>
            </c:spPr>
          </c:bandFmt>
          <c:bandFmt>
            <c:idx val="2"/>
            <c:spPr>
              <a:solidFill>
                <a:schemeClr val="accent1">
                  <a:shade val="38000"/>
                </a:schemeClr>
              </a:solidFill>
              <a:ln/>
              <a:effectLst/>
              <a:sp3d prstMaterial="flat"/>
            </c:spPr>
          </c:bandFmt>
          <c:bandFmt>
            <c:idx val="3"/>
            <c:spPr>
              <a:solidFill>
                <a:schemeClr val="accent1">
                  <a:shade val="41000"/>
                </a:schemeClr>
              </a:solidFill>
              <a:ln/>
              <a:effectLst/>
              <a:sp3d prstMaterial="flat"/>
            </c:spPr>
          </c:bandFmt>
          <c:bandFmt>
            <c:idx val="4"/>
            <c:spPr>
              <a:solidFill>
                <a:schemeClr val="accent1">
                  <a:shade val="44000"/>
                </a:schemeClr>
              </a:solidFill>
              <a:ln/>
              <a:effectLst/>
              <a:sp3d prstMaterial="flat"/>
            </c:spPr>
          </c:bandFmt>
          <c:bandFmt>
            <c:idx val="5"/>
            <c:spPr>
              <a:solidFill>
                <a:schemeClr val="accent1">
                  <a:shade val="47000"/>
                </a:schemeClr>
              </a:solidFill>
              <a:ln/>
              <a:effectLst/>
              <a:sp3d prstMaterial="flat"/>
            </c:spPr>
          </c:bandFmt>
          <c:bandFmt>
            <c:idx val="6"/>
            <c:spPr>
              <a:solidFill>
                <a:schemeClr val="accent1">
                  <a:shade val="50000"/>
                </a:schemeClr>
              </a:solidFill>
              <a:ln/>
              <a:effectLst/>
              <a:sp3d prstMaterial="flat"/>
            </c:spPr>
          </c:bandFmt>
          <c:bandFmt>
            <c:idx val="7"/>
            <c:spPr>
              <a:solidFill>
                <a:schemeClr val="accent1">
                  <a:shade val="53000"/>
                </a:schemeClr>
              </a:solidFill>
              <a:ln/>
              <a:effectLst/>
              <a:sp3d prstMaterial="flat"/>
            </c:spPr>
          </c:bandFmt>
          <c:bandFmt>
            <c:idx val="8"/>
            <c:spPr>
              <a:solidFill>
                <a:schemeClr val="accent1">
                  <a:shade val="56000"/>
                </a:schemeClr>
              </a:solidFill>
              <a:ln/>
              <a:effectLst/>
              <a:sp3d prstMaterial="flat"/>
            </c:spPr>
          </c:bandFmt>
          <c:bandFmt>
            <c:idx val="9"/>
            <c:spPr>
              <a:solidFill>
                <a:schemeClr val="accent1">
                  <a:shade val="59000"/>
                </a:schemeClr>
              </a:solidFill>
              <a:ln/>
              <a:effectLst/>
              <a:sp3d prstMaterial="flat"/>
            </c:spPr>
          </c:bandFmt>
          <c:bandFmt>
            <c:idx val="10"/>
            <c:spPr>
              <a:solidFill>
                <a:schemeClr val="accent1">
                  <a:shade val="62000"/>
                </a:schemeClr>
              </a:solidFill>
              <a:ln/>
              <a:effectLst/>
              <a:sp3d prstMaterial="flat"/>
            </c:spPr>
          </c:bandFmt>
          <c:bandFmt>
            <c:idx val="11"/>
            <c:spPr>
              <a:solidFill>
                <a:schemeClr val="accent1">
                  <a:shade val="65000"/>
                </a:schemeClr>
              </a:solidFill>
              <a:ln/>
              <a:effectLst/>
              <a:sp3d prstMaterial="flat"/>
            </c:spPr>
          </c:bandFmt>
          <c:bandFmt>
            <c:idx val="12"/>
            <c:spPr>
              <a:solidFill>
                <a:schemeClr val="accent1">
                  <a:shade val="68000"/>
                </a:schemeClr>
              </a:solidFill>
              <a:ln/>
              <a:effectLst/>
              <a:sp3d prstMaterial="flat"/>
            </c:spPr>
          </c:bandFmt>
          <c:bandFmt>
            <c:idx val="13"/>
            <c:spPr>
              <a:solidFill>
                <a:schemeClr val="accent1">
                  <a:shade val="71000"/>
                </a:schemeClr>
              </a:solidFill>
              <a:ln/>
              <a:effectLst/>
              <a:sp3d prstMaterial="flat"/>
            </c:spPr>
          </c:bandFmt>
          <c:bandFmt>
            <c:idx val="14"/>
            <c:spPr>
              <a:solidFill>
                <a:schemeClr val="accent1">
                  <a:shade val="74000"/>
                </a:schemeClr>
              </a:solidFill>
              <a:ln/>
              <a:effectLst/>
              <a:sp3d prstMaterial="flat"/>
            </c:spPr>
          </c:bandFmt>
          <c:bandFmt>
            <c:idx val="15"/>
            <c:spPr>
              <a:solidFill>
                <a:schemeClr val="accent1">
                  <a:shade val="77000"/>
                </a:schemeClr>
              </a:solidFill>
              <a:ln/>
              <a:effectLst/>
              <a:sp3d prstMaterial="flat"/>
            </c:spPr>
          </c:bandFmt>
          <c:bandFmt>
            <c:idx val="16"/>
            <c:spPr>
              <a:solidFill>
                <a:schemeClr val="accent1">
                  <a:shade val="80000"/>
                </a:schemeClr>
              </a:solidFill>
              <a:ln/>
              <a:effectLst/>
              <a:sp3d prstMaterial="flat"/>
            </c:spPr>
          </c:bandFmt>
          <c:bandFmt>
            <c:idx val="17"/>
            <c:spPr>
              <a:solidFill>
                <a:schemeClr val="accent1">
                  <a:shade val="83000"/>
                </a:schemeClr>
              </a:solidFill>
              <a:ln/>
              <a:effectLst/>
              <a:sp3d prstMaterial="flat"/>
            </c:spPr>
          </c:bandFmt>
          <c:bandFmt>
            <c:idx val="18"/>
            <c:spPr>
              <a:solidFill>
                <a:schemeClr val="accent1">
                  <a:shade val="86000"/>
                </a:schemeClr>
              </a:solidFill>
              <a:ln/>
              <a:effectLst/>
              <a:sp3d prstMaterial="flat"/>
            </c:spPr>
          </c:bandFmt>
          <c:bandFmt>
            <c:idx val="19"/>
            <c:spPr>
              <a:solidFill>
                <a:schemeClr val="accent1">
                  <a:shade val="89000"/>
                </a:schemeClr>
              </a:solidFill>
              <a:ln/>
              <a:effectLst/>
              <a:sp3d prstMaterial="flat"/>
            </c:spPr>
          </c:bandFmt>
          <c:bandFmt>
            <c:idx val="20"/>
            <c:spPr>
              <a:solidFill>
                <a:schemeClr val="accent1">
                  <a:shade val="92000"/>
                </a:schemeClr>
              </a:solidFill>
              <a:ln/>
              <a:effectLst/>
              <a:sp3d prstMaterial="flat"/>
            </c:spPr>
          </c:bandFmt>
          <c:bandFmt>
            <c:idx val="21"/>
            <c:spPr>
              <a:solidFill>
                <a:schemeClr val="accent1">
                  <a:shade val="95000"/>
                </a:schemeClr>
              </a:solidFill>
              <a:ln/>
              <a:effectLst/>
              <a:sp3d prstMaterial="flat"/>
            </c:spPr>
          </c:bandFmt>
          <c:bandFmt>
            <c:idx val="22"/>
            <c:spPr>
              <a:solidFill>
                <a:schemeClr val="accent1">
                  <a:shade val="98000"/>
                </a:schemeClr>
              </a:solidFill>
              <a:ln/>
              <a:effectLst/>
              <a:sp3d prstMaterial="flat"/>
            </c:spPr>
          </c:bandFmt>
          <c:bandFmt>
            <c:idx val="23"/>
            <c:spPr>
              <a:solidFill>
                <a:schemeClr val="accent1">
                  <a:tint val="99000"/>
                </a:schemeClr>
              </a:solidFill>
              <a:ln/>
              <a:effectLst/>
              <a:sp3d prstMaterial="flat"/>
            </c:spPr>
          </c:bandFmt>
          <c:bandFmt>
            <c:idx val="24"/>
            <c:spPr>
              <a:solidFill>
                <a:schemeClr val="accent1">
                  <a:tint val="96000"/>
                </a:schemeClr>
              </a:solidFill>
              <a:ln/>
              <a:effectLst/>
              <a:sp3d prstMaterial="flat"/>
            </c:spPr>
          </c:bandFmt>
          <c:bandFmt>
            <c:idx val="25"/>
            <c:spPr>
              <a:solidFill>
                <a:schemeClr val="accent1">
                  <a:tint val="93000"/>
                </a:schemeClr>
              </a:solidFill>
              <a:ln/>
              <a:effectLst/>
              <a:sp3d prstMaterial="flat"/>
            </c:spPr>
          </c:bandFmt>
          <c:bandFmt>
            <c:idx val="26"/>
            <c:spPr>
              <a:solidFill>
                <a:schemeClr val="accent1">
                  <a:tint val="90000"/>
                </a:schemeClr>
              </a:solidFill>
              <a:ln/>
              <a:effectLst/>
              <a:sp3d prstMaterial="flat"/>
            </c:spPr>
          </c:bandFmt>
          <c:bandFmt>
            <c:idx val="27"/>
            <c:spPr>
              <a:solidFill>
                <a:schemeClr val="accent1">
                  <a:tint val="87000"/>
                </a:schemeClr>
              </a:solidFill>
              <a:ln/>
              <a:effectLst/>
              <a:sp3d prstMaterial="flat"/>
            </c:spPr>
          </c:bandFmt>
          <c:bandFmt>
            <c:idx val="28"/>
            <c:spPr>
              <a:solidFill>
                <a:schemeClr val="accent1">
                  <a:tint val="84000"/>
                </a:schemeClr>
              </a:solidFill>
              <a:ln/>
              <a:effectLst/>
              <a:sp3d prstMaterial="flat"/>
            </c:spPr>
          </c:bandFmt>
          <c:bandFmt>
            <c:idx val="29"/>
            <c:spPr>
              <a:solidFill>
                <a:schemeClr val="accent1">
                  <a:tint val="81000"/>
                </a:schemeClr>
              </a:solidFill>
              <a:ln/>
              <a:effectLst/>
              <a:sp3d prstMaterial="flat"/>
            </c:spPr>
          </c:bandFmt>
          <c:bandFmt>
            <c:idx val="30"/>
            <c:spPr>
              <a:solidFill>
                <a:schemeClr val="accent1">
                  <a:tint val="78000"/>
                </a:schemeClr>
              </a:solidFill>
              <a:ln/>
              <a:effectLst/>
              <a:sp3d prstMaterial="flat"/>
            </c:spPr>
          </c:bandFmt>
          <c:bandFmt>
            <c:idx val="31"/>
            <c:spPr>
              <a:solidFill>
                <a:schemeClr val="accent1">
                  <a:tint val="75000"/>
                </a:schemeClr>
              </a:solidFill>
              <a:ln/>
              <a:effectLst/>
              <a:sp3d prstMaterial="flat"/>
            </c:spPr>
          </c:bandFmt>
          <c:bandFmt>
            <c:idx val="32"/>
            <c:spPr>
              <a:solidFill>
                <a:schemeClr val="accent1">
                  <a:tint val="72000"/>
                </a:schemeClr>
              </a:solidFill>
              <a:ln/>
              <a:effectLst/>
              <a:sp3d prstMaterial="flat"/>
            </c:spPr>
          </c:bandFmt>
          <c:bandFmt>
            <c:idx val="33"/>
            <c:spPr>
              <a:solidFill>
                <a:schemeClr val="accent1">
                  <a:tint val="69000"/>
                </a:schemeClr>
              </a:solidFill>
              <a:ln/>
              <a:effectLst/>
              <a:sp3d prstMaterial="flat"/>
            </c:spPr>
          </c:bandFmt>
          <c:bandFmt>
            <c:idx val="34"/>
            <c:spPr>
              <a:solidFill>
                <a:schemeClr val="accent1">
                  <a:tint val="66000"/>
                </a:schemeClr>
              </a:solidFill>
              <a:ln/>
              <a:effectLst/>
              <a:sp3d prstMaterial="flat"/>
            </c:spPr>
          </c:bandFmt>
          <c:bandFmt>
            <c:idx val="35"/>
            <c:spPr>
              <a:solidFill>
                <a:schemeClr val="accent1">
                  <a:tint val="63000"/>
                </a:schemeClr>
              </a:solidFill>
              <a:ln/>
              <a:effectLst/>
              <a:sp3d prstMaterial="flat"/>
            </c:spPr>
          </c:bandFmt>
          <c:bandFmt>
            <c:idx val="36"/>
            <c:spPr>
              <a:solidFill>
                <a:schemeClr val="accent1">
                  <a:tint val="60000"/>
                </a:schemeClr>
              </a:solidFill>
              <a:ln/>
              <a:effectLst/>
              <a:sp3d prstMaterial="flat"/>
            </c:spPr>
          </c:bandFmt>
          <c:bandFmt>
            <c:idx val="37"/>
            <c:spPr>
              <a:solidFill>
                <a:schemeClr val="accent1">
                  <a:tint val="57000"/>
                </a:schemeClr>
              </a:solidFill>
              <a:ln/>
              <a:effectLst/>
              <a:sp3d prstMaterial="flat"/>
            </c:spPr>
          </c:bandFmt>
          <c:bandFmt>
            <c:idx val="38"/>
            <c:spPr>
              <a:solidFill>
                <a:schemeClr val="accent1">
                  <a:tint val="54000"/>
                </a:schemeClr>
              </a:solidFill>
              <a:ln/>
              <a:effectLst/>
              <a:sp3d prstMaterial="flat"/>
            </c:spPr>
          </c:bandFmt>
          <c:bandFmt>
            <c:idx val="39"/>
            <c:spPr>
              <a:solidFill>
                <a:schemeClr val="accent1">
                  <a:tint val="51000"/>
                </a:schemeClr>
              </a:solidFill>
              <a:ln/>
              <a:effectLst/>
              <a:sp3d prstMaterial="flat"/>
            </c:spPr>
          </c:bandFmt>
          <c:bandFmt>
            <c:idx val="40"/>
            <c:spPr>
              <a:solidFill>
                <a:schemeClr val="accent1">
                  <a:tint val="48000"/>
                </a:schemeClr>
              </a:solidFill>
              <a:ln/>
              <a:effectLst/>
              <a:sp3d prstMaterial="flat"/>
            </c:spPr>
          </c:bandFmt>
          <c:bandFmt>
            <c:idx val="41"/>
            <c:spPr>
              <a:solidFill>
                <a:schemeClr val="accent1">
                  <a:tint val="45000"/>
                </a:schemeClr>
              </a:solidFill>
              <a:ln/>
              <a:effectLst/>
              <a:sp3d prstMaterial="flat"/>
            </c:spPr>
          </c:bandFmt>
          <c:bandFmt>
            <c:idx val="42"/>
            <c:spPr>
              <a:solidFill>
                <a:schemeClr val="accent1">
                  <a:tint val="42000"/>
                </a:schemeClr>
              </a:solidFill>
              <a:ln/>
              <a:effectLst/>
              <a:sp3d prstMaterial="flat"/>
            </c:spPr>
          </c:bandFmt>
          <c:bandFmt>
            <c:idx val="43"/>
            <c:spPr>
              <a:solidFill>
                <a:schemeClr val="accent1">
                  <a:tint val="39000"/>
                </a:schemeClr>
              </a:solidFill>
              <a:ln/>
              <a:effectLst/>
              <a:sp3d prstMaterial="flat"/>
            </c:spPr>
          </c:bandFmt>
          <c:bandFmt>
            <c:idx val="44"/>
            <c:spPr>
              <a:solidFill>
                <a:schemeClr val="accent1">
                  <a:tint val="36000"/>
                </a:schemeClr>
              </a:solidFill>
              <a:ln/>
              <a:effectLst/>
              <a:sp3d prstMaterial="flat"/>
            </c:spPr>
          </c:bandFmt>
        </c:bandFmts>
        <c:axId val="259242624"/>
        <c:axId val="259231808"/>
        <c:axId val="146158400"/>
      </c:surfaceChart>
      <c:catAx>
        <c:axId val="259242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31808"/>
        <c:crosses val="autoZero"/>
        <c:auto val="1"/>
        <c:lblAlgn val="ctr"/>
        <c:lblOffset val="100"/>
        <c:noMultiLvlLbl val="0"/>
      </c:catAx>
      <c:valAx>
        <c:axId val="2592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42624"/>
        <c:crosses val="autoZero"/>
        <c:crossBetween val="midCat"/>
        <c:majorUnit val="2.0000000000000004E-2"/>
      </c:valAx>
      <c:serAx>
        <c:axId val="1461584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3180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25"/>
      <c:rotY val="3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1686639660913157E-2"/>
          <c:y val="9.6625275438948457E-2"/>
          <c:w val="0.85228397592545235"/>
          <c:h val="0.78334631809254918"/>
        </c:manualLayout>
      </c:layout>
      <c:surface3DChart>
        <c:wireframe val="0"/>
        <c:ser>
          <c:idx val="0"/>
          <c:order val="0"/>
          <c:spPr>
            <a:solidFill>
              <a:schemeClr val="accent4">
                <a:tint val="37000"/>
              </a:schemeClr>
            </a:solidFill>
            <a:ln/>
            <a:effectLst/>
            <a:sp3d prstMaterial="flat"/>
          </c:spPr>
          <c:val>
            <c:numRef>
              <c:f>Sheet1!$D$109:$X$109</c:f>
              <c:numCache>
                <c:formatCode>0.00</c:formatCode>
                <c:ptCount val="21"/>
                <c:pt idx="0">
                  <c:v>0.17864110767244132</c:v>
                </c:pt>
                <c:pt idx="1">
                  <c:v>0.17990595917585059</c:v>
                </c:pt>
                <c:pt idx="2">
                  <c:v>0.18136631843509746</c:v>
                </c:pt>
                <c:pt idx="3">
                  <c:v>0.18305261537721235</c:v>
                </c:pt>
                <c:pt idx="4">
                  <c:v>0.18500005377597464</c:v>
                </c:pt>
                <c:pt idx="5">
                  <c:v>0.18724935628308559</c:v>
                </c:pt>
                <c:pt idx="6">
                  <c:v>0.18984761630364183</c:v>
                </c:pt>
                <c:pt idx="7">
                  <c:v>0.19284926482700335</c:v>
                </c:pt>
                <c:pt idx="8">
                  <c:v>0.19631715608394942</c:v>
                </c:pt>
                <c:pt idx="9">
                  <c:v>0.20032376802894636</c:v>
                </c:pt>
                <c:pt idx="10">
                  <c:v>0.20495250021887279</c:v>
                </c:pt>
                <c:pt idx="11">
                  <c:v>0.21029902999464162</c:v>
                </c:pt>
                <c:pt idx="12">
                  <c:v>0.21647265439485547</c:v>
                </c:pt>
                <c:pt idx="13">
                  <c:v>0.22359749547495172</c:v>
                </c:pt>
                <c:pt idx="14">
                  <c:v>0.23181337565116031</c:v>
                </c:pt>
                <c:pt idx="15">
                  <c:v>0.24127607277909224</c:v>
                </c:pt>
                <c:pt idx="16">
                  <c:v>0.25215654004774862</c:v>
                </c:pt>
                <c:pt idx="17">
                  <c:v>0.26463852838560376</c:v>
                </c:pt>
                <c:pt idx="18">
                  <c:v>0.27891389740922107</c:v>
                </c:pt>
                <c:pt idx="19">
                  <c:v>0.29517478616488391</c:v>
                </c:pt>
                <c:pt idx="20">
                  <c:v>0.31360181058848607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59-44E6-8147-7424CDB1CF7D}"/>
            </c:ext>
          </c:extLst>
        </c:ser>
        <c:ser>
          <c:idx val="1"/>
          <c:order val="1"/>
          <c:spPr>
            <a:solidFill>
              <a:schemeClr val="accent4">
                <a:tint val="43000"/>
              </a:schemeClr>
            </a:solidFill>
            <a:ln/>
            <a:effectLst/>
            <a:sp3d prstMaterial="flat"/>
          </c:spPr>
          <c:val>
            <c:numRef>
              <c:f>Sheet1!$D$110:$X$110</c:f>
              <c:numCache>
                <c:formatCode>0.00</c:formatCode>
                <c:ptCount val="21"/>
                <c:pt idx="0">
                  <c:v>0.18055270067001669</c:v>
                </c:pt>
                <c:pt idx="1">
                  <c:v>0.18211309333186818</c:v>
                </c:pt>
                <c:pt idx="2">
                  <c:v>0.1839150058151974</c:v>
                </c:pt>
                <c:pt idx="3">
                  <c:v>0.1859960855658227</c:v>
                </c:pt>
                <c:pt idx="4">
                  <c:v>0.18839987752437171</c:v>
                </c:pt>
                <c:pt idx="5">
                  <c:v>0.1911767281425738</c:v>
                </c:pt>
                <c:pt idx="6">
                  <c:v>0.19438480684765555</c:v>
                </c:pt>
                <c:pt idx="7">
                  <c:v>0.19809124575102982</c:v>
                </c:pt>
                <c:pt idx="8">
                  <c:v>0.20237338824708723</c:v>
                </c:pt>
                <c:pt idx="9">
                  <c:v>0.20732012031049907</c:v>
                </c:pt>
                <c:pt idx="10">
                  <c:v>0.21303323169436078</c:v>
                </c:pt>
                <c:pt idx="11">
                  <c:v>0.21962871385684038</c:v>
                </c:pt>
                <c:pt idx="12">
                  <c:v>0.22723784250655318</c:v>
                </c:pt>
                <c:pt idx="13">
                  <c:v>0.2360078101648983</c:v>
                </c:pt>
                <c:pt idx="14">
                  <c:v>0.24610156440564093</c:v>
                </c:pt>
                <c:pt idx="15">
                  <c:v>0.25769637107355869</c:v>
                </c:pt>
                <c:pt idx="16">
                  <c:v>0.27098046899597938</c:v>
                </c:pt>
                <c:pt idx="17">
                  <c:v>0.28614704115905398</c:v>
                </c:pt>
                <c:pt idx="18">
                  <c:v>0.30338465204220971</c:v>
                </c:pt>
                <c:pt idx="19">
                  <c:v>0.32286338242729012</c:v>
                </c:pt>
                <c:pt idx="20">
                  <c:v>0.34471625610901696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59-44E6-8147-7424CDB1CF7D}"/>
            </c:ext>
          </c:extLst>
        </c:ser>
        <c:ser>
          <c:idx val="2"/>
          <c:order val="2"/>
          <c:spPr>
            <a:solidFill>
              <a:schemeClr val="accent4">
                <a:tint val="50000"/>
              </a:schemeClr>
            </a:solidFill>
            <a:ln/>
            <a:effectLst/>
            <a:sp3d prstMaterial="flat"/>
          </c:spPr>
          <c:val>
            <c:numRef>
              <c:f>Sheet1!$D$111:$X$111</c:f>
              <c:numCache>
                <c:formatCode>0.00</c:formatCode>
                <c:ptCount val="21"/>
                <c:pt idx="0">
                  <c:v>0.18291105533018726</c:v>
                </c:pt>
                <c:pt idx="1">
                  <c:v>0.18483656228445258</c:v>
                </c:pt>
                <c:pt idx="2">
                  <c:v>0.18706051239865626</c:v>
                </c:pt>
                <c:pt idx="3">
                  <c:v>0.1896294646672019</c:v>
                </c:pt>
                <c:pt idx="4">
                  <c:v>0.19259723535634804</c:v>
                </c:pt>
                <c:pt idx="5">
                  <c:v>0.19602597433171637</c:v>
                </c:pt>
                <c:pt idx="6">
                  <c:v>0.1999873569249537</c:v>
                </c:pt>
                <c:pt idx="7">
                  <c:v>0.20456387522480787</c:v>
                </c:pt>
                <c:pt idx="8">
                  <c:v>0.20985019177800629</c:v>
                </c:pt>
                <c:pt idx="9">
                  <c:v>0.215954486287883</c:v>
                </c:pt>
                <c:pt idx="10">
                  <c:v>0.22299967760162753</c:v>
                </c:pt>
                <c:pt idx="11">
                  <c:v>0.23112433407864941</c:v>
                </c:pt>
                <c:pt idx="12">
                  <c:v>0.24048299067859302</c:v>
                </c:pt>
                <c:pt idx="13">
                  <c:v>0.25124546860176211</c:v>
                </c:pt>
                <c:pt idx="14">
                  <c:v>0.26359464727848664</c:v>
                </c:pt>
                <c:pt idx="15">
                  <c:v>0.27772198604283832</c:v>
                </c:pt>
                <c:pt idx="16">
                  <c:v>0.29381997295516027</c:v>
                </c:pt>
                <c:pt idx="17">
                  <c:v>0.3120706616948149</c:v>
                </c:pt>
                <c:pt idx="18">
                  <c:v>0.33262965178436266</c:v>
                </c:pt>
                <c:pt idx="19">
                  <c:v>0.3556054062713509</c:v>
                </c:pt>
                <c:pt idx="20">
                  <c:v>0.38103480155251546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59-44E6-8147-7424CDB1CF7D}"/>
            </c:ext>
          </c:extLst>
        </c:ser>
        <c:ser>
          <c:idx val="3"/>
          <c:order val="3"/>
          <c:spPr>
            <a:solidFill>
              <a:schemeClr val="accent4">
                <a:tint val="56000"/>
              </a:schemeClr>
            </a:solidFill>
            <a:ln/>
            <a:effectLst/>
            <a:sp3d prstMaterial="flat"/>
          </c:spPr>
          <c:val>
            <c:numRef>
              <c:f>Sheet1!$D$112:$X$112</c:f>
              <c:numCache>
                <c:formatCode>0.00</c:formatCode>
                <c:ptCount val="21"/>
                <c:pt idx="0">
                  <c:v>0.18582137013349589</c:v>
                </c:pt>
                <c:pt idx="1">
                  <c:v>0.18819805854928642</c:v>
                </c:pt>
                <c:pt idx="2">
                  <c:v>0.19094357761809191</c:v>
                </c:pt>
                <c:pt idx="3">
                  <c:v>0.1941154418864425</c:v>
                </c:pt>
                <c:pt idx="4">
                  <c:v>0.19778003482033918</c:v>
                </c:pt>
                <c:pt idx="5">
                  <c:v>0.20201384951964674</c:v>
                </c:pt>
                <c:pt idx="6">
                  <c:v>0.20690481500432531</c:v>
                </c:pt>
                <c:pt idx="7">
                  <c:v>0.21255365780777769</c:v>
                </c:pt>
                <c:pt idx="8">
                  <c:v>0.21907520948591747</c:v>
                </c:pt>
                <c:pt idx="9">
                  <c:v>0.22659951335728223</c:v>
                </c:pt>
                <c:pt idx="10">
                  <c:v>0.23527250331426316</c:v>
                </c:pt>
                <c:pt idx="11">
                  <c:v>0.24525592000961718</c:v>
                </c:pt>
                <c:pt idx="12">
                  <c:v>0.25672599525505579</c:v>
                </c:pt>
                <c:pt idx="13">
                  <c:v>0.26987028325674439</c:v>
                </c:pt>
                <c:pt idx="14">
                  <c:v>0.28488187331272202</c:v>
                </c:pt>
                <c:pt idx="15">
                  <c:v>0.30195013531963477</c:v>
                </c:pt>
                <c:pt idx="16">
                  <c:v>0.32124721457439465</c:v>
                </c:pt>
                <c:pt idx="17">
                  <c:v>0.3429098283407529</c:v>
                </c:pt>
                <c:pt idx="18">
                  <c:v>0.36701665736244454</c:v>
                </c:pt>
                <c:pt idx="19">
                  <c:v>0.39356285393077234</c:v>
                </c:pt>
                <c:pt idx="20">
                  <c:v>0.4224348293747725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59-44E6-8147-7424CDB1CF7D}"/>
            </c:ext>
          </c:extLst>
        </c:ser>
        <c:ser>
          <c:idx val="4"/>
          <c:order val="4"/>
          <c:spPr>
            <a:solidFill>
              <a:schemeClr val="accent4">
                <a:tint val="62000"/>
              </a:schemeClr>
            </a:solidFill>
            <a:ln/>
            <a:effectLst/>
            <a:sp3d prstMaterial="flat"/>
          </c:spPr>
          <c:val>
            <c:numRef>
              <c:f>Sheet1!$D$113:$X$113</c:f>
              <c:numCache>
                <c:formatCode>0.00</c:formatCode>
                <c:ptCount val="21"/>
                <c:pt idx="0">
                  <c:v>0.18941377446609997</c:v>
                </c:pt>
                <c:pt idx="1">
                  <c:v>0.19234805095121121</c:v>
                </c:pt>
                <c:pt idx="2">
                  <c:v>0.19573808011406846</c:v>
                </c:pt>
                <c:pt idx="3">
                  <c:v>0.19965474266508326</c:v>
                </c:pt>
                <c:pt idx="4">
                  <c:v>0.20417963162859115</c:v>
                </c:pt>
                <c:pt idx="5">
                  <c:v>0.20940640314193965</c:v>
                </c:pt>
                <c:pt idx="6">
                  <c:v>0.21544212722206438</c:v>
                </c:pt>
                <c:pt idx="7">
                  <c:v>0.22240852527851843</c:v>
                </c:pt>
                <c:pt idx="8">
                  <c:v>0.23044291377949061</c:v>
                </c:pt>
                <c:pt idx="9">
                  <c:v>0.23969858086337834</c:v>
                </c:pt>
                <c:pt idx="10">
                  <c:v>0.2503442023287632</c:v>
                </c:pt>
                <c:pt idx="11">
                  <c:v>0.26256175884835364</c:v>
                </c:pt>
                <c:pt idx="12">
                  <c:v>0.27654226323224013</c:v>
                </c:pt>
                <c:pt idx="13">
                  <c:v>0.29247848203787202</c:v>
                </c:pt>
                <c:pt idx="14">
                  <c:v>0.31055380773256935</c:v>
                </c:pt>
                <c:pt idx="15">
                  <c:v>0.33092661070989138</c:v>
                </c:pt>
                <c:pt idx="16">
                  <c:v>0.35370990735542035</c:v>
                </c:pt>
                <c:pt idx="17">
                  <c:v>0.37894714206266839</c:v>
                </c:pt>
                <c:pt idx="18">
                  <c:v>0.40658632335711942</c:v>
                </c:pt>
                <c:pt idx="19">
                  <c:v>0.4364564868078194</c:v>
                </c:pt>
                <c:pt idx="20">
                  <c:v>0.46825197062813889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59-44E6-8147-7424CDB1CF7D}"/>
            </c:ext>
          </c:extLst>
        </c:ser>
        <c:ser>
          <c:idx val="5"/>
          <c:order val="5"/>
          <c:spPr>
            <a:solidFill>
              <a:schemeClr val="accent4">
                <a:tint val="69000"/>
              </a:schemeClr>
            </a:solidFill>
            <a:ln/>
            <a:effectLst/>
            <a:sp3d prstMaterial="flat"/>
          </c:spPr>
          <c:val>
            <c:numRef>
              <c:f>Sheet1!$D$114:$X$114</c:f>
              <c:numCache>
                <c:formatCode>0.00</c:formatCode>
                <c:ptCount val="21"/>
                <c:pt idx="0">
                  <c:v>0.19384911804924823</c:v>
                </c:pt>
                <c:pt idx="1">
                  <c:v>0.19747233724977881</c:v>
                </c:pt>
                <c:pt idx="2">
                  <c:v>0.20165836707031554</c:v>
                </c:pt>
                <c:pt idx="3">
                  <c:v>0.20649418803869315</c:v>
                </c:pt>
                <c:pt idx="4">
                  <c:v>0.21207947162581064</c:v>
                </c:pt>
                <c:pt idx="5">
                  <c:v>0.21852789644217332</c:v>
                </c:pt>
                <c:pt idx="6">
                  <c:v>0.2259682777824332</c:v>
                </c:pt>
                <c:pt idx="7">
                  <c:v>0.23454529063063087</c:v>
                </c:pt>
                <c:pt idx="8">
                  <c:v>0.24441946090323796</c:v>
                </c:pt>
                <c:pt idx="9">
                  <c:v>0.25576596718364614</c:v>
                </c:pt>
                <c:pt idx="10">
                  <c:v>0.26877164372109158</c:v>
                </c:pt>
                <c:pt idx="11">
                  <c:v>0.28362942932904495</c:v>
                </c:pt>
                <c:pt idx="12">
                  <c:v>0.3005294160826929</c:v>
                </c:pt>
                <c:pt idx="13">
                  <c:v>0.3196457011361184</c:v>
                </c:pt>
                <c:pt idx="14">
                  <c:v>0.34111855469738994</c:v>
                </c:pt>
                <c:pt idx="15">
                  <c:v>0.36503212185623296</c:v>
                </c:pt>
                <c:pt idx="16">
                  <c:v>0.39138906589383843</c:v>
                </c:pt>
                <c:pt idx="17">
                  <c:v>0.42008517805576479</c:v>
                </c:pt>
                <c:pt idx="18">
                  <c:v>0.45088869428595491</c:v>
                </c:pt>
                <c:pt idx="19">
                  <c:v>0.48343021247149803</c:v>
                </c:pt>
                <c:pt idx="20">
                  <c:v>0.51720883267369433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59-44E6-8147-7424CDB1CF7D}"/>
            </c:ext>
          </c:extLst>
        </c:ser>
        <c:ser>
          <c:idx val="6"/>
          <c:order val="6"/>
          <c:spPr>
            <a:solidFill>
              <a:schemeClr val="accent4">
                <a:tint val="75000"/>
              </a:schemeClr>
            </a:solidFill>
            <a:ln/>
            <a:effectLst/>
            <a:sp3d prstMaterial="flat"/>
          </c:spPr>
          <c:val>
            <c:numRef>
              <c:f>Sheet1!$D$115:$X$115</c:f>
              <c:numCache>
                <c:formatCode>0.00</c:formatCode>
                <c:ptCount val="21"/>
                <c:pt idx="0">
                  <c:v>0.19932588258805661</c:v>
                </c:pt>
                <c:pt idx="1">
                  <c:v>0.203799720545038</c:v>
                </c:pt>
                <c:pt idx="2">
                  <c:v>0.2089676083330996</c:v>
                </c:pt>
                <c:pt idx="3">
                  <c:v>0.21493551402442732</c:v>
                </c:pt>
                <c:pt idx="4">
                  <c:v>0.22182396756308792</c:v>
                </c:pt>
                <c:pt idx="5">
                  <c:v>0.22976903605418528</c:v>
                </c:pt>
                <c:pt idx="6">
                  <c:v>0.23892275747897329</c:v>
                </c:pt>
                <c:pt idx="7">
                  <c:v>0.24945264971298345</c:v>
                </c:pt>
                <c:pt idx="8">
                  <c:v>0.26153976867891648</c:v>
                </c:pt>
                <c:pt idx="9">
                  <c:v>0.27537463610963719</c:v>
                </c:pt>
                <c:pt idx="10">
                  <c:v>0.2911502286280625</c:v>
                </c:pt>
                <c:pt idx="11">
                  <c:v>0.30905118086165889</c:v>
                </c:pt>
                <c:pt idx="12">
                  <c:v>0.3292385079994164</c:v>
                </c:pt>
                <c:pt idx="13">
                  <c:v>0.35182962891381064</c:v>
                </c:pt>
                <c:pt idx="14">
                  <c:v>0.37687439404643502</c:v>
                </c:pt>
                <c:pt idx="15">
                  <c:v>0.40432923000249898</c:v>
                </c:pt>
                <c:pt idx="16">
                  <c:v>0.43403323645185377</c:v>
                </c:pt>
                <c:pt idx="17">
                  <c:v>0.46569162761705324</c:v>
                </c:pt>
                <c:pt idx="18">
                  <c:v>0.49887251486220702</c:v>
                </c:pt>
                <c:pt idx="19">
                  <c:v>0.53302184441139655</c:v>
                </c:pt>
                <c:pt idx="20">
                  <c:v>0.56749795788998492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59-44E6-8147-7424CDB1CF7D}"/>
            </c:ext>
          </c:extLst>
        </c:ser>
        <c:ser>
          <c:idx val="7"/>
          <c:order val="7"/>
          <c:spPr>
            <a:solidFill>
              <a:schemeClr val="accent4">
                <a:tint val="81000"/>
              </a:schemeClr>
            </a:solidFill>
            <a:ln/>
            <a:effectLst/>
            <a:sp3d prstMaterial="flat"/>
          </c:spPr>
          <c:val>
            <c:numRef>
              <c:f>Sheet1!$D$116:$X$116</c:f>
              <c:numCache>
                <c:formatCode>0.00</c:formatCode>
                <c:ptCount val="21"/>
                <c:pt idx="0">
                  <c:v>0.20608818744078991</c:v>
                </c:pt>
                <c:pt idx="1">
                  <c:v>0.2116106140363801</c:v>
                </c:pt>
                <c:pt idx="2">
                  <c:v>0.21798670799929182</c:v>
                </c:pt>
                <c:pt idx="3">
                  <c:v>0.22534406123485032</c:v>
                </c:pt>
                <c:pt idx="4">
                  <c:v>0.23382608999751936</c:v>
                </c:pt>
                <c:pt idx="5">
                  <c:v>0.24359209837123108</c:v>
                </c:pt>
                <c:pt idx="6">
                  <c:v>0.25481619357224972</c:v>
                </c:pt>
                <c:pt idx="7">
                  <c:v>0.26768445601555318</c:v>
                </c:pt>
                <c:pt idx="8">
                  <c:v>0.2823896191140548</c:v>
                </c:pt>
                <c:pt idx="9">
                  <c:v>0.29912241610950202</c:v>
                </c:pt>
                <c:pt idx="10">
                  <c:v>0.31805878568985579</c:v>
                </c:pt>
                <c:pt idx="11">
                  <c:v>0.33934241246054964</c:v>
                </c:pt>
                <c:pt idx="12">
                  <c:v>0.3630627475514383</c:v>
                </c:pt>
                <c:pt idx="13">
                  <c:v>0.38922980579578059</c:v>
                </c:pt>
                <c:pt idx="14">
                  <c:v>0.4177486273649107</c:v>
                </c:pt>
                <c:pt idx="15">
                  <c:v>0.44839801930821926</c:v>
                </c:pt>
                <c:pt idx="16">
                  <c:v>0.4808194201232201</c:v>
                </c:pt>
                <c:pt idx="17">
                  <c:v>0.51452160136338587</c:v>
                </c:pt>
                <c:pt idx="18">
                  <c:v>0.54890473825217867</c:v>
                </c:pt>
                <c:pt idx="19">
                  <c:v>0.58330316910108559</c:v>
                </c:pt>
                <c:pt idx="20">
                  <c:v>0.61704103760147733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F59-44E6-8147-7424CDB1CF7D}"/>
            </c:ext>
          </c:extLst>
        </c:ser>
        <c:ser>
          <c:idx val="8"/>
          <c:order val="8"/>
          <c:spPr>
            <a:solidFill>
              <a:schemeClr val="accent4">
                <a:tint val="88000"/>
              </a:schemeClr>
            </a:solidFill>
            <a:ln/>
            <a:effectLst/>
            <a:sp3d prstMaterial="flat"/>
          </c:spPr>
          <c:val>
            <c:numRef>
              <c:f>Sheet1!$D$117:$X$117</c:f>
              <c:numCache>
                <c:formatCode>0.00</c:formatCode>
                <c:ptCount val="21"/>
                <c:pt idx="0">
                  <c:v>0.21443458412155048</c:v>
                </c:pt>
                <c:pt idx="1">
                  <c:v>0.22124593412920851</c:v>
                </c:pt>
                <c:pt idx="2">
                  <c:v>0.22910262280071467</c:v>
                </c:pt>
                <c:pt idx="3">
                  <c:v>0.23815543519317267</c:v>
                </c:pt>
                <c:pt idx="4">
                  <c:v>0.24857071960286886</c:v>
                </c:pt>
                <c:pt idx="5">
                  <c:v>0.26052858244545513</c:v>
                </c:pt>
                <c:pt idx="6">
                  <c:v>0.27421901147808192</c:v>
                </c:pt>
                <c:pt idx="7">
                  <c:v>0.28983512701505598</c:v>
                </c:pt>
                <c:pt idx="8">
                  <c:v>0.30756271153464443</c:v>
                </c:pt>
                <c:pt idx="9">
                  <c:v>0.32756530118897081</c:v>
                </c:pt>
                <c:pt idx="10">
                  <c:v>0.34996456807366855</c:v>
                </c:pt>
                <c:pt idx="11">
                  <c:v>0.37481660685593154</c:v>
                </c:pt>
                <c:pt idx="12">
                  <c:v>0.40208611161505475</c:v>
                </c:pt>
                <c:pt idx="13">
                  <c:v>0.43162214055169873</c:v>
                </c:pt>
                <c:pt idx="14">
                  <c:v>0.46314076138201288</c:v>
                </c:pt>
                <c:pt idx="15">
                  <c:v>0.49622058159062071</c:v>
                </c:pt>
                <c:pt idx="16">
                  <c:v>0.53031614905063296</c:v>
                </c:pt>
                <c:pt idx="17">
                  <c:v>0.56479102562058991</c:v>
                </c:pt>
                <c:pt idx="18">
                  <c:v>0.59896749850658226</c:v>
                </c:pt>
                <c:pt idx="19">
                  <c:v>0.63218498611820195</c:v>
                </c:pt>
                <c:pt idx="20">
                  <c:v>0.66385627505765488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59-44E6-8147-7424CDB1CF7D}"/>
            </c:ext>
          </c:extLst>
        </c:ser>
        <c:ser>
          <c:idx val="9"/>
          <c:order val="9"/>
          <c:spPr>
            <a:solidFill>
              <a:schemeClr val="accent4">
                <a:tint val="94000"/>
              </a:schemeClr>
            </a:solidFill>
            <a:ln/>
            <a:effectLst/>
            <a:sp3d prstMaterial="flat"/>
          </c:spPr>
          <c:val>
            <c:numRef>
              <c:f>Sheet1!$D$118:$X$118</c:f>
              <c:numCache>
                <c:formatCode>0.00</c:formatCode>
                <c:ptCount val="21"/>
                <c:pt idx="0">
                  <c:v>0.22472678978061159</c:v>
                </c:pt>
                <c:pt idx="1">
                  <c:v>0.23311481986973651</c:v>
                </c:pt>
                <c:pt idx="2">
                  <c:v>0.24277374415989528</c:v>
                </c:pt>
                <c:pt idx="3">
                  <c:v>0.25387658138867963</c:v>
                </c:pt>
                <c:pt idx="4">
                  <c:v>0.26660862568473326</c:v>
                </c:pt>
                <c:pt idx="5">
                  <c:v>0.28116235199281525</c:v>
                </c:pt>
                <c:pt idx="6">
                  <c:v>0.29772905591480026</c:v>
                </c:pt>
                <c:pt idx="7">
                  <c:v>0.3164864096889296</c:v>
                </c:pt>
                <c:pt idx="8">
                  <c:v>0.33758137579959896</c:v>
                </c:pt>
                <c:pt idx="9">
                  <c:v>0.36110855413499215</c:v>
                </c:pt>
                <c:pt idx="10">
                  <c:v>0.38708515079525346</c:v>
                </c:pt>
                <c:pt idx="11">
                  <c:v>0.41542532036149904</c:v>
                </c:pt>
                <c:pt idx="12">
                  <c:v>0.44591836906997789</c:v>
                </c:pt>
                <c:pt idx="13">
                  <c:v>0.478216603136153</c:v>
                </c:pt>
                <c:pt idx="14">
                  <c:v>0.51183861469729763</c:v>
                </c:pt>
                <c:pt idx="15">
                  <c:v>0.54619178919639566</c:v>
                </c:pt>
                <c:pt idx="16">
                  <c:v>0.58061373978784059</c:v>
                </c:pt>
                <c:pt idx="17">
                  <c:v>0.61442725591380065</c:v>
                </c:pt>
                <c:pt idx="18">
                  <c:v>0.64699911692857359</c:v>
                </c:pt>
                <c:pt idx="19">
                  <c:v>0.6777916704946364</c:v>
                </c:pt>
                <c:pt idx="20">
                  <c:v>0.70639816020759649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59-44E6-8147-7424CDB1CF7D}"/>
            </c:ext>
          </c:extLst>
        </c:ser>
        <c:ser>
          <c:idx val="10"/>
          <c:order val="10"/>
          <c:spPr>
            <a:solidFill>
              <a:schemeClr val="accent4"/>
            </a:solidFill>
            <a:ln/>
            <a:effectLst/>
            <a:sp3d prstMaterial="flat"/>
          </c:spPr>
          <c:val>
            <c:numRef>
              <c:f>Sheet1!$D$119:$X$119</c:f>
              <c:numCache>
                <c:formatCode>0.00</c:formatCode>
                <c:ptCount val="21"/>
                <c:pt idx="0">
                  <c:v>0.23739652920457233</c:v>
                </c:pt>
                <c:pt idx="1">
                  <c:v>0.24769832122722091</c:v>
                </c:pt>
                <c:pt idx="2">
                  <c:v>0.25952810594119341</c:v>
                </c:pt>
                <c:pt idx="3">
                  <c:v>0.27307529585063195</c:v>
                </c:pt>
                <c:pt idx="4">
                  <c:v>0.28853309061612425</c:v>
                </c:pt>
                <c:pt idx="5">
                  <c:v>0.30608832856457185</c:v>
                </c:pt>
                <c:pt idx="6">
                  <c:v>0.32590694524582658</c:v>
                </c:pt>
                <c:pt idx="7">
                  <c:v>0.3481147183807049</c:v>
                </c:pt>
                <c:pt idx="8">
                  <c:v>0.37277382531301329</c:v>
                </c:pt>
                <c:pt idx="9">
                  <c:v>0.39985707499266532</c:v>
                </c:pt>
                <c:pt idx="10">
                  <c:v>0.42922337365978241</c:v>
                </c:pt>
                <c:pt idx="11">
                  <c:v>0.46059961217855644</c:v>
                </c:pt>
                <c:pt idx="12">
                  <c:v>0.49357497595422212</c:v>
                </c:pt>
                <c:pt idx="13">
                  <c:v>0.52761282052921421</c:v>
                </c:pt>
                <c:pt idx="14">
                  <c:v>0.56208223954598513</c:v>
                </c:pt>
                <c:pt idx="15">
                  <c:v>0.59630669894440058</c:v>
                </c:pt>
                <c:pt idx="16">
                  <c:v>0.62962213388104549</c:v>
                </c:pt>
                <c:pt idx="17">
                  <c:v>0.66143376177128521</c:v>
                </c:pt>
                <c:pt idx="18">
                  <c:v>0.69126104995700499</c:v>
                </c:pt>
                <c:pt idx="19">
                  <c:v>0.71876377555522186</c:v>
                </c:pt>
                <c:pt idx="20">
                  <c:v>0.74374738117472206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F59-44E6-8147-7424CDB1CF7D}"/>
            </c:ext>
          </c:extLst>
        </c:ser>
        <c:ser>
          <c:idx val="11"/>
          <c:order val="11"/>
          <c:spPr>
            <a:solidFill>
              <a:schemeClr val="accent4">
                <a:shade val="93000"/>
              </a:schemeClr>
            </a:solidFill>
            <a:ln/>
            <a:effectLst/>
            <a:sp3d prstMaterial="flat"/>
          </c:spPr>
          <c:val>
            <c:numRef>
              <c:f>Sheet1!$D$120:$X$120</c:f>
              <c:numCache>
                <c:formatCode>0.00</c:formatCode>
                <c:ptCount val="21"/>
                <c:pt idx="0">
                  <c:v>0.25294703787616335</c:v>
                </c:pt>
                <c:pt idx="1">
                  <c:v>0.26554405822328603</c:v>
                </c:pt>
                <c:pt idx="2">
                  <c:v>0.27994753675514467</c:v>
                </c:pt>
                <c:pt idx="3">
                  <c:v>0.29634925481035934</c:v>
                </c:pt>
                <c:pt idx="4">
                  <c:v>0.31492851253590604</c:v>
                </c:pt>
                <c:pt idx="5">
                  <c:v>0.33583541585175558</c:v>
                </c:pt>
                <c:pt idx="6">
                  <c:v>0.35916955725580046</c:v>
                </c:pt>
                <c:pt idx="7">
                  <c:v>0.38495517316180139</c:v>
                </c:pt>
                <c:pt idx="8">
                  <c:v>0.41311539475147724</c:v>
                </c:pt>
                <c:pt idx="9">
                  <c:v>0.4434499492092453</c:v>
                </c:pt>
                <c:pt idx="10">
                  <c:v>0.47562202869224757</c:v>
                </c:pt>
                <c:pt idx="11">
                  <c:v>0.50916018514180461</c:v>
                </c:pt>
                <c:pt idx="12">
                  <c:v>0.54347927321981915</c:v>
                </c:pt>
                <c:pt idx="13">
                  <c:v>0.57792052578751552</c:v>
                </c:pt>
                <c:pt idx="14">
                  <c:v>0.61180574759824535</c:v>
                </c:pt>
                <c:pt idx="15">
                  <c:v>0.64449623047770455</c:v>
                </c:pt>
                <c:pt idx="16">
                  <c:v>0.6754452751264306</c:v>
                </c:pt>
                <c:pt idx="17">
                  <c:v>0.70423502344895583</c:v>
                </c:pt>
                <c:pt idx="18">
                  <c:v>0.73059287585289723</c:v>
                </c:pt>
                <c:pt idx="19">
                  <c:v>0.7543881155818003</c:v>
                </c:pt>
                <c:pt idx="20">
                  <c:v>0.77561348013524045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59-44E6-8147-7424CDB1CF7D}"/>
            </c:ext>
          </c:extLst>
        </c:ser>
        <c:ser>
          <c:idx val="12"/>
          <c:order val="12"/>
          <c:spPr>
            <a:solidFill>
              <a:schemeClr val="accent4">
                <a:shade val="87000"/>
              </a:schemeClr>
            </a:solidFill>
            <a:ln/>
            <a:effectLst/>
            <a:sp3d prstMaterial="flat"/>
          </c:spPr>
          <c:val>
            <c:numRef>
              <c:f>Sheet1!$D$121:$X$121</c:f>
              <c:numCache>
                <c:formatCode>0.00</c:formatCode>
                <c:ptCount val="21"/>
                <c:pt idx="0">
                  <c:v>0.27194339548843033</c:v>
                </c:pt>
                <c:pt idx="1">
                  <c:v>0.28724403202898929</c:v>
                </c:pt>
                <c:pt idx="2">
                  <c:v>0.3046279591917766</c:v>
                </c:pt>
                <c:pt idx="3">
                  <c:v>0.32426339264601178</c:v>
                </c:pt>
                <c:pt idx="4">
                  <c:v>0.34628006987887583</c:v>
                </c:pt>
                <c:pt idx="5">
                  <c:v>0.37074608977697066</c:v>
                </c:pt>
                <c:pt idx="6">
                  <c:v>0.39764222176728858</c:v>
                </c:pt>
                <c:pt idx="7">
                  <c:v>0.42683710495759769</c:v>
                </c:pt>
                <c:pt idx="8">
                  <c:v>0.45806841539000676</c:v>
                </c:pt>
                <c:pt idx="9">
                  <c:v>0.49093598859039023</c:v>
                </c:pt>
                <c:pt idx="10">
                  <c:v>0.524912184261351</c:v>
                </c:pt>
                <c:pt idx="11">
                  <c:v>0.55937193253480677</c:v>
                </c:pt>
                <c:pt idx="12">
                  <c:v>0.59364024301650997</c:v>
                </c:pt>
                <c:pt idx="13">
                  <c:v>0.62704992450921104</c:v>
                </c:pt>
                <c:pt idx="14">
                  <c:v>0.65899890699758623</c:v>
                </c:pt>
                <c:pt idx="15">
                  <c:v>0.68899645863851755</c:v>
                </c:pt>
                <c:pt idx="16">
                  <c:v>0.7166908690260233</c:v>
                </c:pt>
                <c:pt idx="17">
                  <c:v>0.7418763750122207</c:v>
                </c:pt>
                <c:pt idx="18">
                  <c:v>0.76448209378124821</c:v>
                </c:pt>
                <c:pt idx="19">
                  <c:v>0.78454884817851311</c:v>
                </c:pt>
                <c:pt idx="20">
                  <c:v>0.80220052576103229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59-44E6-8147-7424CDB1CF7D}"/>
            </c:ext>
          </c:extLst>
        </c:ser>
        <c:ser>
          <c:idx val="13"/>
          <c:order val="13"/>
          <c:spPr>
            <a:solidFill>
              <a:schemeClr val="accent4">
                <a:shade val="80000"/>
              </a:schemeClr>
            </a:solidFill>
            <a:ln/>
            <a:effectLst/>
            <a:sp3d prstMaterial="flat"/>
          </c:spPr>
          <c:val>
            <c:numRef>
              <c:f>Sheet1!$D$122:$X$122</c:f>
              <c:numCache>
                <c:formatCode>0.00</c:formatCode>
                <c:ptCount val="21"/>
                <c:pt idx="0">
                  <c:v>0.29498293096426348</c:v>
                </c:pt>
                <c:pt idx="1">
                  <c:v>0.31338503165505049</c:v>
                </c:pt>
                <c:pt idx="2">
                  <c:v>0.33410450080200466</c:v>
                </c:pt>
                <c:pt idx="3">
                  <c:v>0.35724576860097923</c:v>
                </c:pt>
                <c:pt idx="4">
                  <c:v>0.38283994033197283</c:v>
                </c:pt>
                <c:pt idx="5">
                  <c:v>0.41081898290427471</c:v>
                </c:pt>
                <c:pt idx="6">
                  <c:v>0.44099296012662603</c:v>
                </c:pt>
                <c:pt idx="7">
                  <c:v>0.47303595959684791</c:v>
                </c:pt>
                <c:pt idx="8">
                  <c:v>0.50648662240566944</c:v>
                </c:pt>
                <c:pt idx="9">
                  <c:v>0.5407675228152673</c:v>
                </c:pt>
                <c:pt idx="10">
                  <c:v>0.57522385345209315</c:v>
                </c:pt>
                <c:pt idx="11">
                  <c:v>0.60917680457644297</c:v>
                </c:pt>
                <c:pt idx="12">
                  <c:v>0.64198251016335817</c:v>
                </c:pt>
                <c:pt idx="13">
                  <c:v>0.67308545413968068</c:v>
                </c:pt>
                <c:pt idx="14">
                  <c:v>0.70205677780429865</c:v>
                </c:pt>
                <c:pt idx="15">
                  <c:v>0.72861234614677584</c:v>
                </c:pt>
                <c:pt idx="16">
                  <c:v>0.7526107972593733</c:v>
                </c:pt>
                <c:pt idx="17">
                  <c:v>0.77403606800661884</c:v>
                </c:pt>
                <c:pt idx="18">
                  <c:v>0.792970909071262</c:v>
                </c:pt>
                <c:pt idx="19">
                  <c:v>0.80956770675754941</c:v>
                </c:pt>
                <c:pt idx="20">
                  <c:v>0.82402133169907632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59-44E6-8147-7424CDB1CF7D}"/>
            </c:ext>
          </c:extLst>
        </c:ser>
        <c:ser>
          <c:idx val="14"/>
          <c:order val="14"/>
          <c:spPr>
            <a:solidFill>
              <a:schemeClr val="accent4">
                <a:shade val="74000"/>
              </a:schemeClr>
            </a:solidFill>
            <a:ln/>
            <a:effectLst/>
            <a:sp3d prstMaterial="flat"/>
          </c:spPr>
          <c:val>
            <c:numRef>
              <c:f>Sheet1!$D$123:$X$123</c:f>
              <c:numCache>
                <c:formatCode>0.00</c:formatCode>
                <c:ptCount val="21"/>
                <c:pt idx="0">
                  <c:v>0.32263459345122353</c:v>
                </c:pt>
                <c:pt idx="1">
                  <c:v>0.34446060919033322</c:v>
                </c:pt>
                <c:pt idx="2">
                  <c:v>0.36873343621379562</c:v>
                </c:pt>
                <c:pt idx="3">
                  <c:v>0.39544164844534885</c:v>
                </c:pt>
                <c:pt idx="4">
                  <c:v>0.42446349824846247</c:v>
                </c:pt>
                <c:pt idx="5">
                  <c:v>0.45554740145979533</c:v>
                </c:pt>
                <c:pt idx="6">
                  <c:v>0.48830390641948118</c:v>
                </c:pt>
                <c:pt idx="7">
                  <c:v>0.52221456385347842</c:v>
                </c:pt>
                <c:pt idx="8">
                  <c:v>0.55666043794063935</c:v>
                </c:pt>
                <c:pt idx="9">
                  <c:v>0.59096844447650887</c:v>
                </c:pt>
                <c:pt idx="10">
                  <c:v>0.62446862603515707</c:v>
                </c:pt>
                <c:pt idx="11">
                  <c:v>0.65655191485027042</c:v>
                </c:pt>
                <c:pt idx="12">
                  <c:v>0.68671755216264563</c:v>
                </c:pt>
                <c:pt idx="13">
                  <c:v>0.71460238130479059</c:v>
                </c:pt>
                <c:pt idx="14">
                  <c:v>0.73998936176433094</c:v>
                </c:pt>
                <c:pt idx="15">
                  <c:v>0.762797729409465</c:v>
                </c:pt>
                <c:pt idx="16">
                  <c:v>0.78306052933969361</c:v>
                </c:pt>
                <c:pt idx="17">
                  <c:v>0.80089618112284311</c:v>
                </c:pt>
                <c:pt idx="18">
                  <c:v>0.81647977054282606</c:v>
                </c:pt>
                <c:pt idx="19">
                  <c:v>0.83001785583142207</c:v>
                </c:pt>
                <c:pt idx="20">
                  <c:v>0.84172860725017196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F59-44E6-8147-7424CDB1CF7D}"/>
            </c:ext>
          </c:extLst>
        </c:ser>
        <c:ser>
          <c:idx val="15"/>
          <c:order val="15"/>
          <c:spPr>
            <a:solidFill>
              <a:schemeClr val="accent4">
                <a:shade val="68000"/>
              </a:schemeClr>
            </a:solidFill>
            <a:ln/>
            <a:effectLst/>
            <a:sp3d prstMaterial="flat"/>
          </c:spPr>
          <c:val>
            <c:numRef>
              <c:f>Sheet1!$D$124:$X$124</c:f>
              <c:numCache>
                <c:formatCode>0.00</c:formatCode>
                <c:ptCount val="21"/>
                <c:pt idx="0">
                  <c:v>0.35533719597291452</c:v>
                </c:pt>
                <c:pt idx="1">
                  <c:v>0.38073951496770259</c:v>
                </c:pt>
                <c:pt idx="2">
                  <c:v>0.40853621187339179</c:v>
                </c:pt>
                <c:pt idx="3">
                  <c:v>0.43854759695118917</c:v>
                </c:pt>
                <c:pt idx="4">
                  <c:v>0.47045865418222443</c:v>
                </c:pt>
                <c:pt idx="5">
                  <c:v>0.50381823328890574</c:v>
                </c:pt>
                <c:pt idx="6">
                  <c:v>0.5380568697009539</c:v>
                </c:pt>
                <c:pt idx="7">
                  <c:v>0.57252405068555223</c:v>
                </c:pt>
                <c:pt idx="8">
                  <c:v>0.60654072239174983</c:v>
                </c:pt>
                <c:pt idx="9">
                  <c:v>0.6394581962334055</c:v>
                </c:pt>
                <c:pt idx="10">
                  <c:v>0.67071237889801549</c:v>
                </c:pt>
                <c:pt idx="11">
                  <c:v>0.69986352257266182</c:v>
                </c:pt>
                <c:pt idx="12">
                  <c:v>0.72661594230094673</c:v>
                </c:pt>
                <c:pt idx="13">
                  <c:v>0.750817519493997</c:v>
                </c:pt>
                <c:pt idx="14">
                  <c:v>0.77244322330673365</c:v>
                </c:pt>
                <c:pt idx="15">
                  <c:v>0.7915690913818727</c:v>
                </c:pt>
                <c:pt idx="16">
                  <c:v>0.80834306661475752</c:v>
                </c:pt>
                <c:pt idx="17">
                  <c:v>0.82295756292368505</c:v>
                </c:pt>
                <c:pt idx="18">
                  <c:v>0.8356266080723983</c:v>
                </c:pt>
                <c:pt idx="19">
                  <c:v>0.84656861061887756</c:v>
                </c:pt>
                <c:pt idx="20">
                  <c:v>0.855994554009751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59-44E6-8147-7424CDB1CF7D}"/>
            </c:ext>
          </c:extLst>
        </c:ser>
        <c:ser>
          <c:idx val="16"/>
          <c:order val="16"/>
          <c:spPr>
            <a:solidFill>
              <a:schemeClr val="accent4">
                <a:shade val="61000"/>
              </a:schemeClr>
            </a:solidFill>
            <a:ln/>
            <a:effectLst/>
            <a:sp3d prstMaterial="flat"/>
          </c:spPr>
          <c:val>
            <c:numRef>
              <c:f>Sheet1!$D$125:$X$125</c:f>
              <c:numCache>
                <c:formatCode>0.00</c:formatCode>
                <c:ptCount val="21"/>
                <c:pt idx="0">
                  <c:v>0.39325544645110244</c:v>
                </c:pt>
                <c:pt idx="1">
                  <c:v>0.42210271195461091</c:v>
                </c:pt>
                <c:pt idx="2">
                  <c:v>0.45303679582873951</c:v>
                </c:pt>
                <c:pt idx="3">
                  <c:v>0.48567901252117907</c:v>
                </c:pt>
                <c:pt idx="4">
                  <c:v>0.51952028093517821</c:v>
                </c:pt>
                <c:pt idx="5">
                  <c:v>0.55394808941755758</c:v>
                </c:pt>
                <c:pt idx="6">
                  <c:v>0.58829161964141141</c:v>
                </c:pt>
                <c:pt idx="7">
                  <c:v>0.62187851087063972</c:v>
                </c:pt>
                <c:pt idx="8">
                  <c:v>0.65409299489420514</c:v>
                </c:pt>
                <c:pt idx="9">
                  <c:v>0.68442446849036143</c:v>
                </c:pt>
                <c:pt idx="10">
                  <c:v>0.71249837999119814</c:v>
                </c:pt>
                <c:pt idx="11">
                  <c:v>0.73808634757932223</c:v>
                </c:pt>
                <c:pt idx="12">
                  <c:v>0.76109758335923849</c:v>
                </c:pt>
                <c:pt idx="13">
                  <c:v>0.78155717590859575</c:v>
                </c:pt>
                <c:pt idx="14">
                  <c:v>0.7995778973780665</c:v>
                </c:pt>
                <c:pt idx="15">
                  <c:v>0.81533135242440813</c:v>
                </c:pt>
                <c:pt idx="16">
                  <c:v>0.82902241857412096</c:v>
                </c:pt>
                <c:pt idx="17">
                  <c:v>0.84086893953709196</c:v>
                </c:pt>
                <c:pt idx="18">
                  <c:v>0.85108706937838008</c:v>
                </c:pt>
                <c:pt idx="19">
                  <c:v>0.85988169858971419</c:v>
                </c:pt>
                <c:pt idx="20">
                  <c:v>0.86744095360262941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F59-44E6-8147-7424CDB1CF7D}"/>
            </c:ext>
          </c:extLst>
        </c:ser>
        <c:ser>
          <c:idx val="17"/>
          <c:order val="17"/>
          <c:spPr>
            <a:solidFill>
              <a:schemeClr val="accent4">
                <a:shade val="55000"/>
              </a:schemeClr>
            </a:solidFill>
            <a:ln/>
            <a:effectLst/>
            <a:sp3d prstMaterial="flat"/>
          </c:spPr>
          <c:val>
            <c:numRef>
              <c:f>Sheet1!$D$126:$X$126</c:f>
              <c:numCache>
                <c:formatCode>0.00</c:formatCode>
                <c:ptCount val="21"/>
                <c:pt idx="0">
                  <c:v>0.43611404951108501</c:v>
                </c:pt>
                <c:pt idx="1">
                  <c:v>0.46789036621595581</c:v>
                </c:pt>
                <c:pt idx="2">
                  <c:v>0.50115532153526576</c:v>
                </c:pt>
                <c:pt idx="3">
                  <c:v>0.53534764463997686</c:v>
                </c:pt>
                <c:pt idx="4">
                  <c:v>0.56982144676447255</c:v>
                </c:pt>
                <c:pt idx="5">
                  <c:v>0.60389780006546889</c:v>
                </c:pt>
                <c:pt idx="6">
                  <c:v>0.63692353391152601</c:v>
                </c:pt>
                <c:pt idx="7">
                  <c:v>0.66832622642857353</c:v>
                </c:pt>
                <c:pt idx="8">
                  <c:v>0.69765536261082683</c:v>
                </c:pt>
                <c:pt idx="9">
                  <c:v>0.7246037021548547</c:v>
                </c:pt>
                <c:pt idx="10">
                  <c:v>0.74900826445016333</c:v>
                </c:pt>
                <c:pt idx="11">
                  <c:v>0.77083488670028089</c:v>
                </c:pt>
                <c:pt idx="12">
                  <c:v>0.7901527106804469</c:v>
                </c:pt>
                <c:pt idx="13">
                  <c:v>0.80710506482675692</c:v>
                </c:pt>
                <c:pt idx="14">
                  <c:v>0.82188176453308748</c:v>
                </c:pt>
                <c:pt idx="15">
                  <c:v>0.83469583679446313</c:v>
                </c:pt>
                <c:pt idx="16">
                  <c:v>0.84576583972112107</c:v>
                </c:pt>
                <c:pt idx="17">
                  <c:v>0.85530365568355071</c:v>
                </c:pt>
                <c:pt idx="18">
                  <c:v>0.86350693030370396</c:v>
                </c:pt>
                <c:pt idx="19">
                  <c:v>0.87055507894669959</c:v>
                </c:pt>
                <c:pt idx="20">
                  <c:v>0.87660781508891883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F59-44E6-8147-7424CDB1CF7D}"/>
            </c:ext>
          </c:extLst>
        </c:ser>
        <c:ser>
          <c:idx val="18"/>
          <c:order val="18"/>
          <c:spPr>
            <a:solidFill>
              <a:schemeClr val="accent4">
                <a:shade val="49000"/>
              </a:schemeClr>
            </a:solidFill>
            <a:ln/>
            <a:effectLst/>
            <a:sp3d prstMaterial="flat"/>
          </c:spPr>
          <c:val>
            <c:numRef>
              <c:f>Sheet1!$D$127:$X$127</c:f>
              <c:numCache>
                <c:formatCode>0.00</c:formatCode>
                <c:ptCount val="21"/>
                <c:pt idx="0">
                  <c:v>0.48306158601530019</c:v>
                </c:pt>
                <c:pt idx="1">
                  <c:v>0.5168296549927367</c:v>
                </c:pt>
                <c:pt idx="2">
                  <c:v>0.55123522073557985</c:v>
                </c:pt>
                <c:pt idx="3">
                  <c:v>0.58561008722480601</c:v>
                </c:pt>
                <c:pt idx="4">
                  <c:v>0.61927985568826438</c:v>
                </c:pt>
                <c:pt idx="5">
                  <c:v>0.65162236209141522</c:v>
                </c:pt>
                <c:pt idx="6">
                  <c:v>0.68211735128764073</c:v>
                </c:pt>
                <c:pt idx="7">
                  <c:v>0.71037893797470486</c:v>
                </c:pt>
                <c:pt idx="8">
                  <c:v>0.73616734299211983</c:v>
                </c:pt>
                <c:pt idx="9">
                  <c:v>0.75938161685979633</c:v>
                </c:pt>
                <c:pt idx="10">
                  <c:v>0.78003871428408555</c:v>
                </c:pt>
                <c:pt idx="11">
                  <c:v>0.79824557960082587</c:v>
                </c:pt>
                <c:pt idx="12">
                  <c:v>0.8141701773461536</c:v>
                </c:pt>
                <c:pt idx="13">
                  <c:v>0.82801557863481201</c:v>
                </c:pt>
                <c:pt idx="14">
                  <c:v>0.83999921034359182</c:v>
                </c:pt>
                <c:pt idx="15">
                  <c:v>0.85033776665172134</c:v>
                </c:pt>
                <c:pt idx="16">
                  <c:v>0.85923726906581366</c:v>
                </c:pt>
                <c:pt idx="17">
                  <c:v>0.86688728558553574</c:v>
                </c:pt>
                <c:pt idx="18">
                  <c:v>0.87345822044298838</c:v>
                </c:pt>
                <c:pt idx="19">
                  <c:v>0.87910069704074634</c:v>
                </c:pt>
                <c:pt idx="20">
                  <c:v>0.88394625379033798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F59-44E6-8147-7424CDB1CF7D}"/>
            </c:ext>
          </c:extLst>
        </c:ser>
        <c:ser>
          <c:idx val="19"/>
          <c:order val="19"/>
          <c:spPr>
            <a:solidFill>
              <a:schemeClr val="accent4">
                <a:shade val="42000"/>
              </a:schemeClr>
            </a:solidFill>
            <a:ln/>
            <a:effectLst/>
            <a:sp3d prstMaterial="flat"/>
          </c:spPr>
          <c:val>
            <c:numRef>
              <c:f>Sheet1!$D$128:$X$128</c:f>
              <c:numCache>
                <c:formatCode>0.00</c:formatCode>
                <c:ptCount val="21"/>
                <c:pt idx="0">
                  <c:v>0.53264017726125312</c:v>
                </c:pt>
                <c:pt idx="1">
                  <c:v>0.56711637215723032</c:v>
                </c:pt>
                <c:pt idx="2">
                  <c:v>0.60124833994921667</c:v>
                </c:pt>
                <c:pt idx="3">
                  <c:v>0.63437877330753623</c:v>
                </c:pt>
                <c:pt idx="4">
                  <c:v>0.66592717939817114</c:v>
                </c:pt>
                <c:pt idx="5">
                  <c:v>0.69543240836677256</c:v>
                </c:pt>
                <c:pt idx="6">
                  <c:v>0.72257566846582122</c:v>
                </c:pt>
                <c:pt idx="7">
                  <c:v>0.74718301817353638</c:v>
                </c:pt>
                <c:pt idx="8">
                  <c:v>0.76921100158707367</c:v>
                </c:pt>
                <c:pt idx="9">
                  <c:v>0.78872168198508041</c:v>
                </c:pt>
                <c:pt idx="10">
                  <c:v>0.8058536005689203</c:v>
                </c:pt>
                <c:pt idx="11">
                  <c:v>0.82079382974957482</c:v>
                </c:pt>
                <c:pt idx="12">
                  <c:v>0.83375428654753247</c:v>
                </c:pt>
                <c:pt idx="13">
                  <c:v>0.84495360361169791</c:v>
                </c:pt>
                <c:pt idx="14">
                  <c:v>0.85460451606155874</c:v>
                </c:pt>
                <c:pt idx="15">
                  <c:v>0.86290597318977535</c:v>
                </c:pt>
                <c:pt idx="16">
                  <c:v>0.87003890392597238</c:v>
                </c:pt>
                <c:pt idx="17">
                  <c:v>0.87616458128776109</c:v>
                </c:pt>
                <c:pt idx="18">
                  <c:v>0.88142469421389735</c:v>
                </c:pt>
                <c:pt idx="19">
                  <c:v>0.88594244363747843</c:v>
                </c:pt>
                <c:pt idx="20">
                  <c:v>0.88982417707677186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F59-44E6-8147-7424CDB1CF7D}"/>
            </c:ext>
          </c:extLst>
        </c:ser>
        <c:ser>
          <c:idx val="20"/>
          <c:order val="20"/>
          <c:spPr>
            <a:solidFill>
              <a:schemeClr val="accent4">
                <a:shade val="36000"/>
              </a:schemeClr>
            </a:solidFill>
            <a:ln/>
            <a:effectLst/>
            <a:sp3d prstMaterial="flat"/>
          </c:spPr>
          <c:val>
            <c:numRef>
              <c:f>Sheet1!$D$129:$X$129</c:f>
              <c:numCache>
                <c:formatCode>0.00</c:formatCode>
                <c:ptCount val="21"/>
                <c:pt idx="0">
                  <c:v>0.5829241681673708</c:v>
                </c:pt>
                <c:pt idx="1">
                  <c:v>0.61667294129842154</c:v>
                </c:pt>
                <c:pt idx="2">
                  <c:v>0.64914023674185029</c:v>
                </c:pt>
                <c:pt idx="3">
                  <c:v>0.6797963499298898</c:v>
                </c:pt>
                <c:pt idx="4">
                  <c:v>0.70824413348838378</c:v>
                </c:pt>
                <c:pt idx="5">
                  <c:v>0.73423236300666883</c:v>
                </c:pt>
                <c:pt idx="6">
                  <c:v>0.75764979449382786</c:v>
                </c:pt>
                <c:pt idx="7">
                  <c:v>0.77850507309065453</c:v>
                </c:pt>
                <c:pt idx="8">
                  <c:v>0.79689913410202917</c:v>
                </c:pt>
                <c:pt idx="9">
                  <c:v>0.81299614068516834</c:v>
                </c:pt>
                <c:pt idx="10">
                  <c:v>0.8269972290386669</c:v>
                </c:pt>
                <c:pt idx="11">
                  <c:v>0.83911931622266467</c:v>
                </c:pt>
                <c:pt idx="12">
                  <c:v>0.84957957560881758</c:v>
                </c:pt>
                <c:pt idx="13">
                  <c:v>0.85858512454981073</c:v>
                </c:pt>
                <c:pt idx="14">
                  <c:v>0.8663269563629914</c:v>
                </c:pt>
                <c:pt idx="15">
                  <c:v>0.87297702628244211</c:v>
                </c:pt>
                <c:pt idx="16">
                  <c:v>0.87868750084607405</c:v>
                </c:pt>
                <c:pt idx="17">
                  <c:v>0.88359137385013953</c:v>
                </c:pt>
                <c:pt idx="18">
                  <c:v>0.88780386009385925</c:v>
                </c:pt>
                <c:pt idx="19">
                  <c:v>0.89142416093099164</c:v>
                </c:pt>
                <c:pt idx="20">
                  <c:v>0.8945373392560495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F59-44E6-8147-7424CDB1CF7D}"/>
            </c:ext>
          </c:extLst>
        </c:ser>
        <c:bandFmts>
          <c:bandFmt>
            <c:idx val="0"/>
            <c:spPr>
              <a:solidFill>
                <a:schemeClr val="accent4">
                  <a:tint val="43000"/>
                </a:schemeClr>
              </a:solidFill>
              <a:ln/>
              <a:effectLst/>
              <a:sp3d prstMaterial="flat"/>
            </c:spPr>
          </c:bandFmt>
          <c:bandFmt>
            <c:idx val="1"/>
            <c:spPr>
              <a:solidFill>
                <a:schemeClr val="accent4">
                  <a:tint val="56000"/>
                </a:schemeClr>
              </a:solidFill>
              <a:ln/>
              <a:effectLst/>
              <a:sp3d prstMaterial="flat"/>
            </c:spPr>
          </c:bandFmt>
          <c:bandFmt>
            <c:idx val="2"/>
            <c:spPr>
              <a:solidFill>
                <a:schemeClr val="accent4">
                  <a:tint val="69000"/>
                </a:schemeClr>
              </a:solidFill>
              <a:ln/>
              <a:effectLst/>
              <a:sp3d prstMaterial="flat"/>
            </c:spPr>
          </c:bandFmt>
          <c:bandFmt>
            <c:idx val="3"/>
            <c:spPr>
              <a:solidFill>
                <a:schemeClr val="accent4">
                  <a:tint val="81000"/>
                </a:schemeClr>
              </a:solidFill>
              <a:ln/>
              <a:effectLst/>
              <a:sp3d prstMaterial="flat"/>
            </c:spPr>
          </c:bandFmt>
          <c:bandFmt>
            <c:idx val="4"/>
            <c:spPr>
              <a:solidFill>
                <a:schemeClr val="accent4">
                  <a:tint val="94000"/>
                </a:schemeClr>
              </a:solidFill>
              <a:ln/>
              <a:effectLst/>
              <a:sp3d prstMaterial="flat"/>
            </c:spPr>
          </c:bandFmt>
          <c:bandFmt>
            <c:idx val="5"/>
            <c:spPr>
              <a:solidFill>
                <a:schemeClr val="accent4">
                  <a:shade val="93000"/>
                </a:schemeClr>
              </a:solidFill>
              <a:ln/>
              <a:effectLst/>
              <a:sp3d prstMaterial="flat"/>
            </c:spPr>
          </c:bandFmt>
          <c:bandFmt>
            <c:idx val="6"/>
            <c:spPr>
              <a:solidFill>
                <a:schemeClr val="accent4">
                  <a:shade val="80000"/>
                </a:schemeClr>
              </a:solidFill>
              <a:ln/>
              <a:effectLst/>
              <a:sp3d prstMaterial="flat"/>
            </c:spPr>
          </c:bandFmt>
          <c:bandFmt>
            <c:idx val="7"/>
            <c:spPr>
              <a:solidFill>
                <a:schemeClr val="accent4">
                  <a:shade val="68000"/>
                </a:schemeClr>
              </a:solidFill>
              <a:ln/>
              <a:effectLst/>
              <a:sp3d prstMaterial="flat"/>
            </c:spPr>
          </c:bandFmt>
          <c:bandFmt>
            <c:idx val="8"/>
            <c:spPr>
              <a:solidFill>
                <a:schemeClr val="accent4">
                  <a:shade val="55000"/>
                </a:schemeClr>
              </a:solidFill>
              <a:ln/>
              <a:effectLst/>
              <a:sp3d prstMaterial="flat"/>
            </c:spPr>
          </c:bandFmt>
          <c:bandFmt>
            <c:idx val="9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0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1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2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3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  <c:bandFmt>
            <c:idx val="14"/>
            <c:spPr>
              <a:solidFill>
                <a:schemeClr val="accent4">
                  <a:shade val="42000"/>
                </a:schemeClr>
              </a:solidFill>
              <a:ln/>
              <a:effectLst/>
              <a:sp3d prstMaterial="flat"/>
            </c:spPr>
          </c:bandFmt>
        </c:bandFmts>
        <c:axId val="312658688"/>
        <c:axId val="312669504"/>
        <c:axId val="2126312496"/>
      </c:surface3DChart>
      <c:catAx>
        <c:axId val="3126586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69504"/>
        <c:crosses val="autoZero"/>
        <c:auto val="1"/>
        <c:lblAlgn val="ctr"/>
        <c:lblOffset val="100"/>
        <c:noMultiLvlLbl val="0"/>
      </c:catAx>
      <c:valAx>
        <c:axId val="31266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58688"/>
        <c:crosses val="autoZero"/>
        <c:crossBetween val="midCat"/>
      </c:valAx>
      <c:serAx>
        <c:axId val="2126312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6695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chart" Target="../charts/chart2.xml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chart" Target="../charts/chart1.xml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</xdr:colOff>
      <xdr:row>17</xdr:row>
      <xdr:rowOff>160020</xdr:rowOff>
    </xdr:from>
    <xdr:to>
      <xdr:col>2</xdr:col>
      <xdr:colOff>533400</xdr:colOff>
      <xdr:row>20</xdr:row>
      <xdr:rowOff>38100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2540" y="326898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x1</a:t>
          </a:r>
        </a:p>
      </xdr:txBody>
    </xdr:sp>
    <xdr:clientData/>
  </xdr:twoCellAnchor>
  <xdr:twoCellAnchor>
    <xdr:from>
      <xdr:col>2</xdr:col>
      <xdr:colOff>83820</xdr:colOff>
      <xdr:row>22</xdr:row>
      <xdr:rowOff>45720</xdr:rowOff>
    </xdr:from>
    <xdr:to>
      <xdr:col>2</xdr:col>
      <xdr:colOff>563880</xdr:colOff>
      <xdr:row>24</xdr:row>
      <xdr:rowOff>106680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03020" y="406908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x2</a:t>
          </a:r>
        </a:p>
      </xdr:txBody>
    </xdr:sp>
    <xdr:clientData/>
  </xdr:twoCellAnchor>
  <xdr:twoCellAnchor>
    <xdr:from>
      <xdr:col>5</xdr:col>
      <xdr:colOff>114300</xdr:colOff>
      <xdr:row>19</xdr:row>
      <xdr:rowOff>53340</xdr:rowOff>
    </xdr:from>
    <xdr:to>
      <xdr:col>5</xdr:col>
      <xdr:colOff>594360</xdr:colOff>
      <xdr:row>21</xdr:row>
      <xdr:rowOff>114300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62300" y="352806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a1</a:t>
          </a:r>
        </a:p>
      </xdr:txBody>
    </xdr:sp>
    <xdr:clientData/>
  </xdr:twoCellAnchor>
  <xdr:twoCellAnchor>
    <xdr:from>
      <xdr:col>8</xdr:col>
      <xdr:colOff>76200</xdr:colOff>
      <xdr:row>19</xdr:row>
      <xdr:rowOff>53340</xdr:rowOff>
    </xdr:from>
    <xdr:to>
      <xdr:col>8</xdr:col>
      <xdr:colOff>556260</xdr:colOff>
      <xdr:row>21</xdr:row>
      <xdr:rowOff>114300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53000" y="3528060"/>
          <a:ext cx="480060" cy="4267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a2</a:t>
          </a:r>
        </a:p>
      </xdr:txBody>
    </xdr:sp>
    <xdr:clientData/>
  </xdr:twoCellAnchor>
  <xdr:twoCellAnchor>
    <xdr:from>
      <xdr:col>3</xdr:col>
      <xdr:colOff>68580</xdr:colOff>
      <xdr:row>18</xdr:row>
      <xdr:rowOff>160020</xdr:rowOff>
    </xdr:from>
    <xdr:to>
      <xdr:col>5</xdr:col>
      <xdr:colOff>7620</xdr:colOff>
      <xdr:row>20</xdr:row>
      <xdr:rowOff>38100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1897380" y="3451860"/>
          <a:ext cx="1158240" cy="2438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68580</xdr:colOff>
      <xdr:row>21</xdr:row>
      <xdr:rowOff>22860</xdr:rowOff>
    </xdr:from>
    <xdr:to>
      <xdr:col>4</xdr:col>
      <xdr:colOff>579120</xdr:colOff>
      <xdr:row>23</xdr:row>
      <xdr:rowOff>7620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V="1">
          <a:off x="1897380" y="3863340"/>
          <a:ext cx="1120140" cy="3505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91440</xdr:colOff>
      <xdr:row>20</xdr:row>
      <xdr:rowOff>60960</xdr:rowOff>
    </xdr:from>
    <xdr:to>
      <xdr:col>7</xdr:col>
      <xdr:colOff>548640</xdr:colOff>
      <xdr:row>20</xdr:row>
      <xdr:rowOff>60960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3749040" y="3718560"/>
          <a:ext cx="10668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381000</xdr:colOff>
      <xdr:row>18</xdr:row>
      <xdr:rowOff>0</xdr:rowOff>
    </xdr:from>
    <xdr:ext cx="569708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209800" y="329184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w1, b1</a:t>
          </a:r>
        </a:p>
      </xdr:txBody>
    </xdr:sp>
    <xdr:clientData/>
  </xdr:oneCellAnchor>
  <xdr:oneCellAnchor>
    <xdr:from>
      <xdr:col>3</xdr:col>
      <xdr:colOff>487680</xdr:colOff>
      <xdr:row>22</xdr:row>
      <xdr:rowOff>45720</xdr:rowOff>
    </xdr:from>
    <xdr:ext cx="569708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2316480" y="406908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w2, b2</a:t>
          </a:r>
        </a:p>
      </xdr:txBody>
    </xdr:sp>
    <xdr:clientData/>
  </xdr:oneCellAnchor>
  <xdr:oneCellAnchor>
    <xdr:from>
      <xdr:col>6</xdr:col>
      <xdr:colOff>335280</xdr:colOff>
      <xdr:row>20</xdr:row>
      <xdr:rowOff>99060</xdr:rowOff>
    </xdr:from>
    <xdr:ext cx="569708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992880" y="3756660"/>
          <a:ext cx="5697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w3, b3</a:t>
          </a:r>
        </a:p>
      </xdr:txBody>
    </xdr:sp>
    <xdr:clientData/>
  </xdr:oneCellAnchor>
  <xdr:twoCellAnchor editAs="oneCell">
    <xdr:from>
      <xdr:col>0</xdr:col>
      <xdr:colOff>498477</xdr:colOff>
      <xdr:row>28</xdr:row>
      <xdr:rowOff>16934</xdr:rowOff>
    </xdr:from>
    <xdr:to>
      <xdr:col>5</xdr:col>
      <xdr:colOff>10583</xdr:colOff>
      <xdr:row>33</xdr:row>
      <xdr:rowOff>126850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8477" y="5054601"/>
          <a:ext cx="2578098" cy="1006324"/>
        </a:xfrm>
        <a:prstGeom prst="rect">
          <a:avLst/>
        </a:prstGeom>
      </xdr:spPr>
    </xdr:pic>
    <xdr:clientData/>
  </xdr:twoCellAnchor>
  <xdr:twoCellAnchor editAs="oneCell">
    <xdr:from>
      <xdr:col>0</xdr:col>
      <xdr:colOff>444501</xdr:colOff>
      <xdr:row>36</xdr:row>
      <xdr:rowOff>151343</xdr:rowOff>
    </xdr:from>
    <xdr:to>
      <xdr:col>5</xdr:col>
      <xdr:colOff>535516</xdr:colOff>
      <xdr:row>39</xdr:row>
      <xdr:rowOff>85397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4501" y="6628343"/>
          <a:ext cx="3160182" cy="476979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42</xdr:row>
      <xdr:rowOff>59267</xdr:rowOff>
    </xdr:from>
    <xdr:to>
      <xdr:col>3</xdr:col>
      <xdr:colOff>515408</xdr:colOff>
      <xdr:row>45</xdr:row>
      <xdr:rowOff>45142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" y="7615767"/>
          <a:ext cx="1785408" cy="522450"/>
        </a:xfrm>
        <a:prstGeom prst="rect">
          <a:avLst/>
        </a:prstGeom>
      </xdr:spPr>
    </xdr:pic>
    <xdr:clientData/>
  </xdr:twoCellAnchor>
  <xdr:twoCellAnchor editAs="oneCell">
    <xdr:from>
      <xdr:col>0</xdr:col>
      <xdr:colOff>469900</xdr:colOff>
      <xdr:row>52</xdr:row>
      <xdr:rowOff>14817</xdr:rowOff>
    </xdr:from>
    <xdr:to>
      <xdr:col>9</xdr:col>
      <xdr:colOff>106891</xdr:colOff>
      <xdr:row>55</xdr:row>
      <xdr:rowOff>30612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9900" y="9370484"/>
          <a:ext cx="5164666" cy="552370"/>
        </a:xfrm>
        <a:prstGeom prst="rect">
          <a:avLst/>
        </a:prstGeom>
      </xdr:spPr>
    </xdr:pic>
    <xdr:clientData/>
  </xdr:twoCellAnchor>
  <xdr:twoCellAnchor editAs="oneCell">
    <xdr:from>
      <xdr:col>22</xdr:col>
      <xdr:colOff>701675</xdr:colOff>
      <xdr:row>25</xdr:row>
      <xdr:rowOff>123825</xdr:rowOff>
    </xdr:from>
    <xdr:to>
      <xdr:col>27</xdr:col>
      <xdr:colOff>288924</xdr:colOff>
      <xdr:row>29</xdr:row>
      <xdr:rowOff>67144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407092" y="4621742"/>
          <a:ext cx="2772832" cy="662986"/>
        </a:xfrm>
        <a:prstGeom prst="rect">
          <a:avLst/>
        </a:prstGeom>
      </xdr:spPr>
    </xdr:pic>
    <xdr:clientData/>
  </xdr:twoCellAnchor>
  <xdr:twoCellAnchor editAs="oneCell">
    <xdr:from>
      <xdr:col>22</xdr:col>
      <xdr:colOff>716492</xdr:colOff>
      <xdr:row>30</xdr:row>
      <xdr:rowOff>46568</xdr:rowOff>
    </xdr:from>
    <xdr:to>
      <xdr:col>26</xdr:col>
      <xdr:colOff>201084</xdr:colOff>
      <xdr:row>34</xdr:row>
      <xdr:rowOff>66159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21909" y="5444068"/>
          <a:ext cx="2056342" cy="739258"/>
        </a:xfrm>
        <a:prstGeom prst="rect">
          <a:avLst/>
        </a:prstGeom>
      </xdr:spPr>
    </xdr:pic>
    <xdr:clientData/>
  </xdr:twoCellAnchor>
  <xdr:twoCellAnchor editAs="oneCell">
    <xdr:from>
      <xdr:col>23</xdr:col>
      <xdr:colOff>2</xdr:colOff>
      <xdr:row>15</xdr:row>
      <xdr:rowOff>67733</xdr:rowOff>
    </xdr:from>
    <xdr:to>
      <xdr:col>27</xdr:col>
      <xdr:colOff>131235</xdr:colOff>
      <xdr:row>19</xdr:row>
      <xdr:rowOff>75677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435669" y="2766483"/>
          <a:ext cx="2586566" cy="727611"/>
        </a:xfrm>
        <a:prstGeom prst="rect">
          <a:avLst/>
        </a:prstGeom>
      </xdr:spPr>
    </xdr:pic>
    <xdr:clientData/>
  </xdr:twoCellAnchor>
  <xdr:twoCellAnchor editAs="oneCell">
    <xdr:from>
      <xdr:col>22</xdr:col>
      <xdr:colOff>694266</xdr:colOff>
      <xdr:row>20</xdr:row>
      <xdr:rowOff>110068</xdr:rowOff>
    </xdr:from>
    <xdr:to>
      <xdr:col>24</xdr:col>
      <xdr:colOff>582105</xdr:colOff>
      <xdr:row>24</xdr:row>
      <xdr:rowOff>67735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399683" y="3708401"/>
          <a:ext cx="1228747" cy="680508"/>
        </a:xfrm>
        <a:prstGeom prst="rect">
          <a:avLst/>
        </a:prstGeom>
      </xdr:spPr>
    </xdr:pic>
    <xdr:clientData/>
  </xdr:twoCellAnchor>
  <xdr:twoCellAnchor editAs="oneCell">
    <xdr:from>
      <xdr:col>28</xdr:col>
      <xdr:colOff>56092</xdr:colOff>
      <xdr:row>25</xdr:row>
      <xdr:rowOff>99483</xdr:rowOff>
    </xdr:from>
    <xdr:to>
      <xdr:col>32</xdr:col>
      <xdr:colOff>370415</xdr:colOff>
      <xdr:row>29</xdr:row>
      <xdr:rowOff>45977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60925" y="4597400"/>
          <a:ext cx="2772832" cy="662986"/>
        </a:xfrm>
        <a:prstGeom prst="rect">
          <a:avLst/>
        </a:prstGeom>
      </xdr:spPr>
    </xdr:pic>
    <xdr:clientData/>
  </xdr:twoCellAnchor>
  <xdr:twoCellAnchor editAs="oneCell">
    <xdr:from>
      <xdr:col>28</xdr:col>
      <xdr:colOff>70909</xdr:colOff>
      <xdr:row>30</xdr:row>
      <xdr:rowOff>28576</xdr:rowOff>
    </xdr:from>
    <xdr:to>
      <xdr:col>31</xdr:col>
      <xdr:colOff>285751</xdr:colOff>
      <xdr:row>34</xdr:row>
      <xdr:rowOff>44992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575742" y="5426076"/>
          <a:ext cx="2056342" cy="739258"/>
        </a:xfrm>
        <a:prstGeom prst="rect">
          <a:avLst/>
        </a:prstGeom>
      </xdr:spPr>
    </xdr:pic>
    <xdr:clientData/>
  </xdr:twoCellAnchor>
  <xdr:twoCellAnchor editAs="oneCell">
    <xdr:from>
      <xdr:col>28</xdr:col>
      <xdr:colOff>27516</xdr:colOff>
      <xdr:row>15</xdr:row>
      <xdr:rowOff>83040</xdr:rowOff>
    </xdr:from>
    <xdr:to>
      <xdr:col>32</xdr:col>
      <xdr:colOff>86783</xdr:colOff>
      <xdr:row>19</xdr:row>
      <xdr:rowOff>69753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532349" y="2781790"/>
          <a:ext cx="2508251" cy="706380"/>
        </a:xfrm>
        <a:prstGeom prst="rect">
          <a:avLst/>
        </a:prstGeom>
      </xdr:spPr>
    </xdr:pic>
    <xdr:clientData/>
  </xdr:twoCellAnchor>
  <xdr:twoCellAnchor editAs="oneCell">
    <xdr:from>
      <xdr:col>28</xdr:col>
      <xdr:colOff>42333</xdr:colOff>
      <xdr:row>20</xdr:row>
      <xdr:rowOff>88899</xdr:rowOff>
    </xdr:from>
    <xdr:to>
      <xdr:col>29</xdr:col>
      <xdr:colOff>543374</xdr:colOff>
      <xdr:row>24</xdr:row>
      <xdr:rowOff>92076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547166" y="3687232"/>
          <a:ext cx="1108525" cy="722843"/>
        </a:xfrm>
        <a:prstGeom prst="rect">
          <a:avLst/>
        </a:prstGeom>
      </xdr:spPr>
    </xdr:pic>
    <xdr:clientData/>
  </xdr:twoCellAnchor>
  <xdr:twoCellAnchor editAs="oneCell">
    <xdr:from>
      <xdr:col>34</xdr:col>
      <xdr:colOff>42333</xdr:colOff>
      <xdr:row>15</xdr:row>
      <xdr:rowOff>11642</xdr:rowOff>
    </xdr:from>
    <xdr:to>
      <xdr:col>40</xdr:col>
      <xdr:colOff>125942</xdr:colOff>
      <xdr:row>19</xdr:row>
      <xdr:rowOff>49765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616333" y="2710392"/>
          <a:ext cx="3760259" cy="757790"/>
        </a:xfrm>
        <a:prstGeom prst="rect">
          <a:avLst/>
        </a:prstGeom>
      </xdr:spPr>
    </xdr:pic>
    <xdr:clientData/>
  </xdr:twoCellAnchor>
  <xdr:twoCellAnchor editAs="oneCell">
    <xdr:from>
      <xdr:col>41</xdr:col>
      <xdr:colOff>1</xdr:colOff>
      <xdr:row>15</xdr:row>
      <xdr:rowOff>7408</xdr:rowOff>
    </xdr:from>
    <xdr:to>
      <xdr:col>47</xdr:col>
      <xdr:colOff>95250</xdr:colOff>
      <xdr:row>19</xdr:row>
      <xdr:rowOff>28767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4870834" y="2706158"/>
          <a:ext cx="3778249" cy="744201"/>
        </a:xfrm>
        <a:prstGeom prst="rect">
          <a:avLst/>
        </a:prstGeom>
      </xdr:spPr>
    </xdr:pic>
    <xdr:clientData/>
  </xdr:twoCellAnchor>
  <xdr:twoCellAnchor editAs="oneCell">
    <xdr:from>
      <xdr:col>47</xdr:col>
      <xdr:colOff>600075</xdr:colOff>
      <xdr:row>15</xdr:row>
      <xdr:rowOff>17263</xdr:rowOff>
    </xdr:from>
    <xdr:to>
      <xdr:col>54</xdr:col>
      <xdr:colOff>95251</xdr:colOff>
      <xdr:row>19</xdr:row>
      <xdr:rowOff>29291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153908" y="2716013"/>
          <a:ext cx="3792009" cy="725345"/>
        </a:xfrm>
        <a:prstGeom prst="rect">
          <a:avLst/>
        </a:prstGeom>
      </xdr:spPr>
    </xdr:pic>
    <xdr:clientData/>
  </xdr:twoCellAnchor>
  <xdr:twoCellAnchor editAs="oneCell">
    <xdr:from>
      <xdr:col>54</xdr:col>
      <xdr:colOff>560917</xdr:colOff>
      <xdr:row>15</xdr:row>
      <xdr:rowOff>52917</xdr:rowOff>
    </xdr:from>
    <xdr:to>
      <xdr:col>60</xdr:col>
      <xdr:colOff>539750</xdr:colOff>
      <xdr:row>18</xdr:row>
      <xdr:rowOff>116683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3411584" y="2751667"/>
          <a:ext cx="3665008" cy="603516"/>
        </a:xfrm>
        <a:prstGeom prst="rect">
          <a:avLst/>
        </a:prstGeom>
      </xdr:spPr>
    </xdr:pic>
    <xdr:clientData/>
  </xdr:twoCellAnchor>
  <xdr:twoCellAnchor editAs="oneCell">
    <xdr:from>
      <xdr:col>0</xdr:col>
      <xdr:colOff>391584</xdr:colOff>
      <xdr:row>56</xdr:row>
      <xdr:rowOff>158750</xdr:rowOff>
    </xdr:from>
    <xdr:to>
      <xdr:col>3</xdr:col>
      <xdr:colOff>264583</xdr:colOff>
      <xdr:row>59</xdr:row>
      <xdr:rowOff>130175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91584" y="10234083"/>
          <a:ext cx="1714499" cy="511175"/>
        </a:xfrm>
        <a:prstGeom prst="rect">
          <a:avLst/>
        </a:prstGeom>
      </xdr:spPr>
    </xdr:pic>
    <xdr:clientData/>
  </xdr:twoCellAnchor>
  <xdr:twoCellAnchor editAs="oneCell">
    <xdr:from>
      <xdr:col>0</xdr:col>
      <xdr:colOff>564093</xdr:colOff>
      <xdr:row>47</xdr:row>
      <xdr:rowOff>0</xdr:rowOff>
    </xdr:from>
    <xdr:to>
      <xdr:col>4</xdr:col>
      <xdr:colOff>427568</xdr:colOff>
      <xdr:row>51</xdr:row>
      <xdr:rowOff>37999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64093" y="8456083"/>
          <a:ext cx="2325158" cy="75766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476249</xdr:colOff>
      <xdr:row>60</xdr:row>
      <xdr:rowOff>63500</xdr:rowOff>
    </xdr:from>
    <xdr:to>
      <xdr:col>4</xdr:col>
      <xdr:colOff>401993</xdr:colOff>
      <xdr:row>64</xdr:row>
      <xdr:rowOff>87841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76249" y="10858500"/>
          <a:ext cx="2381077" cy="740833"/>
        </a:xfrm>
        <a:prstGeom prst="rect">
          <a:avLst/>
        </a:prstGeom>
      </xdr:spPr>
    </xdr:pic>
    <xdr:clientData/>
  </xdr:twoCellAnchor>
  <xdr:twoCellAnchor editAs="oneCell">
    <xdr:from>
      <xdr:col>34</xdr:col>
      <xdr:colOff>354542</xdr:colOff>
      <xdr:row>40</xdr:row>
      <xdr:rowOff>25400</xdr:rowOff>
    </xdr:from>
    <xdr:to>
      <xdr:col>37</xdr:col>
      <xdr:colOff>582084</xdr:colOff>
      <xdr:row>44</xdr:row>
      <xdr:rowOff>48166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28542" y="7222067"/>
          <a:ext cx="2065867" cy="739258"/>
        </a:xfrm>
        <a:prstGeom prst="rect">
          <a:avLst/>
        </a:prstGeom>
      </xdr:spPr>
    </xdr:pic>
    <xdr:clientData/>
  </xdr:twoCellAnchor>
  <xdr:twoCellAnchor editAs="oneCell">
    <xdr:from>
      <xdr:col>34</xdr:col>
      <xdr:colOff>359833</xdr:colOff>
      <xdr:row>35</xdr:row>
      <xdr:rowOff>113243</xdr:rowOff>
    </xdr:from>
    <xdr:to>
      <xdr:col>39</xdr:col>
      <xdr:colOff>69848</xdr:colOff>
      <xdr:row>39</xdr:row>
      <xdr:rowOff>66088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933833" y="6410326"/>
          <a:ext cx="2776007" cy="669336"/>
        </a:xfrm>
        <a:prstGeom prst="rect">
          <a:avLst/>
        </a:prstGeom>
      </xdr:spPr>
    </xdr:pic>
    <xdr:clientData/>
  </xdr:twoCellAnchor>
  <xdr:twoCellAnchor editAs="oneCell">
    <xdr:from>
      <xdr:col>34</xdr:col>
      <xdr:colOff>338668</xdr:colOff>
      <xdr:row>30</xdr:row>
      <xdr:rowOff>101601</xdr:rowOff>
    </xdr:from>
    <xdr:to>
      <xdr:col>36</xdr:col>
      <xdr:colOff>477309</xdr:colOff>
      <xdr:row>34</xdr:row>
      <xdr:rowOff>149323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912668" y="5499101"/>
          <a:ext cx="1366308" cy="767389"/>
        </a:xfrm>
        <a:prstGeom prst="rect">
          <a:avLst/>
        </a:prstGeom>
      </xdr:spPr>
    </xdr:pic>
    <xdr:clientData/>
  </xdr:twoCellAnchor>
  <xdr:twoCellAnchor editAs="oneCell">
    <xdr:from>
      <xdr:col>34</xdr:col>
      <xdr:colOff>285751</xdr:colOff>
      <xdr:row>25</xdr:row>
      <xdr:rowOff>46568</xdr:rowOff>
    </xdr:from>
    <xdr:to>
      <xdr:col>39</xdr:col>
      <xdr:colOff>275168</xdr:colOff>
      <xdr:row>29</xdr:row>
      <xdr:rowOff>66314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0859751" y="4544485"/>
          <a:ext cx="3061759" cy="742588"/>
        </a:xfrm>
        <a:prstGeom prst="rect">
          <a:avLst/>
        </a:prstGeom>
      </xdr:spPr>
    </xdr:pic>
    <xdr:clientData/>
  </xdr:twoCellAnchor>
  <xdr:twoCellAnchor editAs="oneCell">
    <xdr:from>
      <xdr:col>41</xdr:col>
      <xdr:colOff>322792</xdr:colOff>
      <xdr:row>39</xdr:row>
      <xdr:rowOff>176742</xdr:rowOff>
    </xdr:from>
    <xdr:to>
      <xdr:col>44</xdr:col>
      <xdr:colOff>550334</xdr:colOff>
      <xdr:row>44</xdr:row>
      <xdr:rowOff>10066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93625" y="7193492"/>
          <a:ext cx="2069042" cy="736083"/>
        </a:xfrm>
        <a:prstGeom prst="rect">
          <a:avLst/>
        </a:prstGeom>
      </xdr:spPr>
    </xdr:pic>
    <xdr:clientData/>
  </xdr:twoCellAnchor>
  <xdr:twoCellAnchor editAs="oneCell">
    <xdr:from>
      <xdr:col>41</xdr:col>
      <xdr:colOff>328083</xdr:colOff>
      <xdr:row>35</xdr:row>
      <xdr:rowOff>75143</xdr:rowOff>
    </xdr:from>
    <xdr:to>
      <xdr:col>46</xdr:col>
      <xdr:colOff>31749</xdr:colOff>
      <xdr:row>39</xdr:row>
      <xdr:rowOff>31163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198916" y="6372226"/>
          <a:ext cx="2776007" cy="672511"/>
        </a:xfrm>
        <a:prstGeom prst="rect">
          <a:avLst/>
        </a:prstGeom>
      </xdr:spPr>
    </xdr:pic>
    <xdr:clientData/>
  </xdr:twoCellAnchor>
  <xdr:twoCellAnchor editAs="oneCell">
    <xdr:from>
      <xdr:col>41</xdr:col>
      <xdr:colOff>300568</xdr:colOff>
      <xdr:row>30</xdr:row>
      <xdr:rowOff>73026</xdr:rowOff>
    </xdr:from>
    <xdr:to>
      <xdr:col>43</xdr:col>
      <xdr:colOff>445560</xdr:colOff>
      <xdr:row>34</xdr:row>
      <xdr:rowOff>120748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171401" y="5470526"/>
          <a:ext cx="1369483" cy="764214"/>
        </a:xfrm>
        <a:prstGeom prst="rect">
          <a:avLst/>
        </a:prstGeom>
      </xdr:spPr>
    </xdr:pic>
    <xdr:clientData/>
  </xdr:twoCellAnchor>
  <xdr:twoCellAnchor editAs="oneCell">
    <xdr:from>
      <xdr:col>41</xdr:col>
      <xdr:colOff>254001</xdr:colOff>
      <xdr:row>25</xdr:row>
      <xdr:rowOff>17993</xdr:rowOff>
    </xdr:from>
    <xdr:to>
      <xdr:col>46</xdr:col>
      <xdr:colOff>246594</xdr:colOff>
      <xdr:row>29</xdr:row>
      <xdr:rowOff>37739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124834" y="4515910"/>
          <a:ext cx="3061759" cy="739413"/>
        </a:xfrm>
        <a:prstGeom prst="rect">
          <a:avLst/>
        </a:prstGeom>
      </xdr:spPr>
    </xdr:pic>
    <xdr:clientData/>
  </xdr:twoCellAnchor>
  <xdr:twoCellAnchor editAs="oneCell">
    <xdr:from>
      <xdr:col>48</xdr:col>
      <xdr:colOff>147108</xdr:colOff>
      <xdr:row>40</xdr:row>
      <xdr:rowOff>10583</xdr:rowOff>
    </xdr:from>
    <xdr:to>
      <xdr:col>51</xdr:col>
      <xdr:colOff>371475</xdr:colOff>
      <xdr:row>44</xdr:row>
      <xdr:rowOff>26999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314775" y="7207250"/>
          <a:ext cx="2069042" cy="739258"/>
        </a:xfrm>
        <a:prstGeom prst="rect">
          <a:avLst/>
        </a:prstGeom>
      </xdr:spPr>
    </xdr:pic>
    <xdr:clientData/>
  </xdr:twoCellAnchor>
  <xdr:twoCellAnchor editAs="oneCell">
    <xdr:from>
      <xdr:col>48</xdr:col>
      <xdr:colOff>161924</xdr:colOff>
      <xdr:row>35</xdr:row>
      <xdr:rowOff>95251</xdr:rowOff>
    </xdr:from>
    <xdr:to>
      <xdr:col>52</xdr:col>
      <xdr:colOff>488948</xdr:colOff>
      <xdr:row>39</xdr:row>
      <xdr:rowOff>44921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329591" y="6392334"/>
          <a:ext cx="2779182" cy="672511"/>
        </a:xfrm>
        <a:prstGeom prst="rect">
          <a:avLst/>
        </a:prstGeom>
      </xdr:spPr>
    </xdr:pic>
    <xdr:clientData/>
  </xdr:twoCellAnchor>
  <xdr:twoCellAnchor editAs="oneCell">
    <xdr:from>
      <xdr:col>48</xdr:col>
      <xdr:colOff>134409</xdr:colOff>
      <xdr:row>30</xdr:row>
      <xdr:rowOff>83609</xdr:rowOff>
    </xdr:from>
    <xdr:to>
      <xdr:col>50</xdr:col>
      <xdr:colOff>276225</xdr:colOff>
      <xdr:row>34</xdr:row>
      <xdr:rowOff>131331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02076" y="5481109"/>
          <a:ext cx="1372658" cy="767389"/>
        </a:xfrm>
        <a:prstGeom prst="rect">
          <a:avLst/>
        </a:prstGeom>
      </xdr:spPr>
    </xdr:pic>
    <xdr:clientData/>
  </xdr:twoCellAnchor>
  <xdr:twoCellAnchor editAs="oneCell">
    <xdr:from>
      <xdr:col>48</xdr:col>
      <xdr:colOff>87842</xdr:colOff>
      <xdr:row>25</xdr:row>
      <xdr:rowOff>28576</xdr:rowOff>
    </xdr:from>
    <xdr:to>
      <xdr:col>53</xdr:col>
      <xdr:colOff>77259</xdr:colOff>
      <xdr:row>29</xdr:row>
      <xdr:rowOff>45147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255509" y="4526493"/>
          <a:ext cx="3058584" cy="733063"/>
        </a:xfrm>
        <a:prstGeom prst="rect">
          <a:avLst/>
        </a:prstGeom>
      </xdr:spPr>
    </xdr:pic>
    <xdr:clientData/>
  </xdr:twoCellAnchor>
  <xdr:twoCellAnchor editAs="oneCell">
    <xdr:from>
      <xdr:col>55</xdr:col>
      <xdr:colOff>164042</xdr:colOff>
      <xdr:row>40</xdr:row>
      <xdr:rowOff>10583</xdr:rowOff>
    </xdr:from>
    <xdr:to>
      <xdr:col>58</xdr:col>
      <xdr:colOff>397934</xdr:colOff>
      <xdr:row>44</xdr:row>
      <xdr:rowOff>30174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628542" y="7207250"/>
          <a:ext cx="2075392" cy="736083"/>
        </a:xfrm>
        <a:prstGeom prst="rect">
          <a:avLst/>
        </a:prstGeom>
      </xdr:spPr>
    </xdr:pic>
    <xdr:clientData/>
  </xdr:twoCellAnchor>
  <xdr:twoCellAnchor editAs="oneCell">
    <xdr:from>
      <xdr:col>55</xdr:col>
      <xdr:colOff>175683</xdr:colOff>
      <xdr:row>35</xdr:row>
      <xdr:rowOff>92076</xdr:rowOff>
    </xdr:from>
    <xdr:to>
      <xdr:col>59</xdr:col>
      <xdr:colOff>496356</xdr:colOff>
      <xdr:row>39</xdr:row>
      <xdr:rowOff>44921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3640183" y="6389159"/>
          <a:ext cx="2776007" cy="675686"/>
        </a:xfrm>
        <a:prstGeom prst="rect">
          <a:avLst/>
        </a:prstGeom>
      </xdr:spPr>
    </xdr:pic>
    <xdr:clientData/>
  </xdr:twoCellAnchor>
  <xdr:twoCellAnchor editAs="oneCell">
    <xdr:from>
      <xdr:col>55</xdr:col>
      <xdr:colOff>151343</xdr:colOff>
      <xdr:row>30</xdr:row>
      <xdr:rowOff>86784</xdr:rowOff>
    </xdr:from>
    <xdr:to>
      <xdr:col>57</xdr:col>
      <xdr:colOff>296334</xdr:colOff>
      <xdr:row>34</xdr:row>
      <xdr:rowOff>131331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3615843" y="5484284"/>
          <a:ext cx="1369483" cy="764214"/>
        </a:xfrm>
        <a:prstGeom prst="rect">
          <a:avLst/>
        </a:prstGeom>
      </xdr:spPr>
    </xdr:pic>
    <xdr:clientData/>
  </xdr:twoCellAnchor>
  <xdr:twoCellAnchor editAs="oneCell">
    <xdr:from>
      <xdr:col>55</xdr:col>
      <xdr:colOff>95251</xdr:colOff>
      <xdr:row>25</xdr:row>
      <xdr:rowOff>25401</xdr:rowOff>
    </xdr:from>
    <xdr:to>
      <xdr:col>60</xdr:col>
      <xdr:colOff>87843</xdr:colOff>
      <xdr:row>29</xdr:row>
      <xdr:rowOff>48322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3559751" y="4523318"/>
          <a:ext cx="3058584" cy="739413"/>
        </a:xfrm>
        <a:prstGeom prst="rect">
          <a:avLst/>
        </a:prstGeom>
      </xdr:spPr>
    </xdr:pic>
    <xdr:clientData/>
  </xdr:twoCellAnchor>
  <xdr:twoCellAnchor editAs="oneCell">
    <xdr:from>
      <xdr:col>34</xdr:col>
      <xdr:colOff>338668</xdr:colOff>
      <xdr:row>20</xdr:row>
      <xdr:rowOff>148168</xdr:rowOff>
    </xdr:from>
    <xdr:to>
      <xdr:col>36</xdr:col>
      <xdr:colOff>419984</xdr:colOff>
      <xdr:row>24</xdr:row>
      <xdr:rowOff>102660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0912668" y="3746501"/>
          <a:ext cx="1308983" cy="674158"/>
        </a:xfrm>
        <a:prstGeom prst="rect">
          <a:avLst/>
        </a:prstGeom>
      </xdr:spPr>
    </xdr:pic>
    <xdr:clientData/>
  </xdr:twoCellAnchor>
  <xdr:twoCellAnchor editAs="oneCell">
    <xdr:from>
      <xdr:col>41</xdr:col>
      <xdr:colOff>258234</xdr:colOff>
      <xdr:row>20</xdr:row>
      <xdr:rowOff>60326</xdr:rowOff>
    </xdr:from>
    <xdr:to>
      <xdr:col>43</xdr:col>
      <xdr:colOff>201085</xdr:colOff>
      <xdr:row>24</xdr:row>
      <xdr:rowOff>104303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129067" y="3658659"/>
          <a:ext cx="1173692" cy="760468"/>
        </a:xfrm>
        <a:prstGeom prst="rect">
          <a:avLst/>
        </a:prstGeom>
      </xdr:spPr>
    </xdr:pic>
    <xdr:clientData/>
  </xdr:twoCellAnchor>
  <xdr:twoCellAnchor editAs="oneCell">
    <xdr:from>
      <xdr:col>55</xdr:col>
      <xdr:colOff>296334</xdr:colOff>
      <xdr:row>20</xdr:row>
      <xdr:rowOff>137585</xdr:rowOff>
    </xdr:from>
    <xdr:to>
      <xdr:col>57</xdr:col>
      <xdr:colOff>34926</xdr:colOff>
      <xdr:row>24</xdr:row>
      <xdr:rowOff>7634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3760834" y="3735918"/>
          <a:ext cx="966259" cy="589715"/>
        </a:xfrm>
        <a:prstGeom prst="rect">
          <a:avLst/>
        </a:prstGeom>
      </xdr:spPr>
    </xdr:pic>
    <xdr:clientData/>
  </xdr:twoCellAnchor>
  <xdr:twoCellAnchor editAs="oneCell">
    <xdr:from>
      <xdr:col>48</xdr:col>
      <xdr:colOff>127000</xdr:colOff>
      <xdr:row>20</xdr:row>
      <xdr:rowOff>63501</xdr:rowOff>
    </xdr:from>
    <xdr:to>
      <xdr:col>50</xdr:col>
      <xdr:colOff>353483</xdr:colOff>
      <xdr:row>24</xdr:row>
      <xdr:rowOff>97444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294667" y="3661834"/>
          <a:ext cx="1457325" cy="753609"/>
        </a:xfrm>
        <a:prstGeom prst="rect">
          <a:avLst/>
        </a:prstGeom>
      </xdr:spPr>
    </xdr:pic>
    <xdr:clientData/>
  </xdr:twoCellAnchor>
  <xdr:twoCellAnchor>
    <xdr:from>
      <xdr:col>22</xdr:col>
      <xdr:colOff>600075</xdr:colOff>
      <xdr:row>25</xdr:row>
      <xdr:rowOff>28575</xdr:rowOff>
    </xdr:from>
    <xdr:to>
      <xdr:col>32</xdr:col>
      <xdr:colOff>539750</xdr:colOff>
      <xdr:row>34</xdr:row>
      <xdr:rowOff>74083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14305492" y="4526492"/>
          <a:ext cx="6194425" cy="1664758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246590</xdr:colOff>
      <xdr:row>1</xdr:row>
      <xdr:rowOff>169333</xdr:rowOff>
    </xdr:from>
    <xdr:to>
      <xdr:col>33</xdr:col>
      <xdr:colOff>257173</xdr:colOff>
      <xdr:row>46</xdr:row>
      <xdr:rowOff>28575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CxnSpPr/>
      </xdr:nvCxnSpPr>
      <xdr:spPr>
        <a:xfrm>
          <a:off x="20820590" y="349250"/>
          <a:ext cx="10583" cy="7955492"/>
        </a:xfrm>
        <a:prstGeom prst="line">
          <a:avLst/>
        </a:prstGeom>
        <a:ln w="15875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42334</xdr:colOff>
      <xdr:row>25</xdr:row>
      <xdr:rowOff>21166</xdr:rowOff>
    </xdr:from>
    <xdr:to>
      <xdr:col>61</xdr:col>
      <xdr:colOff>21167</xdr:colOff>
      <xdr:row>45</xdr:row>
      <xdr:rowOff>74083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1230167" y="4519083"/>
          <a:ext cx="16552333" cy="365125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328069</xdr:colOff>
      <xdr:row>14</xdr:row>
      <xdr:rowOff>131978</xdr:rowOff>
    </xdr:from>
    <xdr:to>
      <xdr:col>22</xdr:col>
      <xdr:colOff>9441</xdr:colOff>
      <xdr:row>50</xdr:row>
      <xdr:rowOff>28937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396094</xdr:colOff>
      <xdr:row>65</xdr:row>
      <xdr:rowOff>131354</xdr:rowOff>
    </xdr:from>
    <xdr:to>
      <xdr:col>10</xdr:col>
      <xdr:colOff>658528</xdr:colOff>
      <xdr:row>92</xdr:row>
      <xdr:rowOff>58123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25</xdr:row>
          <xdr:rowOff>107950</xdr:rowOff>
        </xdr:from>
        <xdr:to>
          <xdr:col>9</xdr:col>
          <xdr:colOff>330200</xdr:colOff>
          <xdr:row>28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Perform Single Iteration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D379-7A15-4C38-8A8E-23B32B128455}">
  <sheetPr codeName="Sheet1"/>
  <dimension ref="B2:BI209"/>
  <sheetViews>
    <sheetView tabSelected="1" zoomScale="64" zoomScaleNormal="90" workbookViewId="0">
      <selection activeCell="K21" sqref="K21"/>
    </sheetView>
  </sheetViews>
  <sheetFormatPr defaultRowHeight="14.5" x14ac:dyDescent="0.35"/>
  <cols>
    <col min="11" max="11" width="10.54296875" customWidth="1"/>
    <col min="13" max="13" width="9.90625" customWidth="1"/>
    <col min="23" max="23" width="10.453125" customWidth="1"/>
  </cols>
  <sheetData>
    <row r="2" spans="3:61" ht="15" thickBot="1" x14ac:dyDescent="0.4"/>
    <row r="3" spans="3:61" x14ac:dyDescent="0.35">
      <c r="C3" s="56" t="s">
        <v>5</v>
      </c>
      <c r="D3" s="56"/>
      <c r="E3" s="56"/>
      <c r="G3" s="56" t="s">
        <v>7</v>
      </c>
      <c r="H3" s="56"/>
      <c r="I3" s="56"/>
      <c r="X3" s="57" t="s">
        <v>10</v>
      </c>
      <c r="Y3" s="58"/>
      <c r="Z3" s="58"/>
      <c r="AA3" s="59"/>
      <c r="AC3" s="57" t="s">
        <v>13</v>
      </c>
      <c r="AD3" s="58"/>
      <c r="AE3" s="58"/>
      <c r="AF3" s="59"/>
      <c r="AG3" s="4"/>
      <c r="AI3" s="57" t="s">
        <v>9</v>
      </c>
      <c r="AJ3" s="58"/>
      <c r="AK3" s="58"/>
      <c r="AL3" s="58"/>
      <c r="AM3" s="58"/>
      <c r="AN3" s="59"/>
      <c r="AP3" s="57" t="s">
        <v>12</v>
      </c>
      <c r="AQ3" s="58"/>
      <c r="AR3" s="58"/>
      <c r="AS3" s="58"/>
      <c r="AT3" s="58"/>
      <c r="AU3" s="59"/>
      <c r="AW3" s="57" t="s">
        <v>8</v>
      </c>
      <c r="AX3" s="60"/>
      <c r="AY3" s="60"/>
      <c r="AZ3" s="60"/>
      <c r="BA3" s="60"/>
      <c r="BB3" s="61"/>
      <c r="BD3" s="57" t="s">
        <v>11</v>
      </c>
      <c r="BE3" s="60"/>
      <c r="BF3" s="60"/>
      <c r="BG3" s="60"/>
      <c r="BH3" s="60"/>
      <c r="BI3" s="61"/>
    </row>
    <row r="4" spans="3:61" ht="15" thickBot="1" x14ac:dyDescent="0.4">
      <c r="C4" s="1" t="s">
        <v>3</v>
      </c>
      <c r="D4" s="1" t="s">
        <v>6</v>
      </c>
      <c r="E4" s="1" t="s">
        <v>4</v>
      </c>
      <c r="G4" s="1" t="s">
        <v>3</v>
      </c>
      <c r="H4" s="1" t="s">
        <v>6</v>
      </c>
      <c r="I4" s="1" t="s">
        <v>4</v>
      </c>
      <c r="K4" s="2" t="s">
        <v>18</v>
      </c>
      <c r="M4" s="4" t="s">
        <v>21</v>
      </c>
      <c r="R4" t="s">
        <v>15</v>
      </c>
      <c r="S4" t="s">
        <v>16</v>
      </c>
      <c r="T4" t="s">
        <v>14</v>
      </c>
      <c r="U4" t="s">
        <v>17</v>
      </c>
      <c r="X4" s="8" t="s">
        <v>19</v>
      </c>
      <c r="Y4" s="9" t="s">
        <v>31</v>
      </c>
      <c r="Z4" s="9" t="s">
        <v>20</v>
      </c>
      <c r="AA4" s="10" t="s">
        <v>53</v>
      </c>
      <c r="AC4" s="8" t="s">
        <v>22</v>
      </c>
      <c r="AD4" s="9" t="s">
        <v>23</v>
      </c>
      <c r="AE4" s="9" t="s">
        <v>20</v>
      </c>
      <c r="AF4" s="10" t="s">
        <v>53</v>
      </c>
      <c r="AI4" s="8" t="s">
        <v>52</v>
      </c>
      <c r="AJ4" s="9" t="s">
        <v>51</v>
      </c>
      <c r="AK4" s="9" t="s">
        <v>50</v>
      </c>
      <c r="AL4" s="9" t="s">
        <v>49</v>
      </c>
      <c r="AM4" s="9" t="s">
        <v>20</v>
      </c>
      <c r="AN4" s="10" t="s">
        <v>53</v>
      </c>
      <c r="AP4" s="8" t="s">
        <v>55</v>
      </c>
      <c r="AQ4" s="9" t="s">
        <v>54</v>
      </c>
      <c r="AR4" s="9" t="s">
        <v>50</v>
      </c>
      <c r="AS4" s="9" t="s">
        <v>49</v>
      </c>
      <c r="AT4" s="9" t="s">
        <v>20</v>
      </c>
      <c r="AU4" s="10" t="s">
        <v>53</v>
      </c>
      <c r="AW4" s="8" t="s">
        <v>57</v>
      </c>
      <c r="AX4" s="9" t="s">
        <v>56</v>
      </c>
      <c r="AY4" s="9" t="s">
        <v>50</v>
      </c>
      <c r="AZ4" s="9" t="s">
        <v>49</v>
      </c>
      <c r="BA4" s="9" t="s">
        <v>20</v>
      </c>
      <c r="BB4" s="10" t="s">
        <v>53</v>
      </c>
      <c r="BD4" s="8" t="s">
        <v>59</v>
      </c>
      <c r="BE4" s="9" t="s">
        <v>58</v>
      </c>
      <c r="BF4" s="9" t="s">
        <v>50</v>
      </c>
      <c r="BG4" s="9" t="s">
        <v>49</v>
      </c>
      <c r="BH4" s="9" t="s">
        <v>20</v>
      </c>
      <c r="BI4" s="10" t="s">
        <v>53</v>
      </c>
    </row>
    <row r="5" spans="3:61" x14ac:dyDescent="0.35">
      <c r="C5" s="1">
        <v>22</v>
      </c>
      <c r="D5" s="1">
        <v>55</v>
      </c>
      <c r="E5" s="1">
        <v>0</v>
      </c>
      <c r="G5" s="3">
        <f>C5/MAX($C$5:$C$12)</f>
        <v>0.33333333333333331</v>
      </c>
      <c r="H5" s="3">
        <f>D5/MAX($D$5:$D$12)</f>
        <v>1</v>
      </c>
      <c r="I5">
        <f>E5</f>
        <v>0</v>
      </c>
      <c r="K5" s="6">
        <f>T5</f>
        <v>0.19180020050850835</v>
      </c>
      <c r="M5" s="6">
        <f>(K5-I5)^2</f>
        <v>3.6787316915104007E-2</v>
      </c>
      <c r="O5" s="19" t="s">
        <v>8</v>
      </c>
      <c r="P5" s="62">
        <v>2.851495813081447</v>
      </c>
      <c r="R5" s="6">
        <f>(U5*$P$7) + $P$10</f>
        <v>-1.4383550966987553</v>
      </c>
      <c r="S5" s="6">
        <f>(G5 * $P$5) + $P$8 + (H5 * $P$6) + $P$9</f>
        <v>-3.2720685463571169</v>
      </c>
      <c r="T5" s="6">
        <f>1/(1+ EXP(-R5))</f>
        <v>0.19180020050850835</v>
      </c>
      <c r="U5" s="6">
        <f>1/(1+ EXP(-S5))</f>
        <v>3.654193189215349E-2</v>
      </c>
      <c r="W5" s="6"/>
      <c r="X5" s="11">
        <f>Y5*Z5*AA5</f>
        <v>2.1728930535708595E-3</v>
      </c>
      <c r="Y5" s="12">
        <f>U5</f>
        <v>3.654193189215349E-2</v>
      </c>
      <c r="Z5" s="12">
        <f>$T5 * (1 - $T5)</f>
        <v>0.15501288359340434</v>
      </c>
      <c r="AA5" s="13">
        <f>2 * ($T5 - $I5)</f>
        <v>0.3836004010170167</v>
      </c>
      <c r="AC5" s="11">
        <f>AD5*AE5*AF5</f>
        <v>5.9463004309234034E-2</v>
      </c>
      <c r="AD5" s="12">
        <v>1</v>
      </c>
      <c r="AE5" s="12">
        <f>$T5 * (1 - $T5)</f>
        <v>0.15501288359340434</v>
      </c>
      <c r="AF5" s="13">
        <f>2 * ($T5 - $I5)</f>
        <v>0.3836004010170167</v>
      </c>
      <c r="AG5" s="6"/>
      <c r="AI5" s="11">
        <f>AJ5*AK5*AL5*AM5*AN5</f>
        <v>8.265467066443169E-3</v>
      </c>
      <c r="AJ5" s="12">
        <f>H5</f>
        <v>1</v>
      </c>
      <c r="AK5" s="12">
        <f>$U5 * (1 - $U5)</f>
        <v>3.5206619105742708E-2</v>
      </c>
      <c r="AL5" s="12">
        <f>$P$7</f>
        <v>3.948173510111725</v>
      </c>
      <c r="AM5" s="12">
        <f>$T5 * (1 - $T5)</f>
        <v>0.15501288359340434</v>
      </c>
      <c r="AN5" s="13">
        <f>2 * ($T5 - $I5)</f>
        <v>0.3836004010170167</v>
      </c>
      <c r="AP5" s="11">
        <f>AQ5*AR5*AS5*AT5*AU5</f>
        <v>8.265467066443169E-3</v>
      </c>
      <c r="AQ5" s="12">
        <v>1</v>
      </c>
      <c r="AR5" s="12">
        <f>$U5 * (1 - $U5)</f>
        <v>3.5206619105742708E-2</v>
      </c>
      <c r="AS5" s="12">
        <f>$P$7</f>
        <v>3.948173510111725</v>
      </c>
      <c r="AT5" s="12">
        <f>$T5 * (1 - $T5)</f>
        <v>0.15501288359340434</v>
      </c>
      <c r="AU5" s="13">
        <f>2 * ($T5 - $I5)</f>
        <v>0.3836004010170167</v>
      </c>
      <c r="AW5" s="11">
        <f>AX5*AY5*AZ5*BA5*BB5</f>
        <v>2.7551556888143892E-3</v>
      </c>
      <c r="AX5" s="12">
        <f>G5</f>
        <v>0.33333333333333331</v>
      </c>
      <c r="AY5" s="12">
        <f>$U5 * (1 - $U5)</f>
        <v>3.5206619105742708E-2</v>
      </c>
      <c r="AZ5" s="12">
        <f>$P$7</f>
        <v>3.948173510111725</v>
      </c>
      <c r="BA5" s="12">
        <f>$T5 * (1 - $T5)</f>
        <v>0.15501288359340434</v>
      </c>
      <c r="BB5" s="13">
        <f>2 * ($T5 - $I5)</f>
        <v>0.3836004010170167</v>
      </c>
      <c r="BD5" s="11">
        <f>BE5*BF5*BG5*BH5*BI5</f>
        <v>8.265467066443169E-3</v>
      </c>
      <c r="BE5" s="12">
        <f>1</f>
        <v>1</v>
      </c>
      <c r="BF5" s="12">
        <f>$U5 * (1 - $U5)</f>
        <v>3.5206619105742708E-2</v>
      </c>
      <c r="BG5" s="12">
        <f>$P$7</f>
        <v>3.948173510111725</v>
      </c>
      <c r="BH5" s="12">
        <f>$T5 * (1 - $T5)</f>
        <v>0.15501288359340434</v>
      </c>
      <c r="BI5" s="13">
        <f>2 * ($T5 - $I5)</f>
        <v>0.3836004010170167</v>
      </c>
    </row>
    <row r="6" spans="3:61" x14ac:dyDescent="0.35">
      <c r="C6" s="1">
        <v>34</v>
      </c>
      <c r="D6" s="1">
        <v>34</v>
      </c>
      <c r="E6" s="1">
        <v>0</v>
      </c>
      <c r="G6" s="3">
        <f t="shared" ref="G6:G12" si="0">C6/MAX($C$5:$C$12)</f>
        <v>0.51515151515151514</v>
      </c>
      <c r="H6" s="3">
        <f t="shared" ref="H6:H12" si="1">D6/MAX($D$5:$D$12)</f>
        <v>0.61818181818181817</v>
      </c>
      <c r="I6">
        <f t="shared" ref="I6:I12" si="2">E6</f>
        <v>0</v>
      </c>
      <c r="K6" s="6">
        <f>T6</f>
        <v>0.3446394651480687</v>
      </c>
      <c r="M6" s="6">
        <f t="shared" ref="M6:M12" si="3">(K6-I6)^2</f>
        <v>0.11877636093754686</v>
      </c>
      <c r="O6" s="20" t="s">
        <v>9</v>
      </c>
      <c r="P6" s="64">
        <v>-4.165138778396698</v>
      </c>
      <c r="R6" s="6">
        <f>(U6*$P$7) + $P$10</f>
        <v>-0.6426866770380032</v>
      </c>
      <c r="S6" s="6">
        <f t="shared" ref="S6:S12" si="4">(G6 * $P$5) + $P$8 + (H6 * $P$6) + $P$9</f>
        <v>-1.16328904677266</v>
      </c>
      <c r="T6" s="6">
        <f>1/(1+ EXP(-R6))</f>
        <v>0.3446394651480687</v>
      </c>
      <c r="U6" s="6">
        <f>1/(1+ EXP(-S6))</f>
        <v>0.23807016200234343</v>
      </c>
      <c r="W6" s="6"/>
      <c r="X6" s="11">
        <f t="shared" ref="X6:X12" si="5">Y6*Z6*AA6</f>
        <v>3.7063400578014515E-2</v>
      </c>
      <c r="Y6" s="12">
        <f t="shared" ref="Y6:Y12" si="6">U6</f>
        <v>0.23807016200234343</v>
      </c>
      <c r="Z6" s="12">
        <f t="shared" ref="Z6:Z12" si="7">$T6 * (1 - $T6)</f>
        <v>0.22586310421052186</v>
      </c>
      <c r="AA6" s="13">
        <f t="shared" ref="AA6:AA12" si="8">2 * ($T6 - $I6)</f>
        <v>0.6892789302961374</v>
      </c>
      <c r="AC6" s="11">
        <f t="shared" ref="AC6:AC12" si="9">AD6*AE6*AF6</f>
        <v>0.15568267886359352</v>
      </c>
      <c r="AD6" s="12">
        <v>1</v>
      </c>
      <c r="AE6" s="12">
        <f t="shared" ref="AE6:AE12" si="10">$T6 * (1 - $T6)</f>
        <v>0.22586310421052186</v>
      </c>
      <c r="AF6" s="13">
        <f t="shared" ref="AF6:AF12" si="11">2 * ($T6 - $I6)</f>
        <v>0.6892789302961374</v>
      </c>
      <c r="AG6" s="6"/>
      <c r="AI6" s="11">
        <f t="shared" ref="AI6:AI12" si="12">AJ6*AK6*AL6*AM6*AN6</f>
        <v>6.8924353738299374E-2</v>
      </c>
      <c r="AJ6" s="12">
        <f t="shared" ref="AJ6:AJ12" si="13">H6</f>
        <v>0.61818181818181817</v>
      </c>
      <c r="AK6" s="12">
        <f>$U6 * (1 - $U6)</f>
        <v>0.18139275996652138</v>
      </c>
      <c r="AL6" s="12">
        <f t="shared" ref="AL6:AL12" si="14">$P$7</f>
        <v>3.948173510111725</v>
      </c>
      <c r="AM6" s="12">
        <f t="shared" ref="AM6:AM12" si="15">$T6 * (1 - $T6)</f>
        <v>0.22586310421052186</v>
      </c>
      <c r="AN6" s="13">
        <f t="shared" ref="AN6:AN12" si="16">2 * ($T6 - $I6)</f>
        <v>0.6892789302961374</v>
      </c>
      <c r="AP6" s="11">
        <f t="shared" ref="AP6:AP12" si="17">AQ6*AR6*AS6*AT6*AU6</f>
        <v>0.1114952781060725</v>
      </c>
      <c r="AQ6" s="12">
        <v>1</v>
      </c>
      <c r="AR6" s="12">
        <f>$U6 * (1 - $U6)</f>
        <v>0.18139275996652138</v>
      </c>
      <c r="AS6" s="12">
        <f t="shared" ref="AS6:AS12" si="18">$P$7</f>
        <v>3.948173510111725</v>
      </c>
      <c r="AT6" s="12">
        <f t="shared" ref="AT6:AT12" si="19">$T6 * (1 - $T6)</f>
        <v>0.22586310421052186</v>
      </c>
      <c r="AU6" s="13">
        <f t="shared" ref="AU6:AU12" si="20">2 * ($T6 - $I6)</f>
        <v>0.6892789302961374</v>
      </c>
      <c r="AW6" s="11">
        <f t="shared" ref="AW6:AW12" si="21">AX6*AY6*AZ6*BA6*BB6</f>
        <v>5.7436961448582811E-2</v>
      </c>
      <c r="AX6" s="12">
        <f t="shared" ref="AX6:AX12" si="22">G6</f>
        <v>0.51515151515151514</v>
      </c>
      <c r="AY6" s="12">
        <f>$U6 * (1 - $U6)</f>
        <v>0.18139275996652138</v>
      </c>
      <c r="AZ6" s="12">
        <f t="shared" ref="AZ6:AZ12" si="23">$P$7</f>
        <v>3.948173510111725</v>
      </c>
      <c r="BA6" s="12">
        <f t="shared" ref="BA6:BA12" si="24">$T6 * (1 - $T6)</f>
        <v>0.22586310421052186</v>
      </c>
      <c r="BB6" s="13">
        <f t="shared" ref="BB6:BB12" si="25">2 * ($T6 - $I6)</f>
        <v>0.6892789302961374</v>
      </c>
      <c r="BD6" s="11">
        <f t="shared" ref="BD6:BD12" si="26">BE6*BF6*BG6*BH6*BI6</f>
        <v>0.1114952781060725</v>
      </c>
      <c r="BE6" s="12">
        <f>1</f>
        <v>1</v>
      </c>
      <c r="BF6" s="12">
        <f>$U6 * (1 - $U6)</f>
        <v>0.18139275996652138</v>
      </c>
      <c r="BG6" s="12">
        <f t="shared" ref="BG6:BG12" si="27">$P$7</f>
        <v>3.948173510111725</v>
      </c>
      <c r="BH6" s="12">
        <f t="shared" ref="BH6:BH12" si="28">$T6 * (1 - $T6)</f>
        <v>0.22586310421052186</v>
      </c>
      <c r="BI6" s="13">
        <f t="shared" ref="BI6:BI12" si="29">2 * ($T6 - $I6)</f>
        <v>0.6892789302961374</v>
      </c>
    </row>
    <row r="7" spans="3:61" x14ac:dyDescent="0.35">
      <c r="C7" s="1">
        <v>21</v>
      </c>
      <c r="D7" s="1">
        <v>24</v>
      </c>
      <c r="E7" s="1">
        <v>0</v>
      </c>
      <c r="G7" s="3">
        <f t="shared" si="0"/>
        <v>0.31818181818181818</v>
      </c>
      <c r="H7" s="3">
        <f t="shared" si="1"/>
        <v>0.43636363636363634</v>
      </c>
      <c r="I7">
        <f t="shared" si="2"/>
        <v>0</v>
      </c>
      <c r="K7" s="6">
        <f t="shared" ref="K6:K12" si="30">T7</f>
        <v>0.37859824079887916</v>
      </c>
      <c r="M7" s="6">
        <f t="shared" si="3"/>
        <v>0.1433366279360061</v>
      </c>
      <c r="O7" s="20" t="s">
        <v>10</v>
      </c>
      <c r="P7" s="64">
        <v>3.948173510111725</v>
      </c>
      <c r="R7" s="6">
        <f t="shared" ref="R6:R12" si="31">(U7*$P$7) + $P$10</f>
        <v>-0.49550223581470076</v>
      </c>
      <c r="S7" s="6">
        <f t="shared" si="4"/>
        <v>-0.96764935327718149</v>
      </c>
      <c r="T7" s="6">
        <f t="shared" ref="T6:T11" si="32">1/(1+ EXP(-R7))</f>
        <v>0.37859824079887916</v>
      </c>
      <c r="U7" s="6">
        <f t="shared" ref="U6:U11" si="33">1/(1+ EXP(-S7))</f>
        <v>0.27534928381559359</v>
      </c>
      <c r="W7" s="6"/>
      <c r="X7" s="11">
        <f>Y7*Z7*AA7</f>
        <v>4.9050519178930926E-2</v>
      </c>
      <c r="Y7" s="12">
        <f t="shared" si="6"/>
        <v>0.27534928381559359</v>
      </c>
      <c r="Z7" s="12">
        <f t="shared" si="7"/>
        <v>0.23526161286287306</v>
      </c>
      <c r="AA7" s="13">
        <f t="shared" si="8"/>
        <v>0.75719648159775832</v>
      </c>
      <c r="AC7" s="11">
        <f t="shared" si="9"/>
        <v>0.1781392655147814</v>
      </c>
      <c r="AD7" s="12">
        <v>1</v>
      </c>
      <c r="AE7" s="12">
        <f t="shared" si="10"/>
        <v>0.23526161286287306</v>
      </c>
      <c r="AF7" s="13">
        <f t="shared" si="11"/>
        <v>0.75719648159775832</v>
      </c>
      <c r="AG7" s="6"/>
      <c r="AI7" s="11">
        <f t="shared" si="12"/>
        <v>6.1237452679723928E-2</v>
      </c>
      <c r="AJ7" s="12">
        <f t="shared" si="13"/>
        <v>0.43636363636363634</v>
      </c>
      <c r="AK7" s="12">
        <f t="shared" ref="AK7:AK12" si="34">$U7 * (1 - $U7)</f>
        <v>0.19953205571783331</v>
      </c>
      <c r="AL7" s="12">
        <f t="shared" si="14"/>
        <v>3.948173510111725</v>
      </c>
      <c r="AM7" s="12">
        <f t="shared" si="15"/>
        <v>0.23526161286287306</v>
      </c>
      <c r="AN7" s="13">
        <f t="shared" si="16"/>
        <v>0.75719648159775832</v>
      </c>
      <c r="AP7" s="11">
        <f t="shared" si="17"/>
        <v>0.14033582905770065</v>
      </c>
      <c r="AQ7" s="12">
        <v>1</v>
      </c>
      <c r="AR7" s="12">
        <f t="shared" ref="AR7:AR12" si="35">$U7 * (1 - $U7)</f>
        <v>0.19953205571783331</v>
      </c>
      <c r="AS7" s="12">
        <f t="shared" si="18"/>
        <v>3.948173510111725</v>
      </c>
      <c r="AT7" s="12">
        <f t="shared" si="19"/>
        <v>0.23526161286287306</v>
      </c>
      <c r="AU7" s="13">
        <f t="shared" si="20"/>
        <v>0.75719648159775832</v>
      </c>
      <c r="AW7" s="11">
        <f t="shared" si="21"/>
        <v>4.4652309245632023E-2</v>
      </c>
      <c r="AX7" s="12">
        <f t="shared" si="22"/>
        <v>0.31818181818181818</v>
      </c>
      <c r="AY7" s="12">
        <f t="shared" ref="AY7:AY12" si="36">$U7 * (1 - $U7)</f>
        <v>0.19953205571783331</v>
      </c>
      <c r="AZ7" s="12">
        <f t="shared" si="23"/>
        <v>3.948173510111725</v>
      </c>
      <c r="BA7" s="12">
        <f t="shared" si="24"/>
        <v>0.23526161286287306</v>
      </c>
      <c r="BB7" s="13">
        <f t="shared" si="25"/>
        <v>0.75719648159775832</v>
      </c>
      <c r="BD7" s="11">
        <f t="shared" si="26"/>
        <v>0.14033582905770065</v>
      </c>
      <c r="BE7" s="12">
        <f>1</f>
        <v>1</v>
      </c>
      <c r="BF7" s="12">
        <f t="shared" ref="BF7:BF12" si="37">$U7 * (1 - $U7)</f>
        <v>0.19953205571783331</v>
      </c>
      <c r="BG7" s="12">
        <f t="shared" si="27"/>
        <v>3.948173510111725</v>
      </c>
      <c r="BH7" s="12">
        <f t="shared" si="28"/>
        <v>0.23526161286287306</v>
      </c>
      <c r="BI7" s="13">
        <f t="shared" si="29"/>
        <v>0.75719648159775832</v>
      </c>
    </row>
    <row r="8" spans="3:61" x14ac:dyDescent="0.35">
      <c r="C8" s="1">
        <v>23</v>
      </c>
      <c r="D8" s="1">
        <v>45</v>
      </c>
      <c r="E8" s="1">
        <v>0</v>
      </c>
      <c r="G8" s="3">
        <f t="shared" si="0"/>
        <v>0.34848484848484851</v>
      </c>
      <c r="H8" s="3">
        <f t="shared" si="1"/>
        <v>0.81818181818181823</v>
      </c>
      <c r="I8">
        <f t="shared" si="2"/>
        <v>0</v>
      </c>
      <c r="K8" s="6">
        <f t="shared" si="30"/>
        <v>0.21837484597238413</v>
      </c>
      <c r="M8" s="6">
        <f t="shared" si="3"/>
        <v>4.7687573353462492E-2</v>
      </c>
      <c r="O8" s="20" t="s">
        <v>11</v>
      </c>
      <c r="P8" s="64">
        <v>-0.18107684637344329</v>
      </c>
      <c r="R8" s="6">
        <f t="shared" si="31"/>
        <v>-1.2751622198296202</v>
      </c>
      <c r="S8" s="6">
        <f t="shared" si="4"/>
        <v>-2.4715661046322408</v>
      </c>
      <c r="T8" s="6">
        <f t="shared" si="32"/>
        <v>0.21837484597238413</v>
      </c>
      <c r="U8" s="6">
        <f t="shared" si="33"/>
        <v>7.7875697100592126E-2</v>
      </c>
      <c r="W8" s="6"/>
      <c r="X8" s="11">
        <f t="shared" si="5"/>
        <v>5.8054473868148987E-3</v>
      </c>
      <c r="Y8" s="12">
        <f t="shared" si="6"/>
        <v>7.7875697100592126E-2</v>
      </c>
      <c r="Z8" s="12">
        <f t="shared" si="7"/>
        <v>0.17068727261892164</v>
      </c>
      <c r="AA8" s="13">
        <f t="shared" si="8"/>
        <v>0.43674969194476826</v>
      </c>
      <c r="AC8" s="11">
        <f t="shared" si="9"/>
        <v>7.45476137352067E-2</v>
      </c>
      <c r="AD8" s="12">
        <v>1</v>
      </c>
      <c r="AE8" s="12">
        <f t="shared" si="10"/>
        <v>0.17068727261892164</v>
      </c>
      <c r="AF8" s="13">
        <f t="shared" si="11"/>
        <v>0.43674969194476826</v>
      </c>
      <c r="AG8" s="6"/>
      <c r="AI8" s="11">
        <f t="shared" si="12"/>
        <v>1.7293034833529074E-2</v>
      </c>
      <c r="AJ8" s="12">
        <f t="shared" si="13"/>
        <v>0.81818181818181823</v>
      </c>
      <c r="AK8" s="12">
        <f t="shared" si="34"/>
        <v>7.1811072901688949E-2</v>
      </c>
      <c r="AL8" s="12">
        <f t="shared" si="14"/>
        <v>3.948173510111725</v>
      </c>
      <c r="AM8" s="12">
        <f t="shared" si="15"/>
        <v>0.17068727261892164</v>
      </c>
      <c r="AN8" s="13">
        <f t="shared" si="16"/>
        <v>0.43674969194476826</v>
      </c>
      <c r="AP8" s="11">
        <f t="shared" si="17"/>
        <v>2.1135931463202202E-2</v>
      </c>
      <c r="AQ8" s="12">
        <v>1</v>
      </c>
      <c r="AR8" s="12">
        <f t="shared" si="35"/>
        <v>7.1811072901688949E-2</v>
      </c>
      <c r="AS8" s="12">
        <f t="shared" si="18"/>
        <v>3.948173510111725</v>
      </c>
      <c r="AT8" s="12">
        <f t="shared" si="19"/>
        <v>0.17068727261892164</v>
      </c>
      <c r="AU8" s="13">
        <f t="shared" si="20"/>
        <v>0.43674969194476826</v>
      </c>
      <c r="AW8" s="11">
        <f t="shared" si="21"/>
        <v>7.3655518735401618E-3</v>
      </c>
      <c r="AX8" s="12">
        <f t="shared" si="22"/>
        <v>0.34848484848484851</v>
      </c>
      <c r="AY8" s="12">
        <f t="shared" si="36"/>
        <v>7.1811072901688949E-2</v>
      </c>
      <c r="AZ8" s="12">
        <f t="shared" si="23"/>
        <v>3.948173510111725</v>
      </c>
      <c r="BA8" s="12">
        <f t="shared" si="24"/>
        <v>0.17068727261892164</v>
      </c>
      <c r="BB8" s="13">
        <f t="shared" si="25"/>
        <v>0.43674969194476826</v>
      </c>
      <c r="BD8" s="11">
        <f t="shared" si="26"/>
        <v>2.1135931463202202E-2</v>
      </c>
      <c r="BE8" s="12">
        <f>1</f>
        <v>1</v>
      </c>
      <c r="BF8" s="12">
        <f t="shared" si="37"/>
        <v>7.1811072901688949E-2</v>
      </c>
      <c r="BG8" s="12">
        <f t="shared" si="27"/>
        <v>3.948173510111725</v>
      </c>
      <c r="BH8" s="12">
        <f t="shared" si="28"/>
        <v>0.17068727261892164</v>
      </c>
      <c r="BI8" s="13">
        <f t="shared" si="29"/>
        <v>0.43674969194476826</v>
      </c>
    </row>
    <row r="9" spans="3:61" x14ac:dyDescent="0.35">
      <c r="C9" s="1">
        <v>44</v>
      </c>
      <c r="D9" s="1">
        <v>11</v>
      </c>
      <c r="E9" s="1">
        <v>1</v>
      </c>
      <c r="G9" s="3">
        <f t="shared" si="0"/>
        <v>0.66666666666666663</v>
      </c>
      <c r="H9" s="3">
        <f t="shared" si="1"/>
        <v>0.2</v>
      </c>
      <c r="I9">
        <f t="shared" si="2"/>
        <v>1</v>
      </c>
      <c r="K9" s="6">
        <f t="shared" si="30"/>
        <v>0.78782753978731945</v>
      </c>
      <c r="M9" s="6">
        <f t="shared" si="3"/>
        <v>4.5017152872701513E-2</v>
      </c>
      <c r="O9" s="20" t="s">
        <v>12</v>
      </c>
      <c r="P9" s="64">
        <v>0.1236484740525421</v>
      </c>
      <c r="R9" s="6">
        <f t="shared" si="31"/>
        <v>1.3118797722306905</v>
      </c>
      <c r="S9" s="6">
        <f t="shared" si="4"/>
        <v>1.0105410807207238</v>
      </c>
      <c r="T9" s="6">
        <f t="shared" si="32"/>
        <v>0.78782753978731945</v>
      </c>
      <c r="U9" s="6">
        <f t="shared" si="33"/>
        <v>0.73312602625522516</v>
      </c>
      <c r="W9" s="6"/>
      <c r="X9" s="11">
        <f t="shared" si="5"/>
        <v>-5.2001732830860736E-2</v>
      </c>
      <c r="Y9" s="12">
        <f t="shared" si="6"/>
        <v>0.73312602625522516</v>
      </c>
      <c r="Z9" s="12">
        <f t="shared" si="7"/>
        <v>0.16715530733997905</v>
      </c>
      <c r="AA9" s="13">
        <f t="shared" si="8"/>
        <v>-0.42434492042536109</v>
      </c>
      <c r="AC9" s="11">
        <f t="shared" si="9"/>
        <v>-7.0931505591860192E-2</v>
      </c>
      <c r="AD9" s="12">
        <v>1</v>
      </c>
      <c r="AE9" s="12">
        <f t="shared" si="10"/>
        <v>0.16715530733997905</v>
      </c>
      <c r="AF9" s="13">
        <f t="shared" si="11"/>
        <v>-0.42434492042536109</v>
      </c>
      <c r="AG9" s="6"/>
      <c r="AI9" s="11">
        <f t="shared" si="12"/>
        <v>-1.0958478602805079E-2</v>
      </c>
      <c r="AJ9" s="12">
        <f t="shared" si="13"/>
        <v>0.2</v>
      </c>
      <c r="AK9" s="12">
        <f t="shared" si="34"/>
        <v>0.19565225588244806</v>
      </c>
      <c r="AL9" s="12">
        <f t="shared" si="14"/>
        <v>3.948173510111725</v>
      </c>
      <c r="AM9" s="12">
        <f t="shared" si="15"/>
        <v>0.16715530733997905</v>
      </c>
      <c r="AN9" s="13">
        <f t="shared" si="16"/>
        <v>-0.42434492042536109</v>
      </c>
      <c r="AP9" s="11">
        <f t="shared" si="17"/>
        <v>-5.4792393014025394E-2</v>
      </c>
      <c r="AQ9" s="12">
        <v>1</v>
      </c>
      <c r="AR9" s="12">
        <f t="shared" si="35"/>
        <v>0.19565225588244806</v>
      </c>
      <c r="AS9" s="12">
        <f t="shared" si="18"/>
        <v>3.948173510111725</v>
      </c>
      <c r="AT9" s="12">
        <f t="shared" si="19"/>
        <v>0.16715530733997905</v>
      </c>
      <c r="AU9" s="13">
        <f t="shared" si="20"/>
        <v>-0.42434492042536109</v>
      </c>
      <c r="AW9" s="11">
        <f t="shared" si="21"/>
        <v>-3.6528262009350256E-2</v>
      </c>
      <c r="AX9" s="12">
        <f t="shared" si="22"/>
        <v>0.66666666666666663</v>
      </c>
      <c r="AY9" s="12">
        <f t="shared" si="36"/>
        <v>0.19565225588244806</v>
      </c>
      <c r="AZ9" s="12">
        <f t="shared" si="23"/>
        <v>3.948173510111725</v>
      </c>
      <c r="BA9" s="12">
        <f t="shared" si="24"/>
        <v>0.16715530733997905</v>
      </c>
      <c r="BB9" s="13">
        <f t="shared" si="25"/>
        <v>-0.42434492042536109</v>
      </c>
      <c r="BD9" s="11">
        <f t="shared" si="26"/>
        <v>-5.4792393014025394E-2</v>
      </c>
      <c r="BE9" s="12">
        <f>1</f>
        <v>1</v>
      </c>
      <c r="BF9" s="12">
        <f t="shared" si="37"/>
        <v>0.19565225588244806</v>
      </c>
      <c r="BG9" s="12">
        <f t="shared" si="27"/>
        <v>3.948173510111725</v>
      </c>
      <c r="BH9" s="12">
        <f t="shared" si="28"/>
        <v>0.16715530733997905</v>
      </c>
      <c r="BI9" s="13">
        <f t="shared" si="29"/>
        <v>-0.42434492042536109</v>
      </c>
    </row>
    <row r="10" spans="3:61" ht="15" thickBot="1" x14ac:dyDescent="0.4">
      <c r="C10" s="1">
        <v>66</v>
      </c>
      <c r="D10" s="1">
        <v>21</v>
      </c>
      <c r="E10" s="1">
        <v>1</v>
      </c>
      <c r="G10" s="3">
        <f t="shared" si="0"/>
        <v>1</v>
      </c>
      <c r="H10" s="3">
        <f t="shared" si="1"/>
        <v>0.38181818181818183</v>
      </c>
      <c r="I10">
        <f t="shared" si="2"/>
        <v>1</v>
      </c>
      <c r="K10" s="6">
        <f t="shared" si="30"/>
        <v>0.81065404575310551</v>
      </c>
      <c r="M10" s="6">
        <f t="shared" si="3"/>
        <v>3.585189038966706E-2</v>
      </c>
      <c r="O10" s="21" t="s">
        <v>13</v>
      </c>
      <c r="P10" s="63">
        <v>-1.5826289842036625</v>
      </c>
      <c r="R10" s="6">
        <f t="shared" si="31"/>
        <v>1.4542655981495172</v>
      </c>
      <c r="S10" s="6">
        <f t="shared" si="4"/>
        <v>1.2037417253727154</v>
      </c>
      <c r="T10" s="6">
        <f t="shared" si="32"/>
        <v>0.81065404575310551</v>
      </c>
      <c r="U10" s="6">
        <f t="shared" si="33"/>
        <v>0.7691897467462725</v>
      </c>
      <c r="W10" s="6"/>
      <c r="X10" s="11">
        <f t="shared" si="5"/>
        <v>-4.471066162965516E-2</v>
      </c>
      <c r="Y10" s="12">
        <f t="shared" si="6"/>
        <v>0.7691897467462725</v>
      </c>
      <c r="Z10" s="12">
        <f t="shared" si="7"/>
        <v>0.15349406385722741</v>
      </c>
      <c r="AA10" s="13">
        <f t="shared" si="8"/>
        <v>-0.37869190849378898</v>
      </c>
      <c r="AC10" s="11">
        <f t="shared" si="9"/>
        <v>-5.8126959984560966E-2</v>
      </c>
      <c r="AD10" s="12">
        <v>1</v>
      </c>
      <c r="AE10" s="12">
        <f t="shared" si="10"/>
        <v>0.15349406385722741</v>
      </c>
      <c r="AF10" s="13">
        <f t="shared" si="11"/>
        <v>-0.37869190849378898</v>
      </c>
      <c r="AG10" s="6"/>
      <c r="AI10" s="11">
        <f t="shared" si="12"/>
        <v>-1.5556755628621697E-2</v>
      </c>
      <c r="AJ10" s="12">
        <f t="shared" si="13"/>
        <v>0.38181818181818183</v>
      </c>
      <c r="AK10" s="12">
        <f t="shared" si="34"/>
        <v>0.17753688024667769</v>
      </c>
      <c r="AL10" s="12">
        <f t="shared" si="14"/>
        <v>3.948173510111725</v>
      </c>
      <c r="AM10" s="12">
        <f t="shared" si="15"/>
        <v>0.15349406385722741</v>
      </c>
      <c r="AN10" s="13">
        <f t="shared" si="16"/>
        <v>-0.37869190849378898</v>
      </c>
      <c r="AP10" s="11">
        <f t="shared" si="17"/>
        <v>-4.0743883789247308E-2</v>
      </c>
      <c r="AQ10" s="12">
        <v>1</v>
      </c>
      <c r="AR10" s="12">
        <f t="shared" si="35"/>
        <v>0.17753688024667769</v>
      </c>
      <c r="AS10" s="12">
        <f t="shared" si="18"/>
        <v>3.948173510111725</v>
      </c>
      <c r="AT10" s="12">
        <f t="shared" si="19"/>
        <v>0.15349406385722741</v>
      </c>
      <c r="AU10" s="13">
        <f t="shared" si="20"/>
        <v>-0.37869190849378898</v>
      </c>
      <c r="AW10" s="11">
        <f t="shared" si="21"/>
        <v>-4.0743883789247308E-2</v>
      </c>
      <c r="AX10" s="12">
        <f t="shared" si="22"/>
        <v>1</v>
      </c>
      <c r="AY10" s="12">
        <f t="shared" si="36"/>
        <v>0.17753688024667769</v>
      </c>
      <c r="AZ10" s="12">
        <f t="shared" si="23"/>
        <v>3.948173510111725</v>
      </c>
      <c r="BA10" s="12">
        <f t="shared" si="24"/>
        <v>0.15349406385722741</v>
      </c>
      <c r="BB10" s="13">
        <f t="shared" si="25"/>
        <v>-0.37869190849378898</v>
      </c>
      <c r="BD10" s="11">
        <f t="shared" si="26"/>
        <v>-4.0743883789247308E-2</v>
      </c>
      <c r="BE10" s="12">
        <f>1</f>
        <v>1</v>
      </c>
      <c r="BF10" s="12">
        <f t="shared" si="37"/>
        <v>0.17753688024667769</v>
      </c>
      <c r="BG10" s="12">
        <f t="shared" si="27"/>
        <v>3.948173510111725</v>
      </c>
      <c r="BH10" s="12">
        <f t="shared" si="28"/>
        <v>0.15349406385722741</v>
      </c>
      <c r="BI10" s="13">
        <f t="shared" si="29"/>
        <v>-0.37869190849378898</v>
      </c>
    </row>
    <row r="11" spans="3:61" x14ac:dyDescent="0.35">
      <c r="C11" s="1">
        <v>45</v>
      </c>
      <c r="D11" s="1">
        <v>23</v>
      </c>
      <c r="E11" s="1">
        <v>1</v>
      </c>
      <c r="G11" s="3">
        <f t="shared" si="0"/>
        <v>0.68181818181818177</v>
      </c>
      <c r="H11" s="3">
        <f t="shared" si="1"/>
        <v>0.41818181818181815</v>
      </c>
      <c r="I11">
        <f t="shared" si="2"/>
        <v>1</v>
      </c>
      <c r="K11" s="6">
        <f t="shared" si="30"/>
        <v>0.63048943234937238</v>
      </c>
      <c r="M11" s="6">
        <f t="shared" si="3"/>
        <v>0.13653805960548904</v>
      </c>
      <c r="R11" s="6">
        <f t="shared" si="31"/>
        <v>0.53431705467240742</v>
      </c>
      <c r="S11" s="6">
        <f t="shared" si="4"/>
        <v>0.14498801108692061</v>
      </c>
      <c r="T11" s="6">
        <f t="shared" si="32"/>
        <v>0.63048943234937238</v>
      </c>
      <c r="U11" s="6">
        <f t="shared" si="33"/>
        <v>0.5361836387013712</v>
      </c>
      <c r="W11" s="6"/>
      <c r="X11" s="11">
        <f t="shared" si="5"/>
        <v>-9.2315598931165532E-2</v>
      </c>
      <c r="Y11" s="12">
        <f t="shared" si="6"/>
        <v>0.5361836387013712</v>
      </c>
      <c r="Z11" s="12">
        <f t="shared" si="7"/>
        <v>0.23297250804513858</v>
      </c>
      <c r="AA11" s="13">
        <f t="shared" si="8"/>
        <v>-0.73902113530125524</v>
      </c>
      <c r="AC11" s="11">
        <f t="shared" si="9"/>
        <v>-0.17217160738949913</v>
      </c>
      <c r="AD11" s="12">
        <v>1</v>
      </c>
      <c r="AE11" s="12">
        <f t="shared" si="10"/>
        <v>0.23297250804513858</v>
      </c>
      <c r="AF11" s="13">
        <f t="shared" si="11"/>
        <v>-0.73902113530125524</v>
      </c>
      <c r="AG11" s="6"/>
      <c r="AI11" s="11">
        <f t="shared" si="12"/>
        <v>-7.0693996328826073E-2</v>
      </c>
      <c r="AJ11" s="12">
        <f t="shared" si="13"/>
        <v>0.41818181818181815</v>
      </c>
      <c r="AK11" s="12">
        <f t="shared" si="34"/>
        <v>0.24869074429032864</v>
      </c>
      <c r="AL11" s="12">
        <f t="shared" si="14"/>
        <v>3.948173510111725</v>
      </c>
      <c r="AM11" s="12">
        <f t="shared" si="15"/>
        <v>0.23297250804513858</v>
      </c>
      <c r="AN11" s="13">
        <f t="shared" si="16"/>
        <v>-0.73902113530125524</v>
      </c>
      <c r="AP11" s="11">
        <f t="shared" si="17"/>
        <v>-0.16905086078632323</v>
      </c>
      <c r="AQ11" s="12">
        <v>1</v>
      </c>
      <c r="AR11" s="12">
        <f t="shared" si="35"/>
        <v>0.24869074429032864</v>
      </c>
      <c r="AS11" s="12">
        <f t="shared" si="18"/>
        <v>3.948173510111725</v>
      </c>
      <c r="AT11" s="12">
        <f t="shared" si="19"/>
        <v>0.23297250804513858</v>
      </c>
      <c r="AU11" s="13">
        <f t="shared" si="20"/>
        <v>-0.73902113530125524</v>
      </c>
      <c r="AW11" s="11">
        <f t="shared" si="21"/>
        <v>-0.11526195053612945</v>
      </c>
      <c r="AX11" s="12">
        <f t="shared" si="22"/>
        <v>0.68181818181818177</v>
      </c>
      <c r="AY11" s="12">
        <f t="shared" si="36"/>
        <v>0.24869074429032864</v>
      </c>
      <c r="AZ11" s="12">
        <f t="shared" si="23"/>
        <v>3.948173510111725</v>
      </c>
      <c r="BA11" s="12">
        <f t="shared" si="24"/>
        <v>0.23297250804513858</v>
      </c>
      <c r="BB11" s="13">
        <f t="shared" si="25"/>
        <v>-0.73902113530125524</v>
      </c>
      <c r="BD11" s="11">
        <f t="shared" si="26"/>
        <v>-0.16905086078632323</v>
      </c>
      <c r="BE11" s="12">
        <f>1</f>
        <v>1</v>
      </c>
      <c r="BF11" s="12">
        <f t="shared" si="37"/>
        <v>0.24869074429032864</v>
      </c>
      <c r="BG11" s="12">
        <f t="shared" si="27"/>
        <v>3.948173510111725</v>
      </c>
      <c r="BH11" s="12">
        <f t="shared" si="28"/>
        <v>0.23297250804513858</v>
      </c>
      <c r="BI11" s="13">
        <f t="shared" si="29"/>
        <v>-0.73902113530125524</v>
      </c>
    </row>
    <row r="12" spans="3:61" x14ac:dyDescent="0.35">
      <c r="C12" s="1">
        <v>34</v>
      </c>
      <c r="D12" s="1">
        <v>8</v>
      </c>
      <c r="E12" s="1">
        <v>1</v>
      </c>
      <c r="G12" s="3">
        <f t="shared" si="0"/>
        <v>0.51515151515151514</v>
      </c>
      <c r="H12" s="3">
        <f t="shared" si="1"/>
        <v>0.14545454545454545</v>
      </c>
      <c r="I12">
        <f t="shared" si="2"/>
        <v>1</v>
      </c>
      <c r="K12" s="6">
        <f t="shared" si="30"/>
        <v>0.75883565958196719</v>
      </c>
      <c r="M12" s="6">
        <f t="shared" si="3"/>
        <v>5.8160239089264813E-2</v>
      </c>
      <c r="O12" s="23" t="s">
        <v>64</v>
      </c>
      <c r="P12" s="22">
        <v>0.2</v>
      </c>
      <c r="R12" s="6">
        <f t="shared" si="31"/>
        <v>1.1463066201177596</v>
      </c>
      <c r="S12" s="6">
        <f t="shared" si="4"/>
        <v>0.80568564846941526</v>
      </c>
      <c r="T12" s="6">
        <f t="shared" ref="T12" si="38">1/(1+ EXP(-R12))</f>
        <v>0.75883565958196719</v>
      </c>
      <c r="U12" s="6">
        <f t="shared" ref="U12" si="39">1/(1+ EXP(-S12))</f>
        <v>0.69118938094597548</v>
      </c>
      <c r="W12" s="6"/>
      <c r="X12" s="11">
        <f t="shared" si="5"/>
        <v>-6.1009991907361949E-2</v>
      </c>
      <c r="Y12" s="12">
        <f t="shared" si="6"/>
        <v>0.69118938094597548</v>
      </c>
      <c r="Z12" s="12">
        <f t="shared" si="7"/>
        <v>0.18300410132876799</v>
      </c>
      <c r="AA12" s="13">
        <f t="shared" si="8"/>
        <v>-0.48232868083606562</v>
      </c>
      <c r="AC12" s="11">
        <f t="shared" si="9"/>
        <v>-8.8268126781494344E-2</v>
      </c>
      <c r="AD12" s="12">
        <v>1</v>
      </c>
      <c r="AE12" s="12">
        <f t="shared" si="10"/>
        <v>0.18300410132876799</v>
      </c>
      <c r="AF12" s="13">
        <f t="shared" si="11"/>
        <v>-0.48232868083606562</v>
      </c>
      <c r="AG12" s="6"/>
      <c r="AI12" s="11">
        <f t="shared" si="12"/>
        <v>-1.0819737420424044E-2</v>
      </c>
      <c r="AJ12" s="12">
        <f t="shared" si="13"/>
        <v>0.14545454545454545</v>
      </c>
      <c r="AK12" s="12">
        <f t="shared" si="34"/>
        <v>0.21344662061349468</v>
      </c>
      <c r="AL12" s="12">
        <f t="shared" si="14"/>
        <v>3.948173510111725</v>
      </c>
      <c r="AM12" s="12">
        <f t="shared" si="15"/>
        <v>0.18300410132876799</v>
      </c>
      <c r="AN12" s="13">
        <f t="shared" si="16"/>
        <v>-0.48232868083606562</v>
      </c>
      <c r="AP12" s="11">
        <f t="shared" si="17"/>
        <v>-7.4385694765415317E-2</v>
      </c>
      <c r="AQ12" s="12">
        <v>1</v>
      </c>
      <c r="AR12" s="12">
        <f t="shared" si="35"/>
        <v>0.21344662061349468</v>
      </c>
      <c r="AS12" s="12">
        <f t="shared" si="18"/>
        <v>3.948173510111725</v>
      </c>
      <c r="AT12" s="12">
        <f t="shared" si="19"/>
        <v>0.18300410132876799</v>
      </c>
      <c r="AU12" s="13">
        <f t="shared" si="20"/>
        <v>-0.48232868083606562</v>
      </c>
      <c r="AW12" s="11">
        <f t="shared" si="21"/>
        <v>-3.8319903364001824E-2</v>
      </c>
      <c r="AX12" s="12">
        <f t="shared" si="22"/>
        <v>0.51515151515151514</v>
      </c>
      <c r="AY12" s="12">
        <f t="shared" si="36"/>
        <v>0.21344662061349468</v>
      </c>
      <c r="AZ12" s="12">
        <f t="shared" si="23"/>
        <v>3.948173510111725</v>
      </c>
      <c r="BA12" s="12">
        <f t="shared" si="24"/>
        <v>0.18300410132876799</v>
      </c>
      <c r="BB12" s="13">
        <f t="shared" si="25"/>
        <v>-0.48232868083606562</v>
      </c>
      <c r="BD12" s="11">
        <f t="shared" si="26"/>
        <v>-7.4385694765415317E-2</v>
      </c>
      <c r="BE12" s="12">
        <f>1</f>
        <v>1</v>
      </c>
      <c r="BF12" s="12">
        <f t="shared" si="37"/>
        <v>0.21344662061349468</v>
      </c>
      <c r="BG12" s="12">
        <f t="shared" si="27"/>
        <v>3.948173510111725</v>
      </c>
      <c r="BH12" s="12">
        <f t="shared" si="28"/>
        <v>0.18300410132876799</v>
      </c>
      <c r="BI12" s="13">
        <f t="shared" si="29"/>
        <v>-0.48232868083606562</v>
      </c>
    </row>
    <row r="13" spans="3:61" x14ac:dyDescent="0.35">
      <c r="M13" s="6"/>
      <c r="X13" s="8"/>
      <c r="Y13" s="9"/>
      <c r="Z13" s="9"/>
      <c r="AA13" s="10"/>
      <c r="AC13" s="8"/>
      <c r="AD13" s="9"/>
      <c r="AE13" s="9"/>
      <c r="AF13" s="10"/>
      <c r="AI13" s="8"/>
      <c r="AJ13" s="9"/>
      <c r="AK13" s="9"/>
      <c r="AL13" s="9"/>
      <c r="AM13" s="9"/>
      <c r="AN13" s="10"/>
      <c r="AP13" s="8"/>
      <c r="AQ13" s="9"/>
      <c r="AR13" s="9"/>
      <c r="AS13" s="9"/>
      <c r="AT13" s="9"/>
      <c r="AU13" s="10"/>
      <c r="AW13" s="8"/>
      <c r="AX13" s="9"/>
      <c r="AY13" s="9"/>
      <c r="AZ13" s="9"/>
      <c r="BA13" s="9"/>
      <c r="BB13" s="10"/>
      <c r="BD13" s="8"/>
      <c r="BE13" s="9"/>
      <c r="BF13" s="9"/>
      <c r="BG13" s="9"/>
      <c r="BH13" s="9"/>
      <c r="BI13" s="10"/>
    </row>
    <row r="14" spans="3:61" ht="15" thickBot="1" x14ac:dyDescent="0.4">
      <c r="M14" s="6">
        <f>SUM(M5:M12)</f>
        <v>0.62215522109924182</v>
      </c>
      <c r="W14" s="6" t="s">
        <v>61</v>
      </c>
      <c r="X14" s="14" t="s">
        <v>60</v>
      </c>
      <c r="Y14" s="16">
        <f>SUM(X5:X12)</f>
        <v>-0.15594572510171217</v>
      </c>
      <c r="Z14" s="17"/>
      <c r="AA14" s="63">
        <f>P7-(Y14*P12)</f>
        <v>3.9793626551320673</v>
      </c>
      <c r="AB14" s="7"/>
      <c r="AC14" s="14" t="s">
        <v>60</v>
      </c>
      <c r="AD14" s="18">
        <f>SUM(AC5:AC12)</f>
        <v>7.8334362675401059E-2</v>
      </c>
      <c r="AE14" s="17"/>
      <c r="AF14" s="63">
        <f>P10-(AD14*P12)</f>
        <v>-1.5982958567387426</v>
      </c>
      <c r="AG14" s="7"/>
      <c r="AH14" s="7"/>
      <c r="AI14" s="14" t="s">
        <v>60</v>
      </c>
      <c r="AJ14" s="18">
        <f>SUM(AI5:AI12)</f>
        <v>4.7691340337318665E-2</v>
      </c>
      <c r="AK14" s="17"/>
      <c r="AL14" s="17"/>
      <c r="AM14" s="17"/>
      <c r="AN14" s="63">
        <f>P6-(AJ14*P12)</f>
        <v>-4.1746770464641614</v>
      </c>
      <c r="AO14" s="7"/>
      <c r="AP14" s="14" t="s">
        <v>60</v>
      </c>
      <c r="AQ14" s="18">
        <f>SUM(AP5:AP12)</f>
        <v>-5.7740326661592734E-2</v>
      </c>
      <c r="AR14" s="17"/>
      <c r="AS14" s="17"/>
      <c r="AT14" s="17"/>
      <c r="AU14" s="63">
        <f>P9-(P12*AJ14)</f>
        <v>0.11411020598507837</v>
      </c>
      <c r="AV14" s="7"/>
      <c r="AW14" s="14" t="s">
        <v>60</v>
      </c>
      <c r="AX14" s="18">
        <f>SUM(AW5:AW12)</f>
        <v>-0.11864402144215944</v>
      </c>
      <c r="AY14" s="17"/>
      <c r="AZ14" s="17"/>
      <c r="BA14" s="17"/>
      <c r="BB14" s="63">
        <f>P5-(P12*AX14)</f>
        <v>2.875224617369879</v>
      </c>
      <c r="BC14" s="7"/>
      <c r="BD14" s="14" t="s">
        <v>60</v>
      </c>
      <c r="BE14" s="18">
        <f>SUM(BD5:BD12)</f>
        <v>-5.7740326661592734E-2</v>
      </c>
      <c r="BF14" s="15"/>
      <c r="BG14" s="15"/>
      <c r="BH14" s="15"/>
      <c r="BI14" s="63">
        <f>P8-(P12*BE14)</f>
        <v>-0.16952878104112473</v>
      </c>
    </row>
    <row r="16" spans="3:61" x14ac:dyDescent="0.35">
      <c r="C16" t="s">
        <v>0</v>
      </c>
      <c r="F16" t="s">
        <v>1</v>
      </c>
      <c r="I16" t="s">
        <v>2</v>
      </c>
      <c r="M16" s="5"/>
    </row>
    <row r="17" spans="2:58" x14ac:dyDescent="0.35">
      <c r="M17" s="5"/>
      <c r="X17" t="s">
        <v>32</v>
      </c>
      <c r="Y17" t="s">
        <v>25</v>
      </c>
      <c r="AC17" t="s">
        <v>34</v>
      </c>
      <c r="AD17" t="s">
        <v>25</v>
      </c>
      <c r="AW17" t="s">
        <v>38</v>
      </c>
      <c r="AX17" t="s">
        <v>25</v>
      </c>
    </row>
    <row r="18" spans="2:58" x14ac:dyDescent="0.35">
      <c r="AI18" t="s">
        <v>36</v>
      </c>
      <c r="AJ18" t="s">
        <v>25</v>
      </c>
      <c r="AP18" t="s">
        <v>37</v>
      </c>
      <c r="AQ18" t="s">
        <v>25</v>
      </c>
      <c r="BD18" t="s">
        <v>39</v>
      </c>
      <c r="BE18" t="s">
        <v>25</v>
      </c>
    </row>
    <row r="19" spans="2:58" x14ac:dyDescent="0.35">
      <c r="M19" s="5"/>
    </row>
    <row r="20" spans="2:58" x14ac:dyDescent="0.35">
      <c r="M20" s="5"/>
    </row>
    <row r="21" spans="2:58" x14ac:dyDescent="0.35">
      <c r="M21" s="5"/>
    </row>
    <row r="22" spans="2:58" x14ac:dyDescent="0.35">
      <c r="M22" s="5"/>
      <c r="X22" t="s">
        <v>33</v>
      </c>
      <c r="Y22" t="s">
        <v>25</v>
      </c>
    </row>
    <row r="23" spans="2:58" x14ac:dyDescent="0.35">
      <c r="M23" s="5"/>
      <c r="AC23" t="s">
        <v>35</v>
      </c>
      <c r="AD23" t="s">
        <v>25</v>
      </c>
      <c r="AJ23" t="s">
        <v>45</v>
      </c>
      <c r="AK23" t="s">
        <v>25</v>
      </c>
      <c r="AQ23" t="s">
        <v>46</v>
      </c>
      <c r="AR23" t="s">
        <v>25</v>
      </c>
      <c r="AX23" t="s">
        <v>48</v>
      </c>
      <c r="AY23" t="s">
        <v>25</v>
      </c>
      <c r="BE23" t="s">
        <v>47</v>
      </c>
      <c r="BF23" t="s">
        <v>25</v>
      </c>
    </row>
    <row r="24" spans="2:58" x14ac:dyDescent="0.35">
      <c r="M24" s="5"/>
    </row>
    <row r="26" spans="2:58" x14ac:dyDescent="0.35">
      <c r="M26" s="5"/>
    </row>
    <row r="27" spans="2:58" x14ac:dyDescent="0.35">
      <c r="M27" s="5"/>
      <c r="X27" t="s">
        <v>29</v>
      </c>
      <c r="Y27" t="s">
        <v>25</v>
      </c>
    </row>
    <row r="28" spans="2:58" x14ac:dyDescent="0.35">
      <c r="AJ28" t="s">
        <v>44</v>
      </c>
      <c r="AK28" t="s">
        <v>25</v>
      </c>
    </row>
    <row r="29" spans="2:58" x14ac:dyDescent="0.35">
      <c r="M29" s="5"/>
    </row>
    <row r="30" spans="2:58" x14ac:dyDescent="0.35">
      <c r="M30" s="5"/>
    </row>
    <row r="32" spans="2:58" x14ac:dyDescent="0.35">
      <c r="B32" t="s">
        <v>24</v>
      </c>
      <c r="C32" t="s">
        <v>25</v>
      </c>
      <c r="X32" t="s">
        <v>30</v>
      </c>
      <c r="Y32" t="s">
        <v>25</v>
      </c>
    </row>
    <row r="33" spans="2:37" x14ac:dyDescent="0.35">
      <c r="AJ33" t="s">
        <v>43</v>
      </c>
      <c r="AK33" t="s">
        <v>25</v>
      </c>
    </row>
    <row r="39" spans="2:37" x14ac:dyDescent="0.35">
      <c r="B39" t="s">
        <v>26</v>
      </c>
      <c r="C39" t="s">
        <v>25</v>
      </c>
    </row>
    <row r="44" spans="2:37" x14ac:dyDescent="0.35">
      <c r="B44" t="s">
        <v>27</v>
      </c>
      <c r="C44" t="s">
        <v>25</v>
      </c>
    </row>
    <row r="47" spans="2:37" x14ac:dyDescent="0.35">
      <c r="X47" s="6">
        <f>P5-Y14</f>
        <v>3.007441538183159</v>
      </c>
    </row>
    <row r="49" spans="2:61" x14ac:dyDescent="0.35">
      <c r="B49" t="s">
        <v>41</v>
      </c>
      <c r="C49" t="s">
        <v>25</v>
      </c>
    </row>
    <row r="50" spans="2:61" x14ac:dyDescent="0.35">
      <c r="X50" s="56" t="s">
        <v>62</v>
      </c>
      <c r="Y50" s="56"/>
      <c r="Z50" s="56"/>
      <c r="AA50" s="56"/>
      <c r="AC50" s="56" t="s">
        <v>67</v>
      </c>
      <c r="AD50" s="56"/>
      <c r="AE50" s="56"/>
      <c r="AF50" s="56"/>
      <c r="AI50" s="56" t="s">
        <v>68</v>
      </c>
      <c r="AJ50" s="56"/>
      <c r="AK50" s="56"/>
      <c r="AL50" s="56"/>
      <c r="AM50" s="56"/>
      <c r="AN50" s="56"/>
      <c r="AP50" s="56" t="s">
        <v>69</v>
      </c>
      <c r="AQ50" s="56"/>
      <c r="AR50" s="56"/>
      <c r="AS50" s="56"/>
      <c r="AT50" s="56"/>
      <c r="AU50" s="56"/>
      <c r="AW50" s="56" t="s">
        <v>70</v>
      </c>
      <c r="AX50" s="56"/>
      <c r="AY50" s="56"/>
      <c r="AZ50" s="56"/>
      <c r="BA50" s="56"/>
      <c r="BB50" s="56"/>
      <c r="BD50" s="56" t="s">
        <v>71</v>
      </c>
      <c r="BE50" s="56"/>
      <c r="BF50" s="56"/>
      <c r="BG50" s="56"/>
      <c r="BH50" s="56"/>
      <c r="BI50" s="56"/>
    </row>
    <row r="51" spans="2:61" x14ac:dyDescent="0.35">
      <c r="X51" t="s">
        <v>63</v>
      </c>
      <c r="Y51" t="s">
        <v>21</v>
      </c>
      <c r="AC51" t="s">
        <v>63</v>
      </c>
      <c r="AD51" t="s">
        <v>21</v>
      </c>
      <c r="AI51" t="s">
        <v>63</v>
      </c>
      <c r="AJ51" t="s">
        <v>21</v>
      </c>
      <c r="AP51" t="s">
        <v>63</v>
      </c>
      <c r="AQ51" t="s">
        <v>21</v>
      </c>
      <c r="AW51" t="s">
        <v>63</v>
      </c>
      <c r="AX51" t="s">
        <v>21</v>
      </c>
      <c r="BD51" t="s">
        <v>63</v>
      </c>
      <c r="BE51" t="s">
        <v>21</v>
      </c>
    </row>
    <row r="52" spans="2:61" x14ac:dyDescent="0.35">
      <c r="X52">
        <v>0</v>
      </c>
      <c r="BD52">
        <v>2.5</v>
      </c>
    </row>
    <row r="54" spans="2:61" x14ac:dyDescent="0.35">
      <c r="B54" t="s">
        <v>28</v>
      </c>
      <c r="C54" t="s">
        <v>25</v>
      </c>
    </row>
    <row r="59" spans="2:61" x14ac:dyDescent="0.35">
      <c r="B59" t="s">
        <v>40</v>
      </c>
      <c r="C59" t="s">
        <v>25</v>
      </c>
    </row>
    <row r="62" spans="2:61" x14ac:dyDescent="0.35">
      <c r="B62" t="s">
        <v>42</v>
      </c>
    </row>
    <row r="107" spans="2:24" ht="15" thickBot="1" x14ac:dyDescent="0.4"/>
    <row r="108" spans="2:24" ht="21.5" thickBot="1" x14ac:dyDescent="0.55000000000000004">
      <c r="B108" s="53" t="s">
        <v>65</v>
      </c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5"/>
    </row>
    <row r="109" spans="2:24" x14ac:dyDescent="0.35">
      <c r="B109" s="47" t="s">
        <v>6</v>
      </c>
      <c r="C109" s="27">
        <v>1</v>
      </c>
      <c r="D109" s="40">
        <f>1/(1+EXP(-D135))</f>
        <v>0.17864110767244132</v>
      </c>
      <c r="E109" s="39">
        <f t="shared" ref="E109:W110" si="40">1/(1+EXP(-E135))</f>
        <v>0.17990595917585059</v>
      </c>
      <c r="F109" s="39">
        <f t="shared" si="40"/>
        <v>0.18136631843509746</v>
      </c>
      <c r="G109" s="39">
        <f t="shared" si="40"/>
        <v>0.18305261537721235</v>
      </c>
      <c r="H109" s="39">
        <f t="shared" si="40"/>
        <v>0.18500005377597464</v>
      </c>
      <c r="I109" s="39">
        <f t="shared" si="40"/>
        <v>0.18724935628308559</v>
      </c>
      <c r="J109" s="39">
        <f t="shared" si="40"/>
        <v>0.18984761630364183</v>
      </c>
      <c r="K109" s="39">
        <f t="shared" si="40"/>
        <v>0.19284926482700335</v>
      </c>
      <c r="L109" s="39">
        <f t="shared" si="40"/>
        <v>0.19631715608394942</v>
      </c>
      <c r="M109" s="39">
        <f t="shared" si="40"/>
        <v>0.20032376802894636</v>
      </c>
      <c r="N109" s="39">
        <f t="shared" si="40"/>
        <v>0.20495250021887279</v>
      </c>
      <c r="O109" s="39">
        <f t="shared" si="40"/>
        <v>0.21029902999464162</v>
      </c>
      <c r="P109" s="39">
        <f t="shared" si="40"/>
        <v>0.21647265439485547</v>
      </c>
      <c r="Q109" s="39">
        <f t="shared" si="40"/>
        <v>0.22359749547495172</v>
      </c>
      <c r="R109" s="39">
        <f t="shared" si="40"/>
        <v>0.23181337565116031</v>
      </c>
      <c r="S109" s="39">
        <f t="shared" si="40"/>
        <v>0.24127607277909224</v>
      </c>
      <c r="T109" s="39">
        <f t="shared" si="40"/>
        <v>0.25215654004774862</v>
      </c>
      <c r="U109" s="39">
        <f t="shared" si="40"/>
        <v>0.26463852838560376</v>
      </c>
      <c r="V109" s="39">
        <f t="shared" si="40"/>
        <v>0.27891389740922107</v>
      </c>
      <c r="W109" s="39">
        <f t="shared" si="40"/>
        <v>0.29517478616488391</v>
      </c>
      <c r="X109" s="41">
        <f>1/(1+EXP(-X135))</f>
        <v>0.31360181058848607</v>
      </c>
    </row>
    <row r="110" spans="2:24" x14ac:dyDescent="0.35">
      <c r="B110" s="48"/>
      <c r="C110" s="24">
        <v>0.95</v>
      </c>
      <c r="D110" s="42">
        <f>1/(1+EXP(-D136))</f>
        <v>0.18055270067001669</v>
      </c>
      <c r="E110" s="38">
        <f t="shared" si="40"/>
        <v>0.18211309333186818</v>
      </c>
      <c r="F110" s="38">
        <f t="shared" si="40"/>
        <v>0.1839150058151974</v>
      </c>
      <c r="G110" s="38">
        <f t="shared" si="40"/>
        <v>0.1859960855658227</v>
      </c>
      <c r="H110" s="38">
        <f t="shared" si="40"/>
        <v>0.18839987752437171</v>
      </c>
      <c r="I110" s="38">
        <f t="shared" si="40"/>
        <v>0.1911767281425738</v>
      </c>
      <c r="J110" s="38">
        <f t="shared" si="40"/>
        <v>0.19438480684765555</v>
      </c>
      <c r="K110" s="38">
        <f t="shared" si="40"/>
        <v>0.19809124575102982</v>
      </c>
      <c r="L110" s="38">
        <f t="shared" si="40"/>
        <v>0.20237338824708723</v>
      </c>
      <c r="M110" s="38">
        <f t="shared" si="40"/>
        <v>0.20732012031049907</v>
      </c>
      <c r="N110" s="38">
        <f t="shared" si="40"/>
        <v>0.21303323169436078</v>
      </c>
      <c r="O110" s="38">
        <f t="shared" si="40"/>
        <v>0.21962871385684038</v>
      </c>
      <c r="P110" s="38">
        <f t="shared" si="40"/>
        <v>0.22723784250655318</v>
      </c>
      <c r="Q110" s="38">
        <f t="shared" si="40"/>
        <v>0.2360078101648983</v>
      </c>
      <c r="R110" s="38">
        <f t="shared" si="40"/>
        <v>0.24610156440564093</v>
      </c>
      <c r="S110" s="38">
        <f t="shared" si="40"/>
        <v>0.25769637107355869</v>
      </c>
      <c r="T110" s="38">
        <f t="shared" si="40"/>
        <v>0.27098046899597938</v>
      </c>
      <c r="U110" s="38">
        <f t="shared" si="40"/>
        <v>0.28614704115905398</v>
      </c>
      <c r="V110" s="38">
        <f t="shared" si="40"/>
        <v>0.30338465204220971</v>
      </c>
      <c r="W110" s="38">
        <f t="shared" si="40"/>
        <v>0.32286338242729012</v>
      </c>
      <c r="X110" s="43">
        <f>1/(1+EXP(-X136))</f>
        <v>0.34471625610901696</v>
      </c>
    </row>
    <row r="111" spans="2:24" x14ac:dyDescent="0.35">
      <c r="B111" s="48"/>
      <c r="C111" s="24">
        <v>0.9</v>
      </c>
      <c r="D111" s="42">
        <f t="shared" ref="D111:X111" si="41">1/(1+EXP(-D137))</f>
        <v>0.18291105533018726</v>
      </c>
      <c r="E111" s="38">
        <f t="shared" si="41"/>
        <v>0.18483656228445258</v>
      </c>
      <c r="F111" s="38">
        <f t="shared" si="41"/>
        <v>0.18706051239865626</v>
      </c>
      <c r="G111" s="38">
        <f t="shared" si="41"/>
        <v>0.1896294646672019</v>
      </c>
      <c r="H111" s="38">
        <f t="shared" si="41"/>
        <v>0.19259723535634804</v>
      </c>
      <c r="I111" s="38">
        <f t="shared" si="41"/>
        <v>0.19602597433171637</v>
      </c>
      <c r="J111" s="38">
        <f t="shared" si="41"/>
        <v>0.1999873569249537</v>
      </c>
      <c r="K111" s="38">
        <f t="shared" si="41"/>
        <v>0.20456387522480787</v>
      </c>
      <c r="L111" s="38">
        <f t="shared" si="41"/>
        <v>0.20985019177800629</v>
      </c>
      <c r="M111" s="38">
        <f t="shared" si="41"/>
        <v>0.215954486287883</v>
      </c>
      <c r="N111" s="38">
        <f t="shared" si="41"/>
        <v>0.22299967760162753</v>
      </c>
      <c r="O111" s="38">
        <f t="shared" si="41"/>
        <v>0.23112433407864941</v>
      </c>
      <c r="P111" s="38">
        <f t="shared" si="41"/>
        <v>0.24048299067859302</v>
      </c>
      <c r="Q111" s="38">
        <f t="shared" si="41"/>
        <v>0.25124546860176211</v>
      </c>
      <c r="R111" s="38">
        <f t="shared" si="41"/>
        <v>0.26359464727848664</v>
      </c>
      <c r="S111" s="38">
        <f t="shared" si="41"/>
        <v>0.27772198604283832</v>
      </c>
      <c r="T111" s="38">
        <f t="shared" si="41"/>
        <v>0.29381997295516027</v>
      </c>
      <c r="U111" s="38">
        <f t="shared" si="41"/>
        <v>0.3120706616948149</v>
      </c>
      <c r="V111" s="38">
        <f t="shared" si="41"/>
        <v>0.33262965178436266</v>
      </c>
      <c r="W111" s="38">
        <f t="shared" si="41"/>
        <v>0.3556054062713509</v>
      </c>
      <c r="X111" s="43">
        <f t="shared" si="41"/>
        <v>0.38103480155251546</v>
      </c>
    </row>
    <row r="112" spans="2:24" x14ac:dyDescent="0.35">
      <c r="B112" s="48"/>
      <c r="C112" s="24">
        <v>0.85</v>
      </c>
      <c r="D112" s="42">
        <f t="shared" ref="D112:X112" si="42">1/(1+EXP(-D138))</f>
        <v>0.18582137013349589</v>
      </c>
      <c r="E112" s="38">
        <f t="shared" si="42"/>
        <v>0.18819805854928642</v>
      </c>
      <c r="F112" s="38">
        <f t="shared" si="42"/>
        <v>0.19094357761809191</v>
      </c>
      <c r="G112" s="38">
        <f t="shared" si="42"/>
        <v>0.1941154418864425</v>
      </c>
      <c r="H112" s="38">
        <f t="shared" si="42"/>
        <v>0.19778003482033918</v>
      </c>
      <c r="I112" s="38">
        <f t="shared" si="42"/>
        <v>0.20201384951964674</v>
      </c>
      <c r="J112" s="38">
        <f t="shared" si="42"/>
        <v>0.20690481500432531</v>
      </c>
      <c r="K112" s="38">
        <f t="shared" si="42"/>
        <v>0.21255365780777769</v>
      </c>
      <c r="L112" s="38">
        <f t="shared" si="42"/>
        <v>0.21907520948591747</v>
      </c>
      <c r="M112" s="38">
        <f t="shared" si="42"/>
        <v>0.22659951335728223</v>
      </c>
      <c r="N112" s="38">
        <f t="shared" si="42"/>
        <v>0.23527250331426316</v>
      </c>
      <c r="O112" s="38">
        <f t="shared" si="42"/>
        <v>0.24525592000961718</v>
      </c>
      <c r="P112" s="38">
        <f t="shared" si="42"/>
        <v>0.25672599525505579</v>
      </c>
      <c r="Q112" s="38">
        <f t="shared" si="42"/>
        <v>0.26987028325674439</v>
      </c>
      <c r="R112" s="38">
        <f t="shared" si="42"/>
        <v>0.28488187331272202</v>
      </c>
      <c r="S112" s="38">
        <f t="shared" si="42"/>
        <v>0.30195013531963477</v>
      </c>
      <c r="T112" s="38">
        <f t="shared" si="42"/>
        <v>0.32124721457439465</v>
      </c>
      <c r="U112" s="38">
        <f t="shared" si="42"/>
        <v>0.3429098283407529</v>
      </c>
      <c r="V112" s="38">
        <f t="shared" si="42"/>
        <v>0.36701665736244454</v>
      </c>
      <c r="W112" s="38">
        <f t="shared" si="42"/>
        <v>0.39356285393077234</v>
      </c>
      <c r="X112" s="43">
        <f t="shared" si="42"/>
        <v>0.4224348293747725</v>
      </c>
    </row>
    <row r="113" spans="2:24" x14ac:dyDescent="0.35">
      <c r="B113" s="48"/>
      <c r="C113" s="24">
        <v>0.8</v>
      </c>
      <c r="D113" s="42">
        <f t="shared" ref="D113:X113" si="43">1/(1+EXP(-D139))</f>
        <v>0.18941377446609997</v>
      </c>
      <c r="E113" s="38">
        <f t="shared" si="43"/>
        <v>0.19234805095121121</v>
      </c>
      <c r="F113" s="38">
        <f t="shared" si="43"/>
        <v>0.19573808011406846</v>
      </c>
      <c r="G113" s="38">
        <f t="shared" si="43"/>
        <v>0.19965474266508326</v>
      </c>
      <c r="H113" s="38">
        <f t="shared" si="43"/>
        <v>0.20417963162859115</v>
      </c>
      <c r="I113" s="38">
        <f t="shared" si="43"/>
        <v>0.20940640314193965</v>
      </c>
      <c r="J113" s="38">
        <f t="shared" si="43"/>
        <v>0.21544212722206438</v>
      </c>
      <c r="K113" s="38">
        <f t="shared" si="43"/>
        <v>0.22240852527851843</v>
      </c>
      <c r="L113" s="38">
        <f t="shared" si="43"/>
        <v>0.23044291377949061</v>
      </c>
      <c r="M113" s="38">
        <f t="shared" si="43"/>
        <v>0.23969858086337834</v>
      </c>
      <c r="N113" s="38">
        <f t="shared" si="43"/>
        <v>0.2503442023287632</v>
      </c>
      <c r="O113" s="38">
        <f t="shared" si="43"/>
        <v>0.26256175884835364</v>
      </c>
      <c r="P113" s="38">
        <f t="shared" si="43"/>
        <v>0.27654226323224013</v>
      </c>
      <c r="Q113" s="38">
        <f t="shared" si="43"/>
        <v>0.29247848203787202</v>
      </c>
      <c r="R113" s="38">
        <f t="shared" si="43"/>
        <v>0.31055380773256935</v>
      </c>
      <c r="S113" s="38">
        <f t="shared" si="43"/>
        <v>0.33092661070989138</v>
      </c>
      <c r="T113" s="38">
        <f t="shared" si="43"/>
        <v>0.35370990735542035</v>
      </c>
      <c r="U113" s="38">
        <f t="shared" si="43"/>
        <v>0.37894714206266839</v>
      </c>
      <c r="V113" s="38">
        <f t="shared" si="43"/>
        <v>0.40658632335711942</v>
      </c>
      <c r="W113" s="38">
        <f t="shared" si="43"/>
        <v>0.4364564868078194</v>
      </c>
      <c r="X113" s="43">
        <f t="shared" si="43"/>
        <v>0.46825197062813889</v>
      </c>
    </row>
    <row r="114" spans="2:24" x14ac:dyDescent="0.35">
      <c r="B114" s="48"/>
      <c r="C114" s="24">
        <v>0.75</v>
      </c>
      <c r="D114" s="42">
        <f t="shared" ref="D114:X114" si="44">1/(1+EXP(-D140))</f>
        <v>0.19384911804924823</v>
      </c>
      <c r="E114" s="38">
        <f t="shared" si="44"/>
        <v>0.19747233724977881</v>
      </c>
      <c r="F114" s="38">
        <f t="shared" si="44"/>
        <v>0.20165836707031554</v>
      </c>
      <c r="G114" s="38">
        <f t="shared" si="44"/>
        <v>0.20649418803869315</v>
      </c>
      <c r="H114" s="38">
        <f t="shared" si="44"/>
        <v>0.21207947162581064</v>
      </c>
      <c r="I114" s="38">
        <f t="shared" si="44"/>
        <v>0.21852789644217332</v>
      </c>
      <c r="J114" s="38">
        <f t="shared" si="44"/>
        <v>0.2259682777824332</v>
      </c>
      <c r="K114" s="38">
        <f t="shared" si="44"/>
        <v>0.23454529063063087</v>
      </c>
      <c r="L114" s="38">
        <f t="shared" si="44"/>
        <v>0.24441946090323796</v>
      </c>
      <c r="M114" s="38">
        <f t="shared" si="44"/>
        <v>0.25576596718364614</v>
      </c>
      <c r="N114" s="38">
        <f t="shared" si="44"/>
        <v>0.26877164372109158</v>
      </c>
      <c r="O114" s="38">
        <f t="shared" si="44"/>
        <v>0.28362942932904495</v>
      </c>
      <c r="P114" s="38">
        <f t="shared" si="44"/>
        <v>0.3005294160826929</v>
      </c>
      <c r="Q114" s="38">
        <f t="shared" si="44"/>
        <v>0.3196457011361184</v>
      </c>
      <c r="R114" s="38">
        <f t="shared" si="44"/>
        <v>0.34111855469738994</v>
      </c>
      <c r="S114" s="38">
        <f t="shared" si="44"/>
        <v>0.36503212185623296</v>
      </c>
      <c r="T114" s="38">
        <f t="shared" si="44"/>
        <v>0.39138906589383843</v>
      </c>
      <c r="U114" s="38">
        <f t="shared" si="44"/>
        <v>0.42008517805576479</v>
      </c>
      <c r="V114" s="38">
        <f t="shared" si="44"/>
        <v>0.45088869428595491</v>
      </c>
      <c r="W114" s="38">
        <f t="shared" si="44"/>
        <v>0.48343021247149803</v>
      </c>
      <c r="X114" s="43">
        <f t="shared" si="44"/>
        <v>0.51720883267369433</v>
      </c>
    </row>
    <row r="115" spans="2:24" x14ac:dyDescent="0.35">
      <c r="B115" s="48"/>
      <c r="C115" s="24">
        <v>0.7</v>
      </c>
      <c r="D115" s="42">
        <f t="shared" ref="D115:X115" si="45">1/(1+EXP(-D141))</f>
        <v>0.19932588258805661</v>
      </c>
      <c r="E115" s="38">
        <f t="shared" si="45"/>
        <v>0.203799720545038</v>
      </c>
      <c r="F115" s="38">
        <f t="shared" si="45"/>
        <v>0.2089676083330996</v>
      </c>
      <c r="G115" s="38">
        <f t="shared" si="45"/>
        <v>0.21493551402442732</v>
      </c>
      <c r="H115" s="38">
        <f t="shared" si="45"/>
        <v>0.22182396756308792</v>
      </c>
      <c r="I115" s="38">
        <f t="shared" si="45"/>
        <v>0.22976903605418528</v>
      </c>
      <c r="J115" s="38">
        <f t="shared" si="45"/>
        <v>0.23892275747897329</v>
      </c>
      <c r="K115" s="38">
        <f t="shared" si="45"/>
        <v>0.24945264971298345</v>
      </c>
      <c r="L115" s="38">
        <f t="shared" si="45"/>
        <v>0.26153976867891648</v>
      </c>
      <c r="M115" s="38">
        <f t="shared" si="45"/>
        <v>0.27537463610963719</v>
      </c>
      <c r="N115" s="38">
        <f t="shared" si="45"/>
        <v>0.2911502286280625</v>
      </c>
      <c r="O115" s="38">
        <f t="shared" si="45"/>
        <v>0.30905118086165889</v>
      </c>
      <c r="P115" s="38">
        <f t="shared" si="45"/>
        <v>0.3292385079994164</v>
      </c>
      <c r="Q115" s="38">
        <f t="shared" si="45"/>
        <v>0.35182962891381064</v>
      </c>
      <c r="R115" s="38">
        <f t="shared" si="45"/>
        <v>0.37687439404643502</v>
      </c>
      <c r="S115" s="38">
        <f t="shared" si="45"/>
        <v>0.40432923000249898</v>
      </c>
      <c r="T115" s="38">
        <f t="shared" si="45"/>
        <v>0.43403323645185377</v>
      </c>
      <c r="U115" s="38">
        <f t="shared" si="45"/>
        <v>0.46569162761705324</v>
      </c>
      <c r="V115" s="38">
        <f t="shared" si="45"/>
        <v>0.49887251486220702</v>
      </c>
      <c r="W115" s="38">
        <f t="shared" si="45"/>
        <v>0.53302184441139655</v>
      </c>
      <c r="X115" s="43">
        <f t="shared" si="45"/>
        <v>0.56749795788998492</v>
      </c>
    </row>
    <row r="116" spans="2:24" x14ac:dyDescent="0.35">
      <c r="B116" s="48"/>
      <c r="C116" s="24">
        <v>0.65</v>
      </c>
      <c r="D116" s="42">
        <f t="shared" ref="D116:X116" si="46">1/(1+EXP(-D142))</f>
        <v>0.20608818744078991</v>
      </c>
      <c r="E116" s="38">
        <f t="shared" si="46"/>
        <v>0.2116106140363801</v>
      </c>
      <c r="F116" s="38">
        <f t="shared" si="46"/>
        <v>0.21798670799929182</v>
      </c>
      <c r="G116" s="38">
        <f t="shared" si="46"/>
        <v>0.22534406123485032</v>
      </c>
      <c r="H116" s="38">
        <f t="shared" si="46"/>
        <v>0.23382608999751936</v>
      </c>
      <c r="I116" s="38">
        <f t="shared" si="46"/>
        <v>0.24359209837123108</v>
      </c>
      <c r="J116" s="38">
        <f t="shared" si="46"/>
        <v>0.25481619357224972</v>
      </c>
      <c r="K116" s="38">
        <f t="shared" si="46"/>
        <v>0.26768445601555318</v>
      </c>
      <c r="L116" s="38">
        <f t="shared" si="46"/>
        <v>0.2823896191140548</v>
      </c>
      <c r="M116" s="38">
        <f t="shared" si="46"/>
        <v>0.29912241610950202</v>
      </c>
      <c r="N116" s="38">
        <f t="shared" si="46"/>
        <v>0.31805878568985579</v>
      </c>
      <c r="O116" s="38">
        <f t="shared" si="46"/>
        <v>0.33934241246054964</v>
      </c>
      <c r="P116" s="38">
        <f t="shared" si="46"/>
        <v>0.3630627475514383</v>
      </c>
      <c r="Q116" s="38">
        <f t="shared" si="46"/>
        <v>0.38922980579578059</v>
      </c>
      <c r="R116" s="38">
        <f t="shared" si="46"/>
        <v>0.4177486273649107</v>
      </c>
      <c r="S116" s="38">
        <f t="shared" si="46"/>
        <v>0.44839801930821926</v>
      </c>
      <c r="T116" s="38">
        <f t="shared" si="46"/>
        <v>0.4808194201232201</v>
      </c>
      <c r="U116" s="38">
        <f t="shared" si="46"/>
        <v>0.51452160136338587</v>
      </c>
      <c r="V116" s="38">
        <f t="shared" si="46"/>
        <v>0.54890473825217867</v>
      </c>
      <c r="W116" s="38">
        <f t="shared" si="46"/>
        <v>0.58330316910108559</v>
      </c>
      <c r="X116" s="43">
        <f t="shared" si="46"/>
        <v>0.61704103760147733</v>
      </c>
    </row>
    <row r="117" spans="2:24" x14ac:dyDescent="0.35">
      <c r="B117" s="48"/>
      <c r="C117" s="24">
        <v>0.6</v>
      </c>
      <c r="D117" s="42">
        <f t="shared" ref="D117:X117" si="47">1/(1+EXP(-D143))</f>
        <v>0.21443458412155048</v>
      </c>
      <c r="E117" s="38">
        <f t="shared" si="47"/>
        <v>0.22124593412920851</v>
      </c>
      <c r="F117" s="38">
        <f t="shared" si="47"/>
        <v>0.22910262280071467</v>
      </c>
      <c r="G117" s="38">
        <f t="shared" si="47"/>
        <v>0.23815543519317267</v>
      </c>
      <c r="H117" s="38">
        <f t="shared" si="47"/>
        <v>0.24857071960286886</v>
      </c>
      <c r="I117" s="38">
        <f t="shared" si="47"/>
        <v>0.26052858244545513</v>
      </c>
      <c r="J117" s="38">
        <f t="shared" si="47"/>
        <v>0.27421901147808192</v>
      </c>
      <c r="K117" s="38">
        <f t="shared" si="47"/>
        <v>0.28983512701505598</v>
      </c>
      <c r="L117" s="38">
        <f t="shared" si="47"/>
        <v>0.30756271153464443</v>
      </c>
      <c r="M117" s="38">
        <f t="shared" si="47"/>
        <v>0.32756530118897081</v>
      </c>
      <c r="N117" s="38">
        <f t="shared" si="47"/>
        <v>0.34996456807366855</v>
      </c>
      <c r="O117" s="38">
        <f t="shared" si="47"/>
        <v>0.37481660685593154</v>
      </c>
      <c r="P117" s="38">
        <f t="shared" si="47"/>
        <v>0.40208611161505475</v>
      </c>
      <c r="Q117" s="38">
        <f t="shared" si="47"/>
        <v>0.43162214055169873</v>
      </c>
      <c r="R117" s="38">
        <f t="shared" si="47"/>
        <v>0.46314076138201288</v>
      </c>
      <c r="S117" s="38">
        <f t="shared" si="47"/>
        <v>0.49622058159062071</v>
      </c>
      <c r="T117" s="38">
        <f t="shared" si="47"/>
        <v>0.53031614905063296</v>
      </c>
      <c r="U117" s="38">
        <f t="shared" si="47"/>
        <v>0.56479102562058991</v>
      </c>
      <c r="V117" s="38">
        <f t="shared" si="47"/>
        <v>0.59896749850658226</v>
      </c>
      <c r="W117" s="38">
        <f t="shared" si="47"/>
        <v>0.63218498611820195</v>
      </c>
      <c r="X117" s="43">
        <f t="shared" si="47"/>
        <v>0.66385627505765488</v>
      </c>
    </row>
    <row r="118" spans="2:24" x14ac:dyDescent="0.35">
      <c r="B118" s="48"/>
      <c r="C118" s="24">
        <v>0.55000000000000004</v>
      </c>
      <c r="D118" s="42">
        <f t="shared" ref="D118:X118" si="48">1/(1+EXP(-D144))</f>
        <v>0.22472678978061159</v>
      </c>
      <c r="E118" s="38">
        <f t="shared" si="48"/>
        <v>0.23311481986973651</v>
      </c>
      <c r="F118" s="38">
        <f t="shared" si="48"/>
        <v>0.24277374415989528</v>
      </c>
      <c r="G118" s="38">
        <f t="shared" si="48"/>
        <v>0.25387658138867963</v>
      </c>
      <c r="H118" s="38">
        <f t="shared" si="48"/>
        <v>0.26660862568473326</v>
      </c>
      <c r="I118" s="38">
        <f t="shared" si="48"/>
        <v>0.28116235199281525</v>
      </c>
      <c r="J118" s="38">
        <f t="shared" si="48"/>
        <v>0.29772905591480026</v>
      </c>
      <c r="K118" s="38">
        <f t="shared" si="48"/>
        <v>0.3164864096889296</v>
      </c>
      <c r="L118" s="38">
        <f t="shared" si="48"/>
        <v>0.33758137579959896</v>
      </c>
      <c r="M118" s="38">
        <f t="shared" si="48"/>
        <v>0.36110855413499215</v>
      </c>
      <c r="N118" s="38">
        <f t="shared" si="48"/>
        <v>0.38708515079525346</v>
      </c>
      <c r="O118" s="38">
        <f t="shared" si="48"/>
        <v>0.41542532036149904</v>
      </c>
      <c r="P118" s="38">
        <f t="shared" si="48"/>
        <v>0.44591836906997789</v>
      </c>
      <c r="Q118" s="38">
        <f t="shared" si="48"/>
        <v>0.478216603136153</v>
      </c>
      <c r="R118" s="38">
        <f t="shared" si="48"/>
        <v>0.51183861469729763</v>
      </c>
      <c r="S118" s="38">
        <f t="shared" si="48"/>
        <v>0.54619178919639566</v>
      </c>
      <c r="T118" s="38">
        <f t="shared" si="48"/>
        <v>0.58061373978784059</v>
      </c>
      <c r="U118" s="38">
        <f t="shared" si="48"/>
        <v>0.61442725591380065</v>
      </c>
      <c r="V118" s="38">
        <f t="shared" si="48"/>
        <v>0.64699911692857359</v>
      </c>
      <c r="W118" s="38">
        <f t="shared" si="48"/>
        <v>0.6777916704946364</v>
      </c>
      <c r="X118" s="43">
        <f t="shared" si="48"/>
        <v>0.70639816020759649</v>
      </c>
    </row>
    <row r="119" spans="2:24" x14ac:dyDescent="0.35">
      <c r="B119" s="48"/>
      <c r="C119" s="24">
        <v>0.5</v>
      </c>
      <c r="D119" s="42">
        <f t="shared" ref="D119:X119" si="49">1/(1+EXP(-D145))</f>
        <v>0.23739652920457233</v>
      </c>
      <c r="E119" s="38">
        <f t="shared" si="49"/>
        <v>0.24769832122722091</v>
      </c>
      <c r="F119" s="38">
        <f t="shared" si="49"/>
        <v>0.25952810594119341</v>
      </c>
      <c r="G119" s="38">
        <f t="shared" si="49"/>
        <v>0.27307529585063195</v>
      </c>
      <c r="H119" s="38">
        <f t="shared" si="49"/>
        <v>0.28853309061612425</v>
      </c>
      <c r="I119" s="38">
        <f t="shared" si="49"/>
        <v>0.30608832856457185</v>
      </c>
      <c r="J119" s="38">
        <f t="shared" si="49"/>
        <v>0.32590694524582658</v>
      </c>
      <c r="K119" s="38">
        <f t="shared" si="49"/>
        <v>0.3481147183807049</v>
      </c>
      <c r="L119" s="38">
        <f t="shared" si="49"/>
        <v>0.37277382531301329</v>
      </c>
      <c r="M119" s="38">
        <f t="shared" si="49"/>
        <v>0.39985707499266532</v>
      </c>
      <c r="N119" s="38">
        <f t="shared" si="49"/>
        <v>0.42922337365978241</v>
      </c>
      <c r="O119" s="38">
        <f t="shared" si="49"/>
        <v>0.46059961217855644</v>
      </c>
      <c r="P119" s="38">
        <f t="shared" si="49"/>
        <v>0.49357497595422212</v>
      </c>
      <c r="Q119" s="38">
        <f t="shared" si="49"/>
        <v>0.52761282052921421</v>
      </c>
      <c r="R119" s="38">
        <f t="shared" si="49"/>
        <v>0.56208223954598513</v>
      </c>
      <c r="S119" s="38">
        <f t="shared" si="49"/>
        <v>0.59630669894440058</v>
      </c>
      <c r="T119" s="38">
        <f t="shared" si="49"/>
        <v>0.62962213388104549</v>
      </c>
      <c r="U119" s="38">
        <f t="shared" si="49"/>
        <v>0.66143376177128521</v>
      </c>
      <c r="V119" s="38">
        <f t="shared" si="49"/>
        <v>0.69126104995700499</v>
      </c>
      <c r="W119" s="38">
        <f t="shared" si="49"/>
        <v>0.71876377555522186</v>
      </c>
      <c r="X119" s="43">
        <f t="shared" si="49"/>
        <v>0.74374738117472206</v>
      </c>
    </row>
    <row r="120" spans="2:24" x14ac:dyDescent="0.35">
      <c r="B120" s="48"/>
      <c r="C120" s="24">
        <v>0.45</v>
      </c>
      <c r="D120" s="42">
        <f t="shared" ref="D120:X120" si="50">1/(1+EXP(-D146))</f>
        <v>0.25294703787616335</v>
      </c>
      <c r="E120" s="38">
        <f t="shared" si="50"/>
        <v>0.26554405822328603</v>
      </c>
      <c r="F120" s="38">
        <f t="shared" si="50"/>
        <v>0.27994753675514467</v>
      </c>
      <c r="G120" s="38">
        <f t="shared" si="50"/>
        <v>0.29634925481035934</v>
      </c>
      <c r="H120" s="38">
        <f t="shared" si="50"/>
        <v>0.31492851253590604</v>
      </c>
      <c r="I120" s="38">
        <f t="shared" si="50"/>
        <v>0.33583541585175558</v>
      </c>
      <c r="J120" s="38">
        <f t="shared" si="50"/>
        <v>0.35916955725580046</v>
      </c>
      <c r="K120" s="38">
        <f t="shared" si="50"/>
        <v>0.38495517316180139</v>
      </c>
      <c r="L120" s="38">
        <f t="shared" si="50"/>
        <v>0.41311539475147724</v>
      </c>
      <c r="M120" s="38">
        <f t="shared" si="50"/>
        <v>0.4434499492092453</v>
      </c>
      <c r="N120" s="38">
        <f t="shared" si="50"/>
        <v>0.47562202869224757</v>
      </c>
      <c r="O120" s="38">
        <f t="shared" si="50"/>
        <v>0.50916018514180461</v>
      </c>
      <c r="P120" s="38">
        <f t="shared" si="50"/>
        <v>0.54347927321981915</v>
      </c>
      <c r="Q120" s="38">
        <f t="shared" si="50"/>
        <v>0.57792052578751552</v>
      </c>
      <c r="R120" s="38">
        <f t="shared" si="50"/>
        <v>0.61180574759824535</v>
      </c>
      <c r="S120" s="38">
        <f t="shared" si="50"/>
        <v>0.64449623047770455</v>
      </c>
      <c r="T120" s="38">
        <f t="shared" si="50"/>
        <v>0.6754452751264306</v>
      </c>
      <c r="U120" s="38">
        <f t="shared" si="50"/>
        <v>0.70423502344895583</v>
      </c>
      <c r="V120" s="38">
        <f t="shared" si="50"/>
        <v>0.73059287585289723</v>
      </c>
      <c r="W120" s="38">
        <f t="shared" si="50"/>
        <v>0.7543881155818003</v>
      </c>
      <c r="X120" s="43">
        <f t="shared" si="50"/>
        <v>0.77561348013524045</v>
      </c>
    </row>
    <row r="121" spans="2:24" x14ac:dyDescent="0.35">
      <c r="B121" s="48"/>
      <c r="C121" s="24">
        <v>0.4</v>
      </c>
      <c r="D121" s="42">
        <f t="shared" ref="D121:X121" si="51">1/(1+EXP(-D147))</f>
        <v>0.27194339548843033</v>
      </c>
      <c r="E121" s="38">
        <f t="shared" si="51"/>
        <v>0.28724403202898929</v>
      </c>
      <c r="F121" s="38">
        <f t="shared" si="51"/>
        <v>0.3046279591917766</v>
      </c>
      <c r="G121" s="38">
        <f t="shared" si="51"/>
        <v>0.32426339264601178</v>
      </c>
      <c r="H121" s="38">
        <f t="shared" si="51"/>
        <v>0.34628006987887583</v>
      </c>
      <c r="I121" s="38">
        <f t="shared" si="51"/>
        <v>0.37074608977697066</v>
      </c>
      <c r="J121" s="38">
        <f t="shared" si="51"/>
        <v>0.39764222176728858</v>
      </c>
      <c r="K121" s="38">
        <f t="shared" si="51"/>
        <v>0.42683710495759769</v>
      </c>
      <c r="L121" s="38">
        <f t="shared" si="51"/>
        <v>0.45806841539000676</v>
      </c>
      <c r="M121" s="38">
        <f t="shared" si="51"/>
        <v>0.49093598859039023</v>
      </c>
      <c r="N121" s="38">
        <f t="shared" si="51"/>
        <v>0.524912184261351</v>
      </c>
      <c r="O121" s="38">
        <f t="shared" si="51"/>
        <v>0.55937193253480677</v>
      </c>
      <c r="P121" s="38">
        <f t="shared" si="51"/>
        <v>0.59364024301650997</v>
      </c>
      <c r="Q121" s="38">
        <f t="shared" si="51"/>
        <v>0.62704992450921104</v>
      </c>
      <c r="R121" s="38">
        <f t="shared" si="51"/>
        <v>0.65899890699758623</v>
      </c>
      <c r="S121" s="38">
        <f t="shared" si="51"/>
        <v>0.68899645863851755</v>
      </c>
      <c r="T121" s="38">
        <f t="shared" si="51"/>
        <v>0.7166908690260233</v>
      </c>
      <c r="U121" s="38">
        <f t="shared" si="51"/>
        <v>0.7418763750122207</v>
      </c>
      <c r="V121" s="38">
        <f t="shared" si="51"/>
        <v>0.76448209378124821</v>
      </c>
      <c r="W121" s="38">
        <f t="shared" si="51"/>
        <v>0.78454884817851311</v>
      </c>
      <c r="X121" s="43">
        <f t="shared" si="51"/>
        <v>0.80220052576103229</v>
      </c>
    </row>
    <row r="122" spans="2:24" x14ac:dyDescent="0.35">
      <c r="B122" s="48"/>
      <c r="C122" s="24">
        <v>0.35</v>
      </c>
      <c r="D122" s="42">
        <f t="shared" ref="D122:X122" si="52">1/(1+EXP(-D148))</f>
        <v>0.29498293096426348</v>
      </c>
      <c r="E122" s="38">
        <f t="shared" si="52"/>
        <v>0.31338503165505049</v>
      </c>
      <c r="F122" s="38">
        <f t="shared" si="52"/>
        <v>0.33410450080200466</v>
      </c>
      <c r="G122" s="38">
        <f t="shared" si="52"/>
        <v>0.35724576860097923</v>
      </c>
      <c r="H122" s="38">
        <f t="shared" si="52"/>
        <v>0.38283994033197283</v>
      </c>
      <c r="I122" s="38">
        <f t="shared" si="52"/>
        <v>0.41081898290427471</v>
      </c>
      <c r="J122" s="38">
        <f t="shared" si="52"/>
        <v>0.44099296012662603</v>
      </c>
      <c r="K122" s="38">
        <f t="shared" si="52"/>
        <v>0.47303595959684791</v>
      </c>
      <c r="L122" s="38">
        <f t="shared" si="52"/>
        <v>0.50648662240566944</v>
      </c>
      <c r="M122" s="38">
        <f t="shared" si="52"/>
        <v>0.5407675228152673</v>
      </c>
      <c r="N122" s="38">
        <f t="shared" si="52"/>
        <v>0.57522385345209315</v>
      </c>
      <c r="O122" s="38">
        <f t="shared" si="52"/>
        <v>0.60917680457644297</v>
      </c>
      <c r="P122" s="38">
        <f t="shared" si="52"/>
        <v>0.64198251016335817</v>
      </c>
      <c r="Q122" s="38">
        <f t="shared" si="52"/>
        <v>0.67308545413968068</v>
      </c>
      <c r="R122" s="38">
        <f t="shared" si="52"/>
        <v>0.70205677780429865</v>
      </c>
      <c r="S122" s="38">
        <f t="shared" si="52"/>
        <v>0.72861234614677584</v>
      </c>
      <c r="T122" s="38">
        <f t="shared" si="52"/>
        <v>0.7526107972593733</v>
      </c>
      <c r="U122" s="38">
        <f t="shared" si="52"/>
        <v>0.77403606800661884</v>
      </c>
      <c r="V122" s="38">
        <f t="shared" si="52"/>
        <v>0.792970909071262</v>
      </c>
      <c r="W122" s="38">
        <f t="shared" si="52"/>
        <v>0.80956770675754941</v>
      </c>
      <c r="X122" s="43">
        <f t="shared" si="52"/>
        <v>0.82402133169907632</v>
      </c>
    </row>
    <row r="123" spans="2:24" x14ac:dyDescent="0.35">
      <c r="B123" s="48"/>
      <c r="C123" s="24">
        <v>0.3</v>
      </c>
      <c r="D123" s="42">
        <f t="shared" ref="D123:X123" si="53">1/(1+EXP(-D149))</f>
        <v>0.32263459345122353</v>
      </c>
      <c r="E123" s="38">
        <f t="shared" si="53"/>
        <v>0.34446060919033322</v>
      </c>
      <c r="F123" s="38">
        <f t="shared" si="53"/>
        <v>0.36873343621379562</v>
      </c>
      <c r="G123" s="38">
        <f t="shared" si="53"/>
        <v>0.39544164844534885</v>
      </c>
      <c r="H123" s="38">
        <f t="shared" si="53"/>
        <v>0.42446349824846247</v>
      </c>
      <c r="I123" s="38">
        <f t="shared" si="53"/>
        <v>0.45554740145979533</v>
      </c>
      <c r="J123" s="38">
        <f t="shared" si="53"/>
        <v>0.48830390641948118</v>
      </c>
      <c r="K123" s="38">
        <f t="shared" si="53"/>
        <v>0.52221456385347842</v>
      </c>
      <c r="L123" s="38">
        <f t="shared" si="53"/>
        <v>0.55666043794063935</v>
      </c>
      <c r="M123" s="38">
        <f t="shared" si="53"/>
        <v>0.59096844447650887</v>
      </c>
      <c r="N123" s="38">
        <f t="shared" si="53"/>
        <v>0.62446862603515707</v>
      </c>
      <c r="O123" s="38">
        <f t="shared" si="53"/>
        <v>0.65655191485027042</v>
      </c>
      <c r="P123" s="38">
        <f t="shared" si="53"/>
        <v>0.68671755216264563</v>
      </c>
      <c r="Q123" s="38">
        <f t="shared" si="53"/>
        <v>0.71460238130479059</v>
      </c>
      <c r="R123" s="38">
        <f t="shared" si="53"/>
        <v>0.73998936176433094</v>
      </c>
      <c r="S123" s="38">
        <f t="shared" si="53"/>
        <v>0.762797729409465</v>
      </c>
      <c r="T123" s="38">
        <f t="shared" si="53"/>
        <v>0.78306052933969361</v>
      </c>
      <c r="U123" s="38">
        <f t="shared" si="53"/>
        <v>0.80089618112284311</v>
      </c>
      <c r="V123" s="38">
        <f t="shared" si="53"/>
        <v>0.81647977054282606</v>
      </c>
      <c r="W123" s="38">
        <f t="shared" si="53"/>
        <v>0.83001785583142207</v>
      </c>
      <c r="X123" s="43">
        <f t="shared" si="53"/>
        <v>0.84172860725017196</v>
      </c>
    </row>
    <row r="124" spans="2:24" x14ac:dyDescent="0.35">
      <c r="B124" s="48"/>
      <c r="C124" s="24">
        <v>0.25</v>
      </c>
      <c r="D124" s="42">
        <f t="shared" ref="D124:X124" si="54">1/(1+EXP(-D150))</f>
        <v>0.35533719597291452</v>
      </c>
      <c r="E124" s="38">
        <f t="shared" si="54"/>
        <v>0.38073951496770259</v>
      </c>
      <c r="F124" s="38">
        <f t="shared" si="54"/>
        <v>0.40853621187339179</v>
      </c>
      <c r="G124" s="38">
        <f t="shared" si="54"/>
        <v>0.43854759695118917</v>
      </c>
      <c r="H124" s="38">
        <f t="shared" si="54"/>
        <v>0.47045865418222443</v>
      </c>
      <c r="I124" s="38">
        <f t="shared" si="54"/>
        <v>0.50381823328890574</v>
      </c>
      <c r="J124" s="38">
        <f t="shared" si="54"/>
        <v>0.5380568697009539</v>
      </c>
      <c r="K124" s="38">
        <f t="shared" si="54"/>
        <v>0.57252405068555223</v>
      </c>
      <c r="L124" s="38">
        <f t="shared" si="54"/>
        <v>0.60654072239174983</v>
      </c>
      <c r="M124" s="38">
        <f t="shared" si="54"/>
        <v>0.6394581962334055</v>
      </c>
      <c r="N124" s="38">
        <f t="shared" si="54"/>
        <v>0.67071237889801549</v>
      </c>
      <c r="O124" s="38">
        <f>1/(1+EXP(-O150))</f>
        <v>0.69986352257266182</v>
      </c>
      <c r="P124" s="38">
        <f t="shared" si="54"/>
        <v>0.72661594230094673</v>
      </c>
      <c r="Q124" s="38">
        <f t="shared" si="54"/>
        <v>0.750817519493997</v>
      </c>
      <c r="R124" s="38">
        <f t="shared" si="54"/>
        <v>0.77244322330673365</v>
      </c>
      <c r="S124" s="38">
        <f t="shared" si="54"/>
        <v>0.7915690913818727</v>
      </c>
      <c r="T124" s="38">
        <f t="shared" si="54"/>
        <v>0.80834306661475752</v>
      </c>
      <c r="U124" s="38">
        <f t="shared" si="54"/>
        <v>0.82295756292368505</v>
      </c>
      <c r="V124" s="38">
        <f t="shared" si="54"/>
        <v>0.8356266080723983</v>
      </c>
      <c r="W124" s="38">
        <f t="shared" si="54"/>
        <v>0.84656861061887756</v>
      </c>
      <c r="X124" s="43">
        <f t="shared" si="54"/>
        <v>0.855994554009751</v>
      </c>
    </row>
    <row r="125" spans="2:24" x14ac:dyDescent="0.35">
      <c r="B125" s="48"/>
      <c r="C125" s="24">
        <v>0.2</v>
      </c>
      <c r="D125" s="42">
        <f t="shared" ref="D125:X125" si="55">1/(1+EXP(-D151))</f>
        <v>0.39325544645110244</v>
      </c>
      <c r="E125" s="38">
        <f t="shared" si="55"/>
        <v>0.42210271195461091</v>
      </c>
      <c r="F125" s="38">
        <f t="shared" si="55"/>
        <v>0.45303679582873951</v>
      </c>
      <c r="G125" s="38">
        <f t="shared" si="55"/>
        <v>0.48567901252117907</v>
      </c>
      <c r="H125" s="38">
        <f t="shared" si="55"/>
        <v>0.51952028093517821</v>
      </c>
      <c r="I125" s="38">
        <f t="shared" si="55"/>
        <v>0.55394808941755758</v>
      </c>
      <c r="J125" s="38">
        <f t="shared" si="55"/>
        <v>0.58829161964141141</v>
      </c>
      <c r="K125" s="38">
        <f t="shared" si="55"/>
        <v>0.62187851087063972</v>
      </c>
      <c r="L125" s="38">
        <f t="shared" si="55"/>
        <v>0.65409299489420514</v>
      </c>
      <c r="M125" s="38">
        <f t="shared" si="55"/>
        <v>0.68442446849036143</v>
      </c>
      <c r="N125" s="38">
        <f t="shared" si="55"/>
        <v>0.71249837999119814</v>
      </c>
      <c r="O125" s="38">
        <f t="shared" si="55"/>
        <v>0.73808634757932223</v>
      </c>
      <c r="P125" s="38">
        <f t="shared" si="55"/>
        <v>0.76109758335923849</v>
      </c>
      <c r="Q125" s="38">
        <f t="shared" si="55"/>
        <v>0.78155717590859575</v>
      </c>
      <c r="R125" s="38">
        <f t="shared" si="55"/>
        <v>0.7995778973780665</v>
      </c>
      <c r="S125" s="38">
        <f t="shared" si="55"/>
        <v>0.81533135242440813</v>
      </c>
      <c r="T125" s="38">
        <f t="shared" si="55"/>
        <v>0.82902241857412096</v>
      </c>
      <c r="U125" s="38">
        <f t="shared" si="55"/>
        <v>0.84086893953709196</v>
      </c>
      <c r="V125" s="38">
        <f t="shared" si="55"/>
        <v>0.85108706937838008</v>
      </c>
      <c r="W125" s="38">
        <f t="shared" si="55"/>
        <v>0.85988169858971419</v>
      </c>
      <c r="X125" s="43">
        <f t="shared" si="55"/>
        <v>0.86744095360262941</v>
      </c>
    </row>
    <row r="126" spans="2:24" x14ac:dyDescent="0.35">
      <c r="B126" s="48"/>
      <c r="C126" s="24">
        <v>0.15</v>
      </c>
      <c r="D126" s="42">
        <f t="shared" ref="D126:X126" si="56">1/(1+EXP(-D152))</f>
        <v>0.43611404951108501</v>
      </c>
      <c r="E126" s="38">
        <f t="shared" si="56"/>
        <v>0.46789036621595581</v>
      </c>
      <c r="F126" s="38">
        <f t="shared" si="56"/>
        <v>0.50115532153526576</v>
      </c>
      <c r="G126" s="38">
        <f t="shared" si="56"/>
        <v>0.53534764463997686</v>
      </c>
      <c r="H126" s="38">
        <f t="shared" si="56"/>
        <v>0.56982144676447255</v>
      </c>
      <c r="I126" s="38">
        <f t="shared" si="56"/>
        <v>0.60389780006546889</v>
      </c>
      <c r="J126" s="38">
        <f t="shared" si="56"/>
        <v>0.63692353391152601</v>
      </c>
      <c r="K126" s="38">
        <f t="shared" si="56"/>
        <v>0.66832622642857353</v>
      </c>
      <c r="L126" s="38">
        <f t="shared" si="56"/>
        <v>0.69765536261082683</v>
      </c>
      <c r="M126" s="38">
        <f t="shared" si="56"/>
        <v>0.7246037021548547</v>
      </c>
      <c r="N126" s="38">
        <f t="shared" si="56"/>
        <v>0.74900826445016333</v>
      </c>
      <c r="O126" s="38">
        <f t="shared" si="56"/>
        <v>0.77083488670028089</v>
      </c>
      <c r="P126" s="38">
        <f t="shared" si="56"/>
        <v>0.7901527106804469</v>
      </c>
      <c r="Q126" s="38">
        <f t="shared" si="56"/>
        <v>0.80710506482675692</v>
      </c>
      <c r="R126" s="38">
        <f t="shared" si="56"/>
        <v>0.82188176453308748</v>
      </c>
      <c r="S126" s="38">
        <f t="shared" si="56"/>
        <v>0.83469583679446313</v>
      </c>
      <c r="T126" s="38">
        <f t="shared" si="56"/>
        <v>0.84576583972112107</v>
      </c>
      <c r="U126" s="38">
        <f t="shared" si="56"/>
        <v>0.85530365568355071</v>
      </c>
      <c r="V126" s="38">
        <f t="shared" si="56"/>
        <v>0.86350693030370396</v>
      </c>
      <c r="W126" s="38">
        <f t="shared" si="56"/>
        <v>0.87055507894669959</v>
      </c>
      <c r="X126" s="43">
        <f t="shared" si="56"/>
        <v>0.87660781508891883</v>
      </c>
    </row>
    <row r="127" spans="2:24" x14ac:dyDescent="0.35">
      <c r="B127" s="48"/>
      <c r="C127" s="24">
        <v>0.1</v>
      </c>
      <c r="D127" s="42">
        <f t="shared" ref="D127:X127" si="57">1/(1+EXP(-D153))</f>
        <v>0.48306158601530019</v>
      </c>
      <c r="E127" s="38">
        <f t="shared" si="57"/>
        <v>0.5168296549927367</v>
      </c>
      <c r="F127" s="38">
        <f t="shared" si="57"/>
        <v>0.55123522073557985</v>
      </c>
      <c r="G127" s="38">
        <f t="shared" si="57"/>
        <v>0.58561008722480601</v>
      </c>
      <c r="H127" s="38">
        <f t="shared" si="57"/>
        <v>0.61927985568826438</v>
      </c>
      <c r="I127" s="38">
        <f t="shared" si="57"/>
        <v>0.65162236209141522</v>
      </c>
      <c r="J127" s="38">
        <f t="shared" si="57"/>
        <v>0.68211735128764073</v>
      </c>
      <c r="K127" s="38">
        <f t="shared" si="57"/>
        <v>0.71037893797470486</v>
      </c>
      <c r="L127" s="38">
        <f t="shared" si="57"/>
        <v>0.73616734299211983</v>
      </c>
      <c r="M127" s="38">
        <f t="shared" si="57"/>
        <v>0.75938161685979633</v>
      </c>
      <c r="N127" s="38">
        <f t="shared" si="57"/>
        <v>0.78003871428408555</v>
      </c>
      <c r="O127" s="38">
        <f t="shared" si="57"/>
        <v>0.79824557960082587</v>
      </c>
      <c r="P127" s="38">
        <f t="shared" si="57"/>
        <v>0.8141701773461536</v>
      </c>
      <c r="Q127" s="38">
        <f t="shared" si="57"/>
        <v>0.82801557863481201</v>
      </c>
      <c r="R127" s="38">
        <f t="shared" si="57"/>
        <v>0.83999921034359182</v>
      </c>
      <c r="S127" s="38">
        <f t="shared" si="57"/>
        <v>0.85033776665172134</v>
      </c>
      <c r="T127" s="38">
        <f t="shared" si="57"/>
        <v>0.85923726906581366</v>
      </c>
      <c r="U127" s="38">
        <f t="shared" si="57"/>
        <v>0.86688728558553574</v>
      </c>
      <c r="V127" s="38">
        <f t="shared" si="57"/>
        <v>0.87345822044298838</v>
      </c>
      <c r="W127" s="38">
        <f t="shared" si="57"/>
        <v>0.87910069704074634</v>
      </c>
      <c r="X127" s="43">
        <f t="shared" si="57"/>
        <v>0.88394625379033798</v>
      </c>
    </row>
    <row r="128" spans="2:24" x14ac:dyDescent="0.35">
      <c r="B128" s="48"/>
      <c r="C128" s="24">
        <v>0.05</v>
      </c>
      <c r="D128" s="42">
        <f t="shared" ref="D128:X128" si="58">1/(1+EXP(-D154))</f>
        <v>0.53264017726125312</v>
      </c>
      <c r="E128" s="38">
        <f t="shared" si="58"/>
        <v>0.56711637215723032</v>
      </c>
      <c r="F128" s="38">
        <f t="shared" si="58"/>
        <v>0.60124833994921667</v>
      </c>
      <c r="G128" s="38">
        <f t="shared" si="58"/>
        <v>0.63437877330753623</v>
      </c>
      <c r="H128" s="38">
        <f t="shared" si="58"/>
        <v>0.66592717939817114</v>
      </c>
      <c r="I128" s="38">
        <f t="shared" si="58"/>
        <v>0.69543240836677256</v>
      </c>
      <c r="J128" s="38">
        <f t="shared" si="58"/>
        <v>0.72257566846582122</v>
      </c>
      <c r="K128" s="38">
        <f t="shared" si="58"/>
        <v>0.74718301817353638</v>
      </c>
      <c r="L128" s="38">
        <f t="shared" si="58"/>
        <v>0.76921100158707367</v>
      </c>
      <c r="M128" s="38">
        <f t="shared" si="58"/>
        <v>0.78872168198508041</v>
      </c>
      <c r="N128" s="38">
        <f t="shared" si="58"/>
        <v>0.8058536005689203</v>
      </c>
      <c r="O128" s="38">
        <f t="shared" si="58"/>
        <v>0.82079382974957482</v>
      </c>
      <c r="P128" s="38">
        <f t="shared" si="58"/>
        <v>0.83375428654753247</v>
      </c>
      <c r="Q128" s="38">
        <f t="shared" si="58"/>
        <v>0.84495360361169791</v>
      </c>
      <c r="R128" s="38">
        <f t="shared" si="58"/>
        <v>0.85460451606155874</v>
      </c>
      <c r="S128" s="38">
        <f t="shared" si="58"/>
        <v>0.86290597318977535</v>
      </c>
      <c r="T128" s="38">
        <f t="shared" si="58"/>
        <v>0.87003890392597238</v>
      </c>
      <c r="U128" s="38">
        <f t="shared" si="58"/>
        <v>0.87616458128776109</v>
      </c>
      <c r="V128" s="38">
        <f t="shared" si="58"/>
        <v>0.88142469421389735</v>
      </c>
      <c r="W128" s="38">
        <f t="shared" si="58"/>
        <v>0.88594244363747843</v>
      </c>
      <c r="X128" s="43">
        <f t="shared" si="58"/>
        <v>0.88982417707677186</v>
      </c>
    </row>
    <row r="129" spans="2:24" ht="15" thickBot="1" x14ac:dyDescent="0.4">
      <c r="B129" s="49"/>
      <c r="C129" s="25">
        <v>0</v>
      </c>
      <c r="D129" s="44">
        <f t="shared" ref="D129:X129" si="59">1/(1+EXP(-D155))</f>
        <v>0.5829241681673708</v>
      </c>
      <c r="E129" s="45">
        <f t="shared" si="59"/>
        <v>0.61667294129842154</v>
      </c>
      <c r="F129" s="45">
        <f t="shared" si="59"/>
        <v>0.64914023674185029</v>
      </c>
      <c r="G129" s="45">
        <f t="shared" si="59"/>
        <v>0.6797963499298898</v>
      </c>
      <c r="H129" s="45">
        <f t="shared" si="59"/>
        <v>0.70824413348838378</v>
      </c>
      <c r="I129" s="45">
        <f t="shared" si="59"/>
        <v>0.73423236300666883</v>
      </c>
      <c r="J129" s="45">
        <f t="shared" si="59"/>
        <v>0.75764979449382786</v>
      </c>
      <c r="K129" s="45">
        <f t="shared" si="59"/>
        <v>0.77850507309065453</v>
      </c>
      <c r="L129" s="45">
        <f t="shared" si="59"/>
        <v>0.79689913410202917</v>
      </c>
      <c r="M129" s="45">
        <f t="shared" si="59"/>
        <v>0.81299614068516834</v>
      </c>
      <c r="N129" s="45">
        <f t="shared" si="59"/>
        <v>0.8269972290386669</v>
      </c>
      <c r="O129" s="45">
        <f t="shared" si="59"/>
        <v>0.83911931622266467</v>
      </c>
      <c r="P129" s="45">
        <f t="shared" si="59"/>
        <v>0.84957957560881758</v>
      </c>
      <c r="Q129" s="45">
        <f t="shared" si="59"/>
        <v>0.85858512454981073</v>
      </c>
      <c r="R129" s="45">
        <f t="shared" si="59"/>
        <v>0.8663269563629914</v>
      </c>
      <c r="S129" s="45">
        <f t="shared" si="59"/>
        <v>0.87297702628244211</v>
      </c>
      <c r="T129" s="45">
        <f t="shared" si="59"/>
        <v>0.87868750084607405</v>
      </c>
      <c r="U129" s="45">
        <f t="shared" si="59"/>
        <v>0.88359137385013953</v>
      </c>
      <c r="V129" s="45">
        <f t="shared" si="59"/>
        <v>0.88780386009385925</v>
      </c>
      <c r="W129" s="45">
        <f t="shared" si="59"/>
        <v>0.89142416093099164</v>
      </c>
      <c r="X129" s="46">
        <f t="shared" si="59"/>
        <v>0.8945373392560495</v>
      </c>
    </row>
    <row r="130" spans="2:24" x14ac:dyDescent="0.35">
      <c r="C130" s="9"/>
      <c r="D130" s="28">
        <v>0</v>
      </c>
      <c r="E130" s="26">
        <v>0.05</v>
      </c>
      <c r="F130" s="26">
        <v>0.1</v>
      </c>
      <c r="G130" s="26">
        <v>0.15</v>
      </c>
      <c r="H130" s="26">
        <v>0.2</v>
      </c>
      <c r="I130" s="26">
        <v>0.25</v>
      </c>
      <c r="J130" s="26">
        <v>0.3</v>
      </c>
      <c r="K130" s="26">
        <v>0.35</v>
      </c>
      <c r="L130" s="26">
        <v>0.4</v>
      </c>
      <c r="M130" s="26">
        <v>0.45</v>
      </c>
      <c r="N130" s="26">
        <v>0.5</v>
      </c>
      <c r="O130" s="26">
        <v>0.55000000000000004</v>
      </c>
      <c r="P130" s="26">
        <v>0.6</v>
      </c>
      <c r="Q130" s="26">
        <v>0.65</v>
      </c>
      <c r="R130" s="26">
        <v>0.7</v>
      </c>
      <c r="S130" s="26">
        <v>0.75</v>
      </c>
      <c r="T130" s="26">
        <v>0.8</v>
      </c>
      <c r="U130" s="26">
        <v>0.85</v>
      </c>
      <c r="V130" s="26">
        <v>0.9</v>
      </c>
      <c r="W130" s="26">
        <v>0.95</v>
      </c>
      <c r="X130" s="27">
        <v>1</v>
      </c>
    </row>
    <row r="131" spans="2:24" ht="21.5" thickBot="1" x14ac:dyDescent="0.55000000000000004">
      <c r="C131" s="9"/>
      <c r="D131" s="50" t="s">
        <v>66</v>
      </c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2"/>
    </row>
    <row r="133" spans="2:24" ht="15" thickBot="1" x14ac:dyDescent="0.4"/>
    <row r="134" spans="2:24" ht="21.5" thickBot="1" x14ac:dyDescent="0.55000000000000004">
      <c r="B134" s="53" t="s">
        <v>15</v>
      </c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5"/>
    </row>
    <row r="135" spans="2:24" x14ac:dyDescent="0.35">
      <c r="B135" s="47" t="s">
        <v>6</v>
      </c>
      <c r="C135" s="27">
        <v>1</v>
      </c>
      <c r="D135" s="40">
        <f>(D161*$P$7) + $P$10</f>
        <v>-1.5255813463090986</v>
      </c>
      <c r="E135" s="39">
        <f t="shared" ref="E135:X135" si="60">(E161*$P$7) + $P$10</f>
        <v>-1.5169847522713751</v>
      </c>
      <c r="F135" s="39">
        <f t="shared" si="60"/>
        <v>-1.5071178637589338</v>
      </c>
      <c r="G135" s="39">
        <f t="shared" si="60"/>
        <v>-1.4958010648405178</v>
      </c>
      <c r="H135" s="39">
        <f t="shared" si="60"/>
        <v>-1.482831931498843</v>
      </c>
      <c r="I135" s="39">
        <f t="shared" si="60"/>
        <v>-1.4679831665560843</v>
      </c>
      <c r="J135" s="39">
        <f t="shared" si="60"/>
        <v>-1.4510006270765219</v>
      </c>
      <c r="K135" s="39">
        <f t="shared" si="60"/>
        <v>-1.4316015629312153</v>
      </c>
      <c r="L135" s="39">
        <f t="shared" si="60"/>
        <v>-1.4094732238801724</v>
      </c>
      <c r="M135" s="39">
        <f t="shared" si="60"/>
        <v>-1.3842720379310542</v>
      </c>
      <c r="N135" s="39">
        <f t="shared" si="60"/>
        <v>-1.3556236149808765</v>
      </c>
      <c r="O135" s="39">
        <f t="shared" si="60"/>
        <v>-1.3231238846099722</v>
      </c>
      <c r="P135" s="39">
        <f t="shared" si="60"/>
        <v>-1.2863417312242031</v>
      </c>
      <c r="Q135" s="39">
        <f t="shared" si="60"/>
        <v>-1.24482353680641</v>
      </c>
      <c r="R135" s="39">
        <f t="shared" si="60"/>
        <v>-1.1981000714280725</v>
      </c>
      <c r="S135" s="39">
        <f t="shared" si="60"/>
        <v>-1.1456961709019673</v>
      </c>
      <c r="T135" s="39">
        <f t="shared" si="60"/>
        <v>-1.0871435926160156</v>
      </c>
      <c r="U135" s="39">
        <f t="shared" si="60"/>
        <v>-1.0219973254309276</v>
      </c>
      <c r="V135" s="39">
        <f t="shared" si="60"/>
        <v>-0.9498554284692895</v>
      </c>
      <c r="W135" s="39">
        <f t="shared" si="60"/>
        <v>-0.87038217207812951</v>
      </c>
      <c r="X135" s="41">
        <f t="shared" si="60"/>
        <v>-0.7833338483467257</v>
      </c>
    </row>
    <row r="136" spans="2:24" x14ac:dyDescent="0.35">
      <c r="B136" s="48"/>
      <c r="C136" s="24">
        <v>0.95</v>
      </c>
      <c r="D136" s="42">
        <f>(D162*$P$7) + $P$10</f>
        <v>-1.5126073821649886</v>
      </c>
      <c r="E136" s="38">
        <f t="shared" ref="E136:X136" si="61">(E162*$P$7) + $P$10</f>
        <v>-1.5020961851114776</v>
      </c>
      <c r="F136" s="38">
        <f t="shared" si="61"/>
        <v>-1.4900447831086783</v>
      </c>
      <c r="G136" s="38">
        <f t="shared" si="61"/>
        <v>-1.4762395467314677</v>
      </c>
      <c r="H136" s="38">
        <f t="shared" si="61"/>
        <v>-1.4604410467989424</v>
      </c>
      <c r="I136" s="38">
        <f t="shared" si="61"/>
        <v>-1.4423821621336632</v>
      </c>
      <c r="J136" s="38">
        <f t="shared" si="61"/>
        <v>-1.4217664657546714</v>
      </c>
      <c r="K136" s="38">
        <f t="shared" si="61"/>
        <v>-1.3982670669688768</v>
      </c>
      <c r="L136" s="38">
        <f t="shared" si="61"/>
        <v>-1.371526135100259</v>
      </c>
      <c r="M136" s="38">
        <f t="shared" si="61"/>
        <v>-1.341155383887743</v>
      </c>
      <c r="N136" s="38">
        <f t="shared" si="61"/>
        <v>-1.3067378508544782</v>
      </c>
      <c r="O136" s="38">
        <f t="shared" si="61"/>
        <v>-1.2678313579480791</v>
      </c>
      <c r="P136" s="38">
        <f t="shared" si="61"/>
        <v>-1.2239740803470482</v>
      </c>
      <c r="Q136" s="38">
        <f t="shared" si="61"/>
        <v>-1.1746926679882645</v>
      </c>
      <c r="R136" s="38">
        <f t="shared" si="61"/>
        <v>-1.1195133439664811</v>
      </c>
      <c r="S136" s="38">
        <f t="shared" si="61"/>
        <v>-1.0579763272929981</v>
      </c>
      <c r="T136" s="38">
        <f t="shared" si="61"/>
        <v>-0.98965377499349916</v>
      </c>
      <c r="U136" s="38">
        <f t="shared" si="61"/>
        <v>-0.91417119250524947</v>
      </c>
      <c r="V136" s="38">
        <f t="shared" si="61"/>
        <v>-0.83123191126922946</v>
      </c>
      <c r="W136" s="38">
        <f t="shared" si="61"/>
        <v>-0.74064378190978708</v>
      </c>
      <c r="X136" s="43">
        <f t="shared" si="61"/>
        <v>-0.64234670603651822</v>
      </c>
    </row>
    <row r="137" spans="2:24" x14ac:dyDescent="0.35">
      <c r="B137" s="48"/>
      <c r="C137" s="24">
        <v>0.9</v>
      </c>
      <c r="D137" s="42">
        <f t="shared" ref="D137:X137" si="62">(D163*$P$7) + $P$10</f>
        <v>-1.496747958098932</v>
      </c>
      <c r="E137" s="38">
        <f t="shared" si="62"/>
        <v>-1.4839166427124137</v>
      </c>
      <c r="F137" s="38">
        <f t="shared" si="62"/>
        <v>-1.4692245155595045</v>
      </c>
      <c r="G137" s="38">
        <f t="shared" si="62"/>
        <v>-1.4524196119860133</v>
      </c>
      <c r="H137" s="38">
        <f t="shared" si="62"/>
        <v>-1.4332214876117382</v>
      </c>
      <c r="I137" s="38">
        <f t="shared" si="62"/>
        <v>-1.411319789723539</v>
      </c>
      <c r="J137" s="38">
        <f t="shared" si="62"/>
        <v>-1.3863733822122266</v>
      </c>
      <c r="K137" s="38">
        <f t="shared" si="62"/>
        <v>-1.358010273859825</v>
      </c>
      <c r="L137" s="38">
        <f t="shared" si="62"/>
        <v>-1.3258286544836417</v>
      </c>
      <c r="M137" s="38">
        <f t="shared" si="62"/>
        <v>-1.2893993980184377</v>
      </c>
      <c r="N137" s="38">
        <f t="shared" si="62"/>
        <v>-1.24827043956822</v>
      </c>
      <c r="O137" s="38">
        <f t="shared" si="62"/>
        <v>-1.2019734651406544</v>
      </c>
      <c r="P137" s="38">
        <f t="shared" si="62"/>
        <v>-1.1500333549893824</v>
      </c>
      <c r="Q137" s="38">
        <f t="shared" si="62"/>
        <v>-1.091980777567475</v>
      </c>
      <c r="R137" s="38">
        <f t="shared" si="62"/>
        <v>-1.027368221906646</v>
      </c>
      <c r="S137" s="38">
        <f t="shared" si="62"/>
        <v>-0.9557895625572268</v>
      </c>
      <c r="T137" s="38">
        <f t="shared" si="62"/>
        <v>-0.87690295790488426</v>
      </c>
      <c r="U137" s="38">
        <f t="shared" si="62"/>
        <v>-0.79045648474908092</v>
      </c>
      <c r="V137" s="38">
        <f t="shared" si="62"/>
        <v>-0.69631542225399878</v>
      </c>
      <c r="W137" s="38">
        <f t="shared" si="62"/>
        <v>-0.59448955488532906</v>
      </c>
      <c r="X137" s="43">
        <f t="shared" si="62"/>
        <v>-0.48515833527402163</v>
      </c>
    </row>
    <row r="138" spans="2:24" x14ac:dyDescent="0.35">
      <c r="B138" s="48"/>
      <c r="C138" s="24">
        <v>0.85</v>
      </c>
      <c r="D138" s="42">
        <f t="shared" ref="D138:X138" si="63">(D164*$P$7) + $P$10</f>
        <v>-1.4773939523073223</v>
      </c>
      <c r="E138" s="38">
        <f t="shared" si="63"/>
        <v>-1.4617614847332165</v>
      </c>
      <c r="F138" s="38">
        <f t="shared" si="63"/>
        <v>-1.4438906787260137</v>
      </c>
      <c r="G138" s="38">
        <f t="shared" si="63"/>
        <v>-1.4234874607466488</v>
      </c>
      <c r="H138" s="38">
        <f t="shared" si="63"/>
        <v>-1.4002273631609914</v>
      </c>
      <c r="I138" s="38">
        <f t="shared" si="63"/>
        <v>-1.3737549849820372</v>
      </c>
      <c r="J138" s="38">
        <f t="shared" si="63"/>
        <v>-1.3436843893382959</v>
      </c>
      <c r="K138" s="38">
        <f t="shared" si="63"/>
        <v>-1.3096007676590191</v>
      </c>
      <c r="L138" s="38">
        <f t="shared" si="63"/>
        <v>-1.2710637530743207</v>
      </c>
      <c r="M138" s="38">
        <f t="shared" si="63"/>
        <v>-1.227612807391341</v>
      </c>
      <c r="N138" s="38">
        <f t="shared" si="63"/>
        <v>-1.1787751259727879</v>
      </c>
      <c r="O138" s="38">
        <f t="shared" si="63"/>
        <v>-1.1240764880592042</v>
      </c>
      <c r="P138" s="38">
        <f t="shared" si="63"/>
        <v>-1.0630554085433905</v>
      </c>
      <c r="Q138" s="38">
        <f t="shared" si="63"/>
        <v>-0.99528080135420882</v>
      </c>
      <c r="R138" s="38">
        <f t="shared" si="63"/>
        <v>-0.92037312645426983</v>
      </c>
      <c r="S138" s="38">
        <f t="shared" si="63"/>
        <v>-0.83802865067458487</v>
      </c>
      <c r="T138" s="38">
        <f t="shared" si="63"/>
        <v>-0.74804600941122501</v>
      </c>
      <c r="U138" s="38">
        <f t="shared" si="63"/>
        <v>-0.65035373517660899</v>
      </c>
      <c r="V138" s="38">
        <f t="shared" si="63"/>
        <v>-0.54503687191622374</v>
      </c>
      <c r="W138" s="38">
        <f t="shared" si="63"/>
        <v>-0.43236030361391586</v>
      </c>
      <c r="X138" s="43">
        <f t="shared" si="63"/>
        <v>-0.31278610069747326</v>
      </c>
    </row>
    <row r="139" spans="2:24" x14ac:dyDescent="0.35">
      <c r="B139" s="48"/>
      <c r="C139" s="24">
        <v>0.8</v>
      </c>
      <c r="D139" s="42">
        <f t="shared" ref="D139:X139" si="64">(D165*$P$7) + $P$10</f>
        <v>-1.453823816162219</v>
      </c>
      <c r="E139" s="38">
        <f t="shared" si="64"/>
        <v>-1.4348247132688006</v>
      </c>
      <c r="F139" s="38">
        <f t="shared" si="64"/>
        <v>-1.4131475475274047</v>
      </c>
      <c r="G139" s="38">
        <f t="shared" si="64"/>
        <v>-1.3884536181127334</v>
      </c>
      <c r="H139" s="38">
        <f t="shared" si="64"/>
        <v>-1.3603733389135031</v>
      </c>
      <c r="I139" s="38">
        <f t="shared" si="64"/>
        <v>-1.3285071752498199</v>
      </c>
      <c r="J139" s="38">
        <f t="shared" si="64"/>
        <v>-1.2924280174198595</v>
      </c>
      <c r="K139" s="38">
        <f t="shared" si="64"/>
        <v>-1.2516853947791906</v>
      </c>
      <c r="L139" s="38">
        <f t="shared" si="64"/>
        <v>-1.2058119674473957</v>
      </c>
      <c r="M139" s="38">
        <f t="shared" si="64"/>
        <v>-1.1543327378279136</v>
      </c>
      <c r="N139" s="38">
        <f t="shared" si="64"/>
        <v>-1.0967773845040276</v>
      </c>
      <c r="O139" s="38">
        <f t="shared" si="64"/>
        <v>-1.0326960177333304</v>
      </c>
      <c r="P139" s="38">
        <f t="shared" si="64"/>
        <v>-0.96167846936190426</v>
      </c>
      <c r="Q139" s="38">
        <f t="shared" si="64"/>
        <v>-0.88337694485230522</v>
      </c>
      <c r="R139" s="38">
        <f t="shared" si="64"/>
        <v>-0.79753147523263113</v>
      </c>
      <c r="S139" s="38">
        <f t="shared" si="64"/>
        <v>-0.70399712321296359</v>
      </c>
      <c r="T139" s="38">
        <f t="shared" si="64"/>
        <v>-0.60277135637007095</v>
      </c>
      <c r="U139" s="38">
        <f t="shared" si="64"/>
        <v>-0.49401946725971113</v>
      </c>
      <c r="V139" s="38">
        <f t="shared" si="64"/>
        <v>-0.37809549149790023</v>
      </c>
      <c r="W139" s="38">
        <f t="shared" si="64"/>
        <v>-0.2555558662749382</v>
      </c>
      <c r="X139" s="43">
        <f t="shared" si="64"/>
        <v>-0.12716319833263956</v>
      </c>
    </row>
    <row r="140" spans="2:24" x14ac:dyDescent="0.35">
      <c r="B140" s="48"/>
      <c r="C140" s="24">
        <v>0.75</v>
      </c>
      <c r="D140" s="42">
        <f t="shared" ref="D140:X140" si="65">(D166*$P$7) + $P$10</f>
        <v>-1.4251908089863312</v>
      </c>
      <c r="E140" s="38">
        <f t="shared" si="65"/>
        <v>-1.4021678151537176</v>
      </c>
      <c r="F140" s="38">
        <f t="shared" si="65"/>
        <v>-1.3759616037843476</v>
      </c>
      <c r="G140" s="38">
        <f t="shared" si="65"/>
        <v>-1.3461885974886019</v>
      </c>
      <c r="H140" s="38">
        <f t="shared" si="65"/>
        <v>-1.3124361618681915</v>
      </c>
      <c r="I140" s="38">
        <f t="shared" si="65"/>
        <v>-1.2742657743107286</v>
      </c>
      <c r="J140" s="38">
        <f t="shared" si="65"/>
        <v>-1.231218231901269</v>
      </c>
      <c r="K140" s="38">
        <f t="shared" si="65"/>
        <v>-1.1828213423230878</v>
      </c>
      <c r="L140" s="38">
        <f t="shared" si="65"/>
        <v>-1.1286005283418767</v>
      </c>
      <c r="M140" s="38">
        <f t="shared" si="65"/>
        <v>-1.0680927099429067</v>
      </c>
      <c r="N140" s="38">
        <f t="shared" si="65"/>
        <v>-1.0008636888816878</v>
      </c>
      <c r="O140" s="38">
        <f t="shared" si="65"/>
        <v>-0.92652903004939102</v>
      </c>
      <c r="P140" s="38">
        <f t="shared" si="65"/>
        <v>-0.8447781005656243</v>
      </c>
      <c r="Q140" s="38">
        <f t="shared" si="65"/>
        <v>-0.75540049176012969</v>
      </c>
      <c r="R140" s="38">
        <f t="shared" si="65"/>
        <v>-0.65831353281651284</v>
      </c>
      <c r="S140" s="38">
        <f t="shared" si="65"/>
        <v>-0.55358905721698948</v>
      </c>
      <c r="T140" s="38">
        <f t="shared" si="65"/>
        <v>-0.44147708461433299</v>
      </c>
      <c r="U140" s="38">
        <f t="shared" si="65"/>
        <v>-0.3224237384288724</v>
      </c>
      <c r="V140" s="38">
        <f t="shared" si="65"/>
        <v>-0.19708065215752812</v>
      </c>
      <c r="W140" s="38">
        <f t="shared" si="65"/>
        <v>-6.6303429396625591E-2</v>
      </c>
      <c r="X140" s="43">
        <f t="shared" si="65"/>
        <v>6.8862530249092613E-2</v>
      </c>
    </row>
    <row r="141" spans="2:24" x14ac:dyDescent="0.35">
      <c r="B141" s="48"/>
      <c r="C141" s="24">
        <v>0.7</v>
      </c>
      <c r="D141" s="42">
        <f t="shared" ref="D141:X141" si="66">(D167*$P$7) + $P$10</f>
        <v>-1.3905129333422379</v>
      </c>
      <c r="E141" s="38">
        <f t="shared" si="66"/>
        <v>-1.3627130119859558</v>
      </c>
      <c r="F141" s="38">
        <f t="shared" si="66"/>
        <v>-1.3311596613020378</v>
      </c>
      <c r="G141" s="38">
        <f t="shared" si="66"/>
        <v>-1.2954278137799227</v>
      </c>
      <c r="H141" s="38">
        <f t="shared" si="66"/>
        <v>-1.2550686329322811</v>
      </c>
      <c r="I141" s="38">
        <f t="shared" si="66"/>
        <v>-1.209615809730364</v>
      </c>
      <c r="J141" s="38">
        <f t="shared" si="66"/>
        <v>-1.1585945448227937</v>
      </c>
      <c r="K141" s="38">
        <f t="shared" si="66"/>
        <v>-1.1015336242667901</v>
      </c>
      <c r="L141" s="38">
        <f t="shared" si="66"/>
        <v>-1.0379808988865902</v>
      </c>
      <c r="M141" s="38">
        <f t="shared" si="66"/>
        <v>-0.9675222981513506</v>
      </c>
      <c r="N141" s="38">
        <f t="shared" si="66"/>
        <v>-0.88980423248832585</v>
      </c>
      <c r="O141" s="38">
        <f t="shared" si="66"/>
        <v>-0.80455885616887768</v>
      </c>
      <c r="P141" s="38">
        <f t="shared" si="66"/>
        <v>-0.71163118577608442</v>
      </c>
      <c r="Q141" s="38">
        <f t="shared" si="66"/>
        <v>-0.61100653047772779</v>
      </c>
      <c r="R141" s="38">
        <f t="shared" si="66"/>
        <v>-0.50283615351549393</v>
      </c>
      <c r="S141" s="38">
        <f t="shared" si="66"/>
        <v>-0.3874586432653655</v>
      </c>
      <c r="T141" s="38">
        <f t="shared" si="66"/>
        <v>-0.26541424197813845</v>
      </c>
      <c r="U141" s="38">
        <f t="shared" si="66"/>
        <v>-0.13744947689158304</v>
      </c>
      <c r="V141" s="38">
        <f t="shared" si="66"/>
        <v>-4.5099481953803089E-3</v>
      </c>
      <c r="W141" s="38">
        <f t="shared" si="66"/>
        <v>0.13227992667899557</v>
      </c>
      <c r="X141" s="43">
        <f t="shared" si="66"/>
        <v>0.27165010291489811</v>
      </c>
    </row>
    <row r="142" spans="2:24" x14ac:dyDescent="0.35">
      <c r="B142" s="48"/>
      <c r="C142" s="24">
        <v>0.65</v>
      </c>
      <c r="D142" s="42">
        <f t="shared" ref="D142:X142" si="67">(D168*$P$7) + $P$10</f>
        <v>-1.3486682162168302</v>
      </c>
      <c r="E142" s="38">
        <f t="shared" si="67"/>
        <v>-1.3152442528539239</v>
      </c>
      <c r="F142" s="38">
        <f t="shared" si="67"/>
        <v>-1.2774376493943378</v>
      </c>
      <c r="G142" s="38">
        <f t="shared" si="67"/>
        <v>-1.2347905855259453</v>
      </c>
      <c r="H142" s="38">
        <f t="shared" si="67"/>
        <v>-1.1868315466234134</v>
      </c>
      <c r="I142" s="38">
        <f t="shared" si="67"/>
        <v>-1.1330856846825232</v>
      </c>
      <c r="J142" s="38">
        <f t="shared" si="67"/>
        <v>-1.0730884322566743</v>
      </c>
      <c r="K142" s="38">
        <f t="shared" si="67"/>
        <v>-1.0064026081934569</v>
      </c>
      <c r="L142" s="38">
        <f t="shared" si="67"/>
        <v>-0.93263903132518877</v>
      </c>
      <c r="M142" s="38">
        <f t="shared" si="67"/>
        <v>-0.8514803330725913</v>
      </c>
      <c r="N142" s="38">
        <f t="shared" si="67"/>
        <v>-0.76270723174671518</v>
      </c>
      <c r="O142" s="38">
        <f t="shared" si="67"/>
        <v>-0.66622601989314223</v>
      </c>
      <c r="P142" s="38">
        <f t="shared" si="67"/>
        <v>-0.56209546833491397</v>
      </c>
      <c r="Q142" s="38">
        <f t="shared" si="67"/>
        <v>-0.4505508446021711</v>
      </c>
      <c r="R142" s="38">
        <f t="shared" si="67"/>
        <v>-0.33202238453962729</v>
      </c>
      <c r="S142" s="38">
        <f t="shared" si="67"/>
        <v>-0.2071454627792797</v>
      </c>
      <c r="T142" s="38">
        <f t="shared" si="67"/>
        <v>-7.675998707846321E-2</v>
      </c>
      <c r="U142" s="38">
        <f t="shared" si="67"/>
        <v>5.8102745832911085E-2</v>
      </c>
      <c r="V142" s="38">
        <f t="shared" si="67"/>
        <v>0.19624636720129396</v>
      </c>
      <c r="W142" s="38">
        <f t="shared" si="67"/>
        <v>0.33634813363471006</v>
      </c>
      <c r="X142" s="43">
        <f t="shared" si="67"/>
        <v>0.47700769754790717</v>
      </c>
    </row>
    <row r="143" spans="2:24" x14ac:dyDescent="0.35">
      <c r="B143" s="48"/>
      <c r="C143" s="24">
        <v>0.6</v>
      </c>
      <c r="D143" s="42">
        <f t="shared" ref="D143:X143" si="68">(D169*$P$7) + $P$10</f>
        <v>-1.2983990107880243</v>
      </c>
      <c r="E143" s="38">
        <f t="shared" si="68"/>
        <v>-1.2584203842078701</v>
      </c>
      <c r="F143" s="38">
        <f t="shared" si="68"/>
        <v>-1.2133852235284994</v>
      </c>
      <c r="G143" s="38">
        <f t="shared" si="68"/>
        <v>-1.1628190021375306</v>
      </c>
      <c r="H143" s="38">
        <f t="shared" si="68"/>
        <v>-1.1062497091934509</v>
      </c>
      <c r="I143" s="38">
        <f t="shared" si="68"/>
        <v>-1.0432230537078897</v>
      </c>
      <c r="J143" s="38">
        <f t="shared" si="68"/>
        <v>-0.97332120153885793</v>
      </c>
      <c r="K143" s="38">
        <f t="shared" si="68"/>
        <v>-0.89618492477610256</v>
      </c>
      <c r="L143" s="38">
        <f t="shared" si="68"/>
        <v>-0.8115386693843718</v>
      </c>
      <c r="M143" s="38">
        <f t="shared" si="68"/>
        <v>-0.71921757647894446</v>
      </c>
      <c r="N143" s="38">
        <f t="shared" si="68"/>
        <v>-0.61919495677621395</v>
      </c>
      <c r="O143" s="38">
        <f t="shared" si="68"/>
        <v>-0.51160817776196787</v>
      </c>
      <c r="P143" s="38">
        <f t="shared" si="68"/>
        <v>-0.39678047054803778</v>
      </c>
      <c r="Q143" s="38">
        <f t="shared" si="68"/>
        <v>-0.27523591220682819</v>
      </c>
      <c r="R143" s="38">
        <f t="shared" si="68"/>
        <v>-0.14770490652440271</v>
      </c>
      <c r="S143" s="38">
        <f t="shared" si="68"/>
        <v>-1.5117961568592575E-2</v>
      </c>
      <c r="T143" s="38">
        <f t="shared" si="68"/>
        <v>0.12141352553493556</v>
      </c>
      <c r="U143" s="38">
        <f t="shared" si="68"/>
        <v>0.26062947996549934</v>
      </c>
      <c r="V143" s="38">
        <f t="shared" si="68"/>
        <v>0.40116486192711553</v>
      </c>
      <c r="W143" s="38">
        <f t="shared" si="68"/>
        <v>0.54160191875869423</v>
      </c>
      <c r="X143" s="43">
        <f t="shared" si="68"/>
        <v>0.68052685151297765</v>
      </c>
    </row>
    <row r="144" spans="2:24" x14ac:dyDescent="0.35">
      <c r="B144" s="48"/>
      <c r="C144" s="24">
        <v>0.55000000000000004</v>
      </c>
      <c r="D144" s="42">
        <f t="shared" ref="D144:X144" si="69">(D170*$P$7) + $P$10</f>
        <v>-1.2383300998024214</v>
      </c>
      <c r="E144" s="38">
        <f t="shared" si="69"/>
        <v>-1.1908059688750485</v>
      </c>
      <c r="F144" s="38">
        <f t="shared" si="69"/>
        <v>-1.1375321780306169</v>
      </c>
      <c r="G144" s="38">
        <f t="shared" si="69"/>
        <v>-1.0780427781314519</v>
      </c>
      <c r="H144" s="38">
        <f t="shared" si="69"/>
        <v>-1.0118977327123337</v>
      </c>
      <c r="I144" s="38">
        <f t="shared" si="69"/>
        <v>-0.93870326213960298</v>
      </c>
      <c r="J144" s="38">
        <f t="shared" si="69"/>
        <v>-0.85813542521244701</v>
      </c>
      <c r="K144" s="38">
        <f t="shared" si="69"/>
        <v>-0.7699662380859833</v>
      </c>
      <c r="L144" s="38">
        <f t="shared" si="69"/>
        <v>-0.6740911241906683</v>
      </c>
      <c r="M144" s="38">
        <f t="shared" si="69"/>
        <v>-0.57055594156510892</v>
      </c>
      <c r="N144" s="38">
        <f t="shared" si="69"/>
        <v>-0.45958132125365592</v>
      </c>
      <c r="O144" s="38">
        <f t="shared" si="69"/>
        <v>-0.3415816757020238</v>
      </c>
      <c r="P144" s="38">
        <f t="shared" si="69"/>
        <v>-0.21717611786460078</v>
      </c>
      <c r="Q144" s="38">
        <f t="shared" si="69"/>
        <v>-8.7188778742246065E-2</v>
      </c>
      <c r="R144" s="38">
        <f t="shared" si="69"/>
        <v>4.7363310913467682E-2</v>
      </c>
      <c r="S144" s="38">
        <f t="shared" si="69"/>
        <v>0.18529551070798966</v>
      </c>
      <c r="T144" s="38">
        <f t="shared" si="69"/>
        <v>0.32529335876928966</v>
      </c>
      <c r="U144" s="38">
        <f t="shared" si="69"/>
        <v>0.46596066687400106</v>
      </c>
      <c r="V144" s="38">
        <f t="shared" si="69"/>
        <v>0.60587437108020059</v>
      </c>
      <c r="W144" s="38">
        <f t="shared" si="69"/>
        <v>0.74364164768554475</v>
      </c>
      <c r="X144" s="43">
        <f t="shared" si="69"/>
        <v>0.87795448178009905</v>
      </c>
    </row>
    <row r="145" spans="2:24" x14ac:dyDescent="0.35">
      <c r="B145" s="48"/>
      <c r="C145" s="24">
        <v>0.5</v>
      </c>
      <c r="D145" s="42">
        <f t="shared" ref="D145:X145" si="70">(D171*$P$7) + $P$10</f>
        <v>-1.1670063366416685</v>
      </c>
      <c r="E145" s="38">
        <f t="shared" si="70"/>
        <v>-1.110925853055313</v>
      </c>
      <c r="F145" s="38">
        <f t="shared" si="70"/>
        <v>-1.0484226728318311</v>
      </c>
      <c r="G145" s="38">
        <f t="shared" si="70"/>
        <v>-0.97907533540277436</v>
      </c>
      <c r="H145" s="38">
        <f t="shared" si="70"/>
        <v>-0.90251912999017347</v>
      </c>
      <c r="I145" s="38">
        <f t="shared" si="70"/>
        <v>-0.81847096207879444</v>
      </c>
      <c r="J145" s="38">
        <f t="shared" si="70"/>
        <v>-0.72675626822732098</v>
      </c>
      <c r="K145" s="38">
        <f t="shared" si="70"/>
        <v>-0.62733652203829993</v>
      </c>
      <c r="L145" s="38">
        <f t="shared" si="70"/>
        <v>-0.52033533148956224</v>
      </c>
      <c r="M145" s="38">
        <f t="shared" si="70"/>
        <v>-0.40606066445628386</v>
      </c>
      <c r="N145" s="38">
        <f t="shared" si="70"/>
        <v>-0.28502046787528301</v>
      </c>
      <c r="O145" s="38">
        <f t="shared" si="70"/>
        <v>-0.15792898429771784</v>
      </c>
      <c r="P145" s="38">
        <f t="shared" si="70"/>
        <v>-2.5701510888573864E-2</v>
      </c>
      <c r="Q145" s="38">
        <f t="shared" si="70"/>
        <v>0.11056377544609175</v>
      </c>
      <c r="R145" s="38">
        <f t="shared" si="70"/>
        <v>0.24961704167314425</v>
      </c>
      <c r="S145" s="38">
        <f t="shared" si="70"/>
        <v>0.39009969639727426</v>
      </c>
      <c r="T145" s="38">
        <f t="shared" si="70"/>
        <v>0.53059610766246723</v>
      </c>
      <c r="U145" s="38">
        <f t="shared" si="70"/>
        <v>0.66969009033439053</v>
      </c>
      <c r="V145" s="38">
        <f t="shared" si="70"/>
        <v>0.80602144021272903</v>
      </c>
      <c r="W145" s="38">
        <f t="shared" si="70"/>
        <v>0.93833778535058587</v>
      </c>
      <c r="X145" s="43">
        <f t="shared" si="70"/>
        <v>1.0655376855376646</v>
      </c>
    </row>
    <row r="146" spans="2:24" x14ac:dyDescent="0.35">
      <c r="B146" s="48"/>
      <c r="C146" s="24">
        <v>0.45</v>
      </c>
      <c r="D146" s="42">
        <f t="shared" ref="D146:X146" si="71">(D172*$P$7) + $P$10</f>
        <v>-1.0829559520279868</v>
      </c>
      <c r="E146" s="38">
        <f t="shared" si="71"/>
        <v>-1.0173492385898886</v>
      </c>
      <c r="F146" s="38">
        <f t="shared" si="71"/>
        <v>-0.94472185809147591</v>
      </c>
      <c r="G146" s="38">
        <f t="shared" si="71"/>
        <v>-0.86474345880512438</v>
      </c>
      <c r="H146" s="38">
        <f t="shared" si="71"/>
        <v>-0.77717752533900408</v>
      </c>
      <c r="I146" s="38">
        <f t="shared" si="71"/>
        <v>-0.68190878027453827</v>
      </c>
      <c r="J146" s="38">
        <f t="shared" si="71"/>
        <v>-0.57897032070786603</v>
      </c>
      <c r="K146" s="38">
        <f t="shared" si="71"/>
        <v>-0.46856826015510866</v>
      </c>
      <c r="L146" s="38">
        <f t="shared" si="71"/>
        <v>-0.35110125648693224</v>
      </c>
      <c r="M146" s="38">
        <f t="shared" si="71"/>
        <v>-0.22717216391225037</v>
      </c>
      <c r="N146" s="38">
        <f t="shared" si="71"/>
        <v>-9.7589262153272349E-2</v>
      </c>
      <c r="O146" s="38">
        <f t="shared" si="71"/>
        <v>3.664484070974483E-2</v>
      </c>
      <c r="P146" s="38">
        <f t="shared" si="71"/>
        <v>0.17435746739909641</v>
      </c>
      <c r="Q146" s="38">
        <f t="shared" si="71"/>
        <v>0.31424273675871039</v>
      </c>
      <c r="R146" s="38">
        <f t="shared" si="71"/>
        <v>0.45490896138359438</v>
      </c>
      <c r="S146" s="38">
        <f t="shared" si="71"/>
        <v>0.59493312098228412</v>
      </c>
      <c r="T146" s="38">
        <f t="shared" si="71"/>
        <v>0.73291797463838315</v>
      </c>
      <c r="U146" s="38">
        <f t="shared" si="71"/>
        <v>0.86754699976996341</v>
      </c>
      <c r="V146" s="38">
        <f t="shared" si="71"/>
        <v>0.99763265510044508</v>
      </c>
      <c r="W146" s="38">
        <f t="shared" si="71"/>
        <v>1.1221543932974092</v>
      </c>
      <c r="X146" s="43">
        <f t="shared" si="71"/>
        <v>1.2402842035444326</v>
      </c>
    </row>
    <row r="147" spans="2:24" x14ac:dyDescent="0.35">
      <c r="B147" s="48"/>
      <c r="C147" s="24">
        <v>0.4</v>
      </c>
      <c r="D147" s="42">
        <f t="shared" ref="D147:X147" si="72">(D173*$P$7) + $P$10</f>
        <v>-0.98478485880676447</v>
      </c>
      <c r="E147" s="38">
        <f t="shared" si="72"/>
        <v>-0.90880696063272415</v>
      </c>
      <c r="F147" s="38">
        <f t="shared" si="72"/>
        <v>-0.82535578674264853</v>
      </c>
      <c r="G147" s="38">
        <f t="shared" si="72"/>
        <v>-0.73424724022331067</v>
      </c>
      <c r="H147" s="38">
        <f t="shared" si="72"/>
        <v>-0.63543112018433634</v>
      </c>
      <c r="I147" s="38">
        <f t="shared" si="72"/>
        <v>-0.52901741392637214</v>
      </c>
      <c r="J147" s="38">
        <f t="shared" si="72"/>
        <v>-0.41529892406206925</v>
      </c>
      <c r="K147" s="38">
        <f t="shared" si="72"/>
        <v>-0.29476750763013726</v>
      </c>
      <c r="L147" s="38">
        <f t="shared" si="72"/>
        <v>-0.16812121427630955</v>
      </c>
      <c r="M147" s="38">
        <f t="shared" si="72"/>
        <v>-3.62600179719339E-2</v>
      </c>
      <c r="N147" s="38">
        <f t="shared" si="72"/>
        <v>9.9731318340560815E-2</v>
      </c>
      <c r="O147" s="38">
        <f t="shared" si="72"/>
        <v>0.23861347011199108</v>
      </c>
      <c r="P147" s="38">
        <f t="shared" si="72"/>
        <v>0.37903461620373058</v>
      </c>
      <c r="Q147" s="38">
        <f t="shared" si="72"/>
        <v>0.51958159706321028</v>
      </c>
      <c r="R147" s="38">
        <f t="shared" si="72"/>
        <v>0.65883619335982213</v>
      </c>
      <c r="S147" s="38">
        <f t="shared" si="72"/>
        <v>0.79543183201461987</v>
      </c>
      <c r="T147" s="38">
        <f t="shared" si="72"/>
        <v>0.9281059655414643</v>
      </c>
      <c r="U147" s="38">
        <f t="shared" si="72"/>
        <v>1.0557439820133989</v>
      </c>
      <c r="V147" s="38">
        <f t="shared" si="72"/>
        <v>1.1774116574992102</v>
      </c>
      <c r="W147" s="38">
        <f t="shared" si="72"/>
        <v>1.2923746267066332</v>
      </c>
      <c r="X147" s="43">
        <f t="shared" si="72"/>
        <v>1.4001048475932436</v>
      </c>
    </row>
    <row r="148" spans="2:24" x14ac:dyDescent="0.35">
      <c r="B148" s="48"/>
      <c r="C148" s="24">
        <v>0.35</v>
      </c>
      <c r="D148" s="42">
        <f t="shared" ref="D148:X148" si="73">(D174*$P$7) + $P$10</f>
        <v>-0.87130452038967576</v>
      </c>
      <c r="E148" s="38">
        <f t="shared" si="73"/>
        <v>-0.78434111383353811</v>
      </c>
      <c r="F148" s="38">
        <f t="shared" si="73"/>
        <v>-0.68967892942418951</v>
      </c>
      <c r="G148" s="38">
        <f t="shared" si="73"/>
        <v>-0.58733845702191334</v>
      </c>
      <c r="H148" s="38">
        <f t="shared" si="73"/>
        <v>-0.47751141478504811</v>
      </c>
      <c r="I148" s="38">
        <f t="shared" si="73"/>
        <v>-0.36058077938165733</v>
      </c>
      <c r="J148" s="38">
        <f t="shared" si="73"/>
        <v>-0.2371331548792448</v>
      </c>
      <c r="K148" s="38">
        <f t="shared" si="73"/>
        <v>-0.10796090156429305</v>
      </c>
      <c r="L148" s="38">
        <f t="shared" si="73"/>
        <v>2.5947945411702422E-2</v>
      </c>
      <c r="M148" s="38">
        <f t="shared" si="73"/>
        <v>0.16343290087866125</v>
      </c>
      <c r="N148" s="38">
        <f t="shared" si="73"/>
        <v>0.30319695923026169</v>
      </c>
      <c r="O148" s="38">
        <f t="shared" si="73"/>
        <v>0.44385327297577581</v>
      </c>
      <c r="P148" s="38">
        <f t="shared" si="73"/>
        <v>0.58397922108300482</v>
      </c>
      <c r="Q148" s="38">
        <f t="shared" si="73"/>
        <v>0.72217348743066023</v>
      </c>
      <c r="R148" s="38">
        <f t="shared" si="73"/>
        <v>0.85711134201058026</v>
      </c>
      <c r="S148" s="38">
        <f t="shared" si="73"/>
        <v>0.98759357368439393</v>
      </c>
      <c r="T148" s="38">
        <f t="shared" si="73"/>
        <v>1.1125854085852322</v>
      </c>
      <c r="U148" s="38">
        <f t="shared" si="73"/>
        <v>1.231243078409425</v>
      </c>
      <c r="V148" s="38">
        <f t="shared" si="73"/>
        <v>1.3429272170315756</v>
      </c>
      <c r="W148" s="38">
        <f t="shared" si="73"/>
        <v>1.4472036944980002</v>
      </c>
      <c r="X148" s="43">
        <f t="shared" si="73"/>
        <v>1.5438336327018656</v>
      </c>
    </row>
    <row r="149" spans="2:24" x14ac:dyDescent="0.35">
      <c r="B149" s="48"/>
      <c r="C149" s="24">
        <v>0.3</v>
      </c>
      <c r="D149" s="42">
        <f t="shared" ref="D149:X149" si="74">(D175*$P$7) + $P$10</f>
        <v>-0.74169047789050757</v>
      </c>
      <c r="E149" s="38">
        <f t="shared" si="74"/>
        <v>-0.64347865222336331</v>
      </c>
      <c r="F149" s="38">
        <f t="shared" si="74"/>
        <v>-0.53765423200372608</v>
      </c>
      <c r="G149" s="38">
        <f t="shared" si="74"/>
        <v>-0.42449495639681123</v>
      </c>
      <c r="H149" s="38">
        <f t="shared" si="74"/>
        <v>-0.30447663788630597</v>
      </c>
      <c r="I149" s="38">
        <f t="shared" si="74"/>
        <v>-0.17828110759953475</v>
      </c>
      <c r="J149" s="38">
        <f t="shared" si="74"/>
        <v>-4.6792910507682972E-2</v>
      </c>
      <c r="K149" s="38">
        <f t="shared" si="74"/>
        <v>8.8916791932122985E-2</v>
      </c>
      <c r="L149" s="38">
        <f t="shared" si="74"/>
        <v>0.22761944514494803</v>
      </c>
      <c r="M149" s="38">
        <f t="shared" si="74"/>
        <v>0.36797031660401069</v>
      </c>
      <c r="N149" s="38">
        <f t="shared" si="74"/>
        <v>0.50855906955227437</v>
      </c>
      <c r="O149" s="38">
        <f t="shared" si="74"/>
        <v>0.64796580352948285</v>
      </c>
      <c r="P149" s="38">
        <f t="shared" si="74"/>
        <v>0.78481790257263628</v>
      </c>
      <c r="Q149" s="38">
        <f t="shared" si="74"/>
        <v>0.91784291668118523</v>
      </c>
      <c r="R149" s="38">
        <f t="shared" si="74"/>
        <v>1.0459132636312185</v>
      </c>
      <c r="S149" s="38">
        <f t="shared" si="74"/>
        <v>1.1680796575188246</v>
      </c>
      <c r="T149" s="38">
        <f t="shared" si="74"/>
        <v>1.2835916198149342</v>
      </c>
      <c r="U149" s="38">
        <f t="shared" si="74"/>
        <v>1.3919049355009505</v>
      </c>
      <c r="V149" s="38">
        <f t="shared" si="74"/>
        <v>1.4926772325915978</v>
      </c>
      <c r="W149" s="38">
        <f t="shared" si="74"/>
        <v>1.5857538163778571</v>
      </c>
      <c r="X149" s="43">
        <f t="shared" si="74"/>
        <v>1.6711464079649063</v>
      </c>
    </row>
    <row r="150" spans="2:24" x14ac:dyDescent="0.35">
      <c r="B150" s="48"/>
      <c r="C150" s="24">
        <v>0.25</v>
      </c>
      <c r="D150" s="42">
        <f t="shared" ref="D150:X150" si="75">(D176*$P$7) + $P$10</f>
        <v>-0.59566020917574225</v>
      </c>
      <c r="E150" s="38">
        <f t="shared" si="75"/>
        <v>-0.48641054649374826</v>
      </c>
      <c r="F150" s="38">
        <f t="shared" si="75"/>
        <v>-0.37001990480478097</v>
      </c>
      <c r="G150" s="38">
        <f t="shared" si="75"/>
        <v>-0.24705865223537993</v>
      </c>
      <c r="H150" s="38">
        <f t="shared" si="75"/>
        <v>-0.11830316781020933</v>
      </c>
      <c r="I150" s="38">
        <f t="shared" si="75"/>
        <v>1.5273230049542619E-2</v>
      </c>
      <c r="J150" s="38">
        <f t="shared" si="75"/>
        <v>0.15252247142500974</v>
      </c>
      <c r="K150" s="38">
        <f t="shared" si="75"/>
        <v>0.29215671659644737</v>
      </c>
      <c r="L150" s="38">
        <f t="shared" si="75"/>
        <v>0.43279429454912166</v>
      </c>
      <c r="M150" s="38">
        <f t="shared" si="75"/>
        <v>0.57301333890732908</v>
      </c>
      <c r="N150" s="38">
        <f t="shared" si="75"/>
        <v>0.71140880249553873</v>
      </c>
      <c r="O150" s="38">
        <f t="shared" si="75"/>
        <v>0.84664805231428164</v>
      </c>
      <c r="P150" s="38">
        <f t="shared" si="75"/>
        <v>0.97752044918491809</v>
      </c>
      <c r="Q150" s="38">
        <f t="shared" si="75"/>
        <v>1.1029771573788578</v>
      </c>
      <c r="R150" s="38">
        <f t="shared" si="75"/>
        <v>1.2221587335966666</v>
      </c>
      <c r="S150" s="38">
        <f t="shared" si="75"/>
        <v>1.3344095544246863</v>
      </c>
      <c r="T150" s="38">
        <f t="shared" si="75"/>
        <v>1.4392795873019664</v>
      </c>
      <c r="U150" s="38">
        <f t="shared" si="75"/>
        <v>1.5365151741339715</v>
      </c>
      <c r="V150" s="38">
        <f t="shared" si="75"/>
        <v>1.6260412523149237</v>
      </c>
      <c r="W150" s="38">
        <f t="shared" si="75"/>
        <v>1.7079377580193522</v>
      </c>
      <c r="X150" s="43">
        <f t="shared" si="75"/>
        <v>1.7824128957457666</v>
      </c>
    </row>
    <row r="151" spans="2:24" x14ac:dyDescent="0.35">
      <c r="B151" s="48"/>
      <c r="C151" s="24">
        <v>0.2</v>
      </c>
      <c r="D151" s="42">
        <f t="shared" ref="D151:X151" si="76">(D177*$P$7) + $P$10</f>
        <v>-0.43364847644644633</v>
      </c>
      <c r="E151" s="38">
        <f t="shared" si="76"/>
        <v>-0.31414747285977773</v>
      </c>
      <c r="F151" s="38">
        <f t="shared" si="76"/>
        <v>-0.18840818255456537</v>
      </c>
      <c r="G151" s="38">
        <f t="shared" si="76"/>
        <v>-5.7299622169336262E-2</v>
      </c>
      <c r="H151" s="38">
        <f t="shared" si="76"/>
        <v>7.8120829575585082E-2</v>
      </c>
      <c r="I151" s="38">
        <f t="shared" si="76"/>
        <v>0.21663564425712134</v>
      </c>
      <c r="J151" s="38">
        <f t="shared" si="76"/>
        <v>0.35690749265946331</v>
      </c>
      <c r="K151" s="38">
        <f t="shared" si="76"/>
        <v>0.49752920972319559</v>
      </c>
      <c r="L151" s="38">
        <f t="shared" si="76"/>
        <v>0.63707956781473185</v>
      </c>
      <c r="M151" s="38">
        <f t="shared" si="76"/>
        <v>0.77418023722298313</v>
      </c>
      <c r="N151" s="38">
        <f t="shared" si="76"/>
        <v>0.90754914340890314</v>
      </c>
      <c r="O151" s="38">
        <f t="shared" si="76"/>
        <v>1.0360459413690346</v>
      </c>
      <c r="P151" s="38">
        <f t="shared" si="76"/>
        <v>1.1587064100927733</v>
      </c>
      <c r="Q151" s="38">
        <f t="shared" si="76"/>
        <v>1.2747640032826022</v>
      </c>
      <c r="R151" s="38">
        <f t="shared" si="76"/>
        <v>1.3836583044921749</v>
      </c>
      <c r="S151" s="38">
        <f t="shared" si="76"/>
        <v>1.4850314730413674</v>
      </c>
      <c r="T151" s="38">
        <f t="shared" si="76"/>
        <v>1.5787147525464269</v>
      </c>
      <c r="U151" s="38">
        <f t="shared" si="76"/>
        <v>1.6647076666613698</v>
      </c>
      <c r="V151" s="38">
        <f t="shared" si="76"/>
        <v>1.7431526606353207</v>
      </c>
      <c r="W151" s="38">
        <f t="shared" si="76"/>
        <v>1.8143077441431787</v>
      </c>
      <c r="X151" s="43">
        <f t="shared" si="76"/>
        <v>1.8785192651441072</v>
      </c>
    </row>
    <row r="152" spans="2:24" x14ac:dyDescent="0.35">
      <c r="B152" s="48"/>
      <c r="C152" s="24">
        <v>0.15</v>
      </c>
      <c r="D152" s="42">
        <f t="shared" ref="D152:X152" si="77">(D178*$P$7) + $P$10</f>
        <v>-0.25694822501455761</v>
      </c>
      <c r="E152" s="38">
        <f t="shared" si="77"/>
        <v>-0.12861553839969653</v>
      </c>
      <c r="F152" s="38">
        <f t="shared" si="77"/>
        <v>4.6212943655483674E-3</v>
      </c>
      <c r="G152" s="38">
        <f t="shared" si="77"/>
        <v>0.14162683583445701</v>
      </c>
      <c r="H152" s="38">
        <f t="shared" si="77"/>
        <v>0.28112269788283739</v>
      </c>
      <c r="I152" s="38">
        <f t="shared" si="77"/>
        <v>0.42173271982822524</v>
      </c>
      <c r="J152" s="38">
        <f t="shared" si="77"/>
        <v>0.56203614494880783</v>
      </c>
      <c r="K152" s="38">
        <f t="shared" si="77"/>
        <v>0.70062454112885564</v>
      </c>
      <c r="L152" s="38">
        <f t="shared" si="77"/>
        <v>0.83615768085865194</v>
      </c>
      <c r="M152" s="38">
        <f t="shared" si="77"/>
        <v>0.9674137443111912</v>
      </c>
      <c r="N152" s="38">
        <f t="shared" si="77"/>
        <v>1.0933300049417622</v>
      </c>
      <c r="O152" s="38">
        <f t="shared" si="77"/>
        <v>1.2130314333740377</v>
      </c>
      <c r="P152" s="38">
        <f t="shared" si="77"/>
        <v>1.3258461589714707</v>
      </c>
      <c r="Q152" s="38">
        <f t="shared" si="77"/>
        <v>1.4313081883134073</v>
      </c>
      <c r="R152" s="38">
        <f t="shared" si="77"/>
        <v>1.5291489719671676</v>
      </c>
      <c r="S152" s="38">
        <f t="shared" si="77"/>
        <v>1.6192802009111358</v>
      </c>
      <c r="T152" s="38">
        <f t="shared" si="77"/>
        <v>1.7017705672114853</v>
      </c>
      <c r="U152" s="38">
        <f t="shared" si="77"/>
        <v>1.776819189293666</v>
      </c>
      <c r="V152" s="38">
        <f t="shared" si="77"/>
        <v>1.8447280815035534</v>
      </c>
      <c r="W152" s="38">
        <f t="shared" si="77"/>
        <v>1.9058755593634522</v>
      </c>
      <c r="X152" s="43">
        <f t="shared" si="77"/>
        <v>1.9606919250599211</v>
      </c>
    </row>
    <row r="153" spans="2:24" x14ac:dyDescent="0.35">
      <c r="B153" s="48"/>
      <c r="C153" s="24">
        <v>0.1</v>
      </c>
      <c r="D153" s="42">
        <f t="shared" ref="D153:X153" si="78">(D179*$P$7) + $P$10</f>
        <v>-6.7779592724128257E-2</v>
      </c>
      <c r="E153" s="38">
        <f t="shared" si="78"/>
        <v>6.7344060124356897E-2</v>
      </c>
      <c r="F153" s="38">
        <f t="shared" si="78"/>
        <v>0.20566274239051197</v>
      </c>
      <c r="G153" s="38">
        <f t="shared" si="78"/>
        <v>0.34584683906063551</v>
      </c>
      <c r="H153" s="38">
        <f t="shared" si="78"/>
        <v>0.48649270400264055</v>
      </c>
      <c r="I153" s="38">
        <f t="shared" si="78"/>
        <v>0.62617813706867342</v>
      </c>
      <c r="J153" s="38">
        <f t="shared" si="78"/>
        <v>0.76351942691222274</v>
      </c>
      <c r="K153" s="38">
        <f t="shared" si="78"/>
        <v>0.89722515726234664</v>
      </c>
      <c r="L153" s="38">
        <f t="shared" si="78"/>
        <v>1.0261424338879708</v>
      </c>
      <c r="M153" s="38">
        <f t="shared" si="78"/>
        <v>1.1492922340253366</v>
      </c>
      <c r="N153" s="38">
        <f t="shared" si="78"/>
        <v>1.2658919953009249</v>
      </c>
      <c r="O153" s="38">
        <f t="shared" si="78"/>
        <v>1.3753650767761203</v>
      </c>
      <c r="P153" s="38">
        <f t="shared" si="78"/>
        <v>1.4773380842918045</v>
      </c>
      <c r="Q153" s="38">
        <f t="shared" si="78"/>
        <v>1.5716280697313867</v>
      </c>
      <c r="R153" s="38">
        <f t="shared" si="78"/>
        <v>1.6582222011955661</v>
      </c>
      <c r="S153" s="38">
        <f t="shared" si="78"/>
        <v>1.7372526657298073</v>
      </c>
      <c r="T153" s="38">
        <f t="shared" si="78"/>
        <v>1.8089693856707945</v>
      </c>
      <c r="U153" s="38">
        <f t="shared" si="78"/>
        <v>1.8737127171209578</v>
      </c>
      <c r="V153" s="38">
        <f t="shared" si="78"/>
        <v>1.9318877715533211</v>
      </c>
      <c r="W153" s="38">
        <f t="shared" si="78"/>
        <v>1.9839414575875172</v>
      </c>
      <c r="X153" s="43">
        <f t="shared" si="78"/>
        <v>2.0303428487135262</v>
      </c>
    </row>
    <row r="154" spans="2:24" x14ac:dyDescent="0.35">
      <c r="B154" s="48"/>
      <c r="C154" s="24">
        <v>0.05</v>
      </c>
      <c r="D154" s="42">
        <f t="shared" ref="D154:X154" si="79">(D180*$P$7) + $P$10</f>
        <v>0.13074664726682439</v>
      </c>
      <c r="E154" s="38">
        <f t="shared" si="79"/>
        <v>0.27009559055666266</v>
      </c>
      <c r="F154" s="38">
        <f t="shared" si="79"/>
        <v>0.4106692431897867</v>
      </c>
      <c r="G154" s="38">
        <f t="shared" si="79"/>
        <v>0.55104831250795194</v>
      </c>
      <c r="H154" s="38">
        <f t="shared" si="79"/>
        <v>0.6898213293528046</v>
      </c>
      <c r="I154" s="38">
        <f t="shared" si="79"/>
        <v>0.82564078408503438</v>
      </c>
      <c r="J154" s="38">
        <f t="shared" si="79"/>
        <v>0.95727392909655973</v>
      </c>
      <c r="K154" s="38">
        <f t="shared" si="79"/>
        <v>1.083644324409532</v>
      </c>
      <c r="L154" s="38">
        <f t="shared" si="79"/>
        <v>1.203861449938177</v>
      </c>
      <c r="M154" s="38">
        <f t="shared" si="79"/>
        <v>1.3172372037866402</v>
      </c>
      <c r="N154" s="38">
        <f t="shared" si="79"/>
        <v>1.4232895782861179</v>
      </c>
      <c r="O154" s="38">
        <f t="shared" si="79"/>
        <v>1.5217350248775323</v>
      </c>
      <c r="P154" s="38">
        <f t="shared" si="79"/>
        <v>1.6124718430440119</v>
      </c>
      <c r="Q154" s="38">
        <f t="shared" si="79"/>
        <v>1.695557315215394</v>
      </c>
      <c r="R154" s="38">
        <f t="shared" si="79"/>
        <v>1.771181302565042</v>
      </c>
      <c r="S154" s="38">
        <f t="shared" si="79"/>
        <v>1.8396387142220834</v>
      </c>
      <c r="T154" s="38">
        <f t="shared" si="79"/>
        <v>1.9013027831060725</v>
      </c>
      <c r="U154" s="38">
        <f t="shared" si="79"/>
        <v>1.9566005359174563</v>
      </c>
      <c r="V154" s="38">
        <f t="shared" si="79"/>
        <v>2.0059913184479825</v>
      </c>
      <c r="W154" s="38">
        <f t="shared" si="79"/>
        <v>2.0499487851022291</v>
      </c>
      <c r="X154" s="43">
        <f t="shared" si="79"/>
        <v>2.0889464094259962</v>
      </c>
    </row>
    <row r="155" spans="2:24" ht="15" thickBot="1" x14ac:dyDescent="0.4">
      <c r="B155" s="49"/>
      <c r="C155" s="25">
        <v>0</v>
      </c>
      <c r="D155" s="44">
        <f t="shared" ref="D155:X155" si="80">(D181*$P$7) + $P$10</f>
        <v>0.33478904995284342</v>
      </c>
      <c r="E155" s="45">
        <f t="shared" si="80"/>
        <v>0.47545024048037532</v>
      </c>
      <c r="F155" s="45">
        <f t="shared" si="80"/>
        <v>0.61526216587475369</v>
      </c>
      <c r="G155" s="45">
        <f t="shared" si="80"/>
        <v>0.75283606807607817</v>
      </c>
      <c r="H155" s="45">
        <f t="shared" si="80"/>
        <v>0.88687147659432131</v>
      </c>
      <c r="I155" s="45">
        <f t="shared" si="80"/>
        <v>1.0162031674893564</v>
      </c>
      <c r="J155" s="45">
        <f t="shared" si="80"/>
        <v>1.139837456076892</v>
      </c>
      <c r="K155" s="45">
        <f t="shared" si="80"/>
        <v>1.2569758218678253</v>
      </c>
      <c r="L155" s="45">
        <f t="shared" si="80"/>
        <v>1.367025381835844</v>
      </c>
      <c r="M155" s="45">
        <f t="shared" si="80"/>
        <v>1.4695971078429773</v>
      </c>
      <c r="N155" s="45">
        <f t="shared" si="80"/>
        <v>1.5644937329127406</v>
      </c>
      <c r="O155" s="45">
        <f t="shared" si="80"/>
        <v>1.6516899130912674</v>
      </c>
      <c r="P155" s="45">
        <f t="shared" si="80"/>
        <v>1.7313074074212775</v>
      </c>
      <c r="Q155" s="45">
        <f t="shared" si="80"/>
        <v>1.8035878812685804</v>
      </c>
      <c r="R155" s="45">
        <f t="shared" si="80"/>
        <v>1.8688655395644675</v>
      </c>
      <c r="S155" s="45">
        <f t="shared" si="80"/>
        <v>1.9275412741528315</v>
      </c>
      <c r="T155" s="45">
        <f t="shared" si="80"/>
        <v>1.9800594638481164</v>
      </c>
      <c r="U155" s="45">
        <f t="shared" si="80"/>
        <v>2.0268880686246478</v>
      </c>
      <c r="V155" s="45">
        <f t="shared" si="80"/>
        <v>2.0685022515141016</v>
      </c>
      <c r="W155" s="45">
        <f t="shared" si="80"/>
        <v>2.1053714582183574</v>
      </c>
      <c r="X155" s="46">
        <f t="shared" si="80"/>
        <v>2.1379496815652201</v>
      </c>
    </row>
    <row r="156" spans="2:24" x14ac:dyDescent="0.35">
      <c r="C156" s="9"/>
      <c r="D156" s="28">
        <v>0</v>
      </c>
      <c r="E156" s="26">
        <v>0.05</v>
      </c>
      <c r="F156" s="26">
        <v>0.1</v>
      </c>
      <c r="G156" s="26">
        <v>0.15</v>
      </c>
      <c r="H156" s="26">
        <v>0.2</v>
      </c>
      <c r="I156" s="26">
        <v>0.25</v>
      </c>
      <c r="J156" s="26">
        <v>0.3</v>
      </c>
      <c r="K156" s="26">
        <v>0.35</v>
      </c>
      <c r="L156" s="26">
        <v>0.4</v>
      </c>
      <c r="M156" s="26">
        <v>0.45</v>
      </c>
      <c r="N156" s="26">
        <v>0.5</v>
      </c>
      <c r="O156" s="26">
        <v>0.55000000000000004</v>
      </c>
      <c r="P156" s="26">
        <v>0.6</v>
      </c>
      <c r="Q156" s="26">
        <v>0.65</v>
      </c>
      <c r="R156" s="26">
        <v>0.7</v>
      </c>
      <c r="S156" s="26">
        <v>0.75</v>
      </c>
      <c r="T156" s="26">
        <v>0.8</v>
      </c>
      <c r="U156" s="26">
        <v>0.85</v>
      </c>
      <c r="V156" s="26">
        <v>0.9</v>
      </c>
      <c r="W156" s="26">
        <v>0.95</v>
      </c>
      <c r="X156" s="27">
        <v>1</v>
      </c>
    </row>
    <row r="157" spans="2:24" ht="21.5" thickBot="1" x14ac:dyDescent="0.55000000000000004">
      <c r="C157" s="9"/>
      <c r="D157" s="50" t="s">
        <v>66</v>
      </c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2"/>
    </row>
    <row r="159" spans="2:24" ht="15" thickBot="1" x14ac:dyDescent="0.4"/>
    <row r="160" spans="2:24" ht="21.5" thickBot="1" x14ac:dyDescent="0.55000000000000004">
      <c r="B160" s="53" t="s">
        <v>17</v>
      </c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5"/>
    </row>
    <row r="161" spans="2:24" x14ac:dyDescent="0.35">
      <c r="B161" s="47" t="s">
        <v>6</v>
      </c>
      <c r="C161" s="27">
        <v>1</v>
      </c>
      <c r="D161" s="40">
        <f>1/(1+EXP(-D187))</f>
        <v>1.4449121283160025E-2</v>
      </c>
      <c r="E161" s="39">
        <f>1/(1+EXP(-E187))</f>
        <v>1.6626481020696051E-2</v>
      </c>
      <c r="F161" s="39">
        <f t="shared" ref="F161:X161" si="81">1/(1+EXP(-F187))</f>
        <v>1.9125583070585962E-2</v>
      </c>
      <c r="G161" s="39">
        <f t="shared" si="81"/>
        <v>2.1991920856762846E-2</v>
      </c>
      <c r="H161" s="39">
        <f t="shared" si="81"/>
        <v>2.5276764673393393E-2</v>
      </c>
      <c r="I161" s="39">
        <f t="shared" si="81"/>
        <v>2.9037684730409401E-2</v>
      </c>
      <c r="J161" s="39">
        <f t="shared" si="81"/>
        <v>3.3339050776270439E-2</v>
      </c>
      <c r="K161" s="39">
        <f t="shared" si="81"/>
        <v>3.8252478237252883E-2</v>
      </c>
      <c r="L161" s="39">
        <f t="shared" si="81"/>
        <v>4.3857181018012087E-2</v>
      </c>
      <c r="M161" s="39">
        <f t="shared" si="81"/>
        <v>5.0240179608265295E-2</v>
      </c>
      <c r="N161" s="39">
        <f t="shared" si="81"/>
        <v>5.7496300160415743E-2</v>
      </c>
      <c r="O161" s="39">
        <f t="shared" si="81"/>
        <v>6.5727886307191896E-2</v>
      </c>
      <c r="P161" s="39">
        <f t="shared" si="81"/>
        <v>7.5044131728414065E-2</v>
      </c>
      <c r="Q161" s="39">
        <f t="shared" si="81"/>
        <v>8.5559929555297926E-2</v>
      </c>
      <c r="R161" s="39">
        <f t="shared" si="81"/>
        <v>9.7394127130119093E-2</v>
      </c>
      <c r="S161" s="39">
        <f t="shared" si="81"/>
        <v>0.11066707483413792</v>
      </c>
      <c r="T161" s="39">
        <f t="shared" si="81"/>
        <v>0.12549736994046795</v>
      </c>
      <c r="U161" s="39">
        <f t="shared" si="81"/>
        <v>0.14199772561588112</v>
      </c>
      <c r="V161" s="39">
        <f t="shared" si="81"/>
        <v>0.16026994611907694</v>
      </c>
      <c r="W161" s="39">
        <f t="shared" si="81"/>
        <v>0.18039906561892158</v>
      </c>
      <c r="X161" s="41">
        <f t="shared" si="81"/>
        <v>0.20244681086326383</v>
      </c>
    </row>
    <row r="162" spans="2:24" x14ac:dyDescent="0.35">
      <c r="B162" s="48"/>
      <c r="C162" s="24">
        <v>0.95</v>
      </c>
      <c r="D162" s="42">
        <f>1/(1+EXP(-D188))</f>
        <v>1.7735188653523092E-2</v>
      </c>
      <c r="E162" s="38">
        <f t="shared" ref="E162:X162" si="82">1/(1+EXP(-E188))</f>
        <v>2.0397482249939404E-2</v>
      </c>
      <c r="F162" s="38">
        <f t="shared" si="82"/>
        <v>2.3449881535820404E-2</v>
      </c>
      <c r="G162" s="38">
        <f t="shared" si="82"/>
        <v>2.6946494929799596E-2</v>
      </c>
      <c r="H162" s="38">
        <f t="shared" si="82"/>
        <v>3.0947965455870356E-2</v>
      </c>
      <c r="I162" s="38">
        <f t="shared" si="82"/>
        <v>3.5521950013293752E-2</v>
      </c>
      <c r="J162" s="38">
        <f t="shared" si="82"/>
        <v>4.0743528124334918E-2</v>
      </c>
      <c r="K162" s="38">
        <f t="shared" si="82"/>
        <v>4.6695495211295485E-2</v>
      </c>
      <c r="L162" s="38">
        <f t="shared" si="82"/>
        <v>5.3468483227179585E-2</v>
      </c>
      <c r="M162" s="38">
        <f t="shared" si="82"/>
        <v>6.1160837966588333E-2</v>
      </c>
      <c r="N162" s="38">
        <f t="shared" si="82"/>
        <v>6.9878168384088349E-2</v>
      </c>
      <c r="O162" s="38">
        <f t="shared" si="82"/>
        <v>7.9732470077454959E-2</v>
      </c>
      <c r="P162" s="38">
        <f t="shared" si="82"/>
        <v>9.0840714811053214E-2</v>
      </c>
      <c r="Q162" s="38">
        <f t="shared" si="82"/>
        <v>0.10332279348175209</v>
      </c>
      <c r="R162" s="38">
        <f t="shared" si="82"/>
        <v>0.11729870509770887</v>
      </c>
      <c r="S162" s="38">
        <f t="shared" si="82"/>
        <v>0.13288490375789433</v>
      </c>
      <c r="T162" s="38">
        <f t="shared" si="82"/>
        <v>0.15018975424749845</v>
      </c>
      <c r="U162" s="38">
        <f t="shared" si="82"/>
        <v>0.16930810917666511</v>
      </c>
      <c r="V162" s="38">
        <f t="shared" si="82"/>
        <v>0.19031510925495523</v>
      </c>
      <c r="W162" s="38">
        <f t="shared" si="82"/>
        <v>0.21325942239809237</v>
      </c>
      <c r="X162" s="43">
        <f t="shared" si="82"/>
        <v>0.23815627042706547</v>
      </c>
    </row>
    <row r="163" spans="2:24" x14ac:dyDescent="0.35">
      <c r="B163" s="48"/>
      <c r="C163" s="24">
        <v>0.9</v>
      </c>
      <c r="D163" s="42">
        <f t="shared" ref="D163:X163" si="83">1/(1+EXP(-D189))</f>
        <v>2.175209014618517E-2</v>
      </c>
      <c r="E163" s="38">
        <f t="shared" si="83"/>
        <v>2.5002027200282655E-2</v>
      </c>
      <c r="F163" s="38">
        <f t="shared" si="83"/>
        <v>2.8723273775510653E-2</v>
      </c>
      <c r="G163" s="38">
        <f t="shared" si="83"/>
        <v>3.2979647901534209E-2</v>
      </c>
      <c r="H163" s="38">
        <f t="shared" si="83"/>
        <v>3.7842181000727164E-2</v>
      </c>
      <c r="I163" s="38">
        <f t="shared" si="83"/>
        <v>4.3389479728127726E-2</v>
      </c>
      <c r="J163" s="38">
        <f t="shared" si="83"/>
        <v>4.9707947608888726E-2</v>
      </c>
      <c r="K163" s="38">
        <f t="shared" si="83"/>
        <v>5.6891803201800345E-2</v>
      </c>
      <c r="L163" s="38">
        <f t="shared" si="83"/>
        <v>6.5042817662984059E-2</v>
      </c>
      <c r="M163" s="38">
        <f t="shared" si="83"/>
        <v>7.426968076104816E-2</v>
      </c>
      <c r="N163" s="38">
        <f t="shared" si="83"/>
        <v>8.4686892250077625E-2</v>
      </c>
      <c r="O163" s="38">
        <f t="shared" si="83"/>
        <v>9.6413067482496811E-2</v>
      </c>
      <c r="P163" s="38">
        <f t="shared" si="83"/>
        <v>0.10956854558350922</v>
      </c>
      <c r="Q163" s="38">
        <f t="shared" si="83"/>
        <v>0.12427219963347133</v>
      </c>
      <c r="R163" s="38">
        <f t="shared" si="83"/>
        <v>0.14063737596003062</v>
      </c>
      <c r="S163" s="38">
        <f t="shared" si="83"/>
        <v>0.15876693869735667</v>
      </c>
      <c r="T163" s="38">
        <f t="shared" si="83"/>
        <v>0.17874747006212693</v>
      </c>
      <c r="U163" s="38">
        <f t="shared" si="83"/>
        <v>0.20064277758455573</v>
      </c>
      <c r="V163" s="38">
        <f t="shared" si="83"/>
        <v>0.22448698358360217</v>
      </c>
      <c r="W163" s="38">
        <f t="shared" si="83"/>
        <v>0.25027760983340652</v>
      </c>
      <c r="X163" s="43">
        <f t="shared" si="83"/>
        <v>0.27796920427101107</v>
      </c>
    </row>
    <row r="164" spans="2:24" x14ac:dyDescent="0.35">
      <c r="B164" s="48"/>
      <c r="C164" s="24">
        <v>0.85</v>
      </c>
      <c r="D164" s="42">
        <f t="shared" ref="D164:X164" si="84">1/(1+EXP(-D190))</f>
        <v>2.6654105151868623E-2</v>
      </c>
      <c r="E164" s="38">
        <f t="shared" si="84"/>
        <v>3.0613522724087579E-2</v>
      </c>
      <c r="F164" s="38">
        <f t="shared" si="84"/>
        <v>3.5139870403953624E-2</v>
      </c>
      <c r="G164" s="38">
        <f t="shared" si="84"/>
        <v>4.0307631630026888E-2</v>
      </c>
      <c r="H164" s="38">
        <f t="shared" si="84"/>
        <v>4.619898810817704E-2</v>
      </c>
      <c r="I164" s="38">
        <f t="shared" si="84"/>
        <v>5.2903956395704242E-2</v>
      </c>
      <c r="J164" s="38">
        <f t="shared" si="84"/>
        <v>6.0520287229880357E-2</v>
      </c>
      <c r="K164" s="38">
        <f t="shared" si="84"/>
        <v>6.9153044020326557E-2</v>
      </c>
      <c r="L164" s="38">
        <f t="shared" si="84"/>
        <v>7.8913763625480873E-2</v>
      </c>
      <c r="M164" s="38">
        <f t="shared" si="84"/>
        <v>8.9919091930251854E-2</v>
      </c>
      <c r="N164" s="38">
        <f t="shared" si="84"/>
        <v>0.10228878168514087</v>
      </c>
      <c r="O164" s="38">
        <f t="shared" si="84"/>
        <v>0.11614294431844313</v>
      </c>
      <c r="P164" s="38">
        <f t="shared" si="84"/>
        <v>0.1315984655511174</v>
      </c>
      <c r="Q164" s="38">
        <f t="shared" si="84"/>
        <v>0.14876453158534894</v>
      </c>
      <c r="R164" s="38">
        <f t="shared" si="84"/>
        <v>0.16773727295755353</v>
      </c>
      <c r="S164" s="38">
        <f t="shared" si="84"/>
        <v>0.18859361971353863</v>
      </c>
      <c r="T164" s="38">
        <f t="shared" si="84"/>
        <v>0.21138457381748163</v>
      </c>
      <c r="U164" s="38">
        <f t="shared" si="84"/>
        <v>0.23612823667434821</v>
      </c>
      <c r="V164" s="38">
        <f t="shared" si="84"/>
        <v>0.26280306821117316</v>
      </c>
      <c r="W164" s="38">
        <f t="shared" si="84"/>
        <v>0.29134197816883595</v>
      </c>
      <c r="X164" s="43">
        <f t="shared" si="84"/>
        <v>0.32162793257539873</v>
      </c>
    </row>
    <row r="165" spans="2:24" x14ac:dyDescent="0.35">
      <c r="B165" s="48"/>
      <c r="C165" s="24">
        <v>0.8</v>
      </c>
      <c r="D165" s="42">
        <f t="shared" ref="D165:X165" si="85">1/(1+EXP(-D191))</f>
        <v>3.2623988715682978E-2</v>
      </c>
      <c r="E165" s="38">
        <f t="shared" si="85"/>
        <v>3.7436113320835109E-2</v>
      </c>
      <c r="F165" s="38">
        <f t="shared" si="85"/>
        <v>4.2926542169992407E-2</v>
      </c>
      <c r="G165" s="38">
        <f t="shared" si="85"/>
        <v>4.9181061975524576E-2</v>
      </c>
      <c r="H165" s="38">
        <f t="shared" si="85"/>
        <v>5.6293282126770053E-2</v>
      </c>
      <c r="I165" s="38">
        <f t="shared" si="85"/>
        <v>6.4364397436690035E-2</v>
      </c>
      <c r="J165" s="38">
        <f t="shared" si="85"/>
        <v>7.3502586965989505E-2</v>
      </c>
      <c r="K165" s="38">
        <f t="shared" si="85"/>
        <v>8.3821946674047479E-2</v>
      </c>
      <c r="L165" s="38">
        <f t="shared" si="85"/>
        <v>9.544084518859039E-2</v>
      </c>
      <c r="M165" s="38">
        <f t="shared" si="85"/>
        <v>0.10847959069651654</v>
      </c>
      <c r="N165" s="38">
        <f t="shared" si="85"/>
        <v>0.12305730699406024</v>
      </c>
      <c r="O165" s="38">
        <f t="shared" si="85"/>
        <v>0.1392879429087629</v>
      </c>
      <c r="P165" s="38">
        <f t="shared" si="85"/>
        <v>0.15727538651769807</v>
      </c>
      <c r="Q165" s="38">
        <f t="shared" si="85"/>
        <v>0.17710772780388009</v>
      </c>
      <c r="R165" s="38">
        <f t="shared" si="85"/>
        <v>0.19885081214397154</v>
      </c>
      <c r="S165" s="38">
        <f t="shared" si="85"/>
        <v>0.22254134949753904</v>
      </c>
      <c r="T165" s="38">
        <f t="shared" si="85"/>
        <v>0.24817998128098065</v>
      </c>
      <c r="U165" s="38">
        <f t="shared" si="85"/>
        <v>0.2757248419189019</v>
      </c>
      <c r="V165" s="38">
        <f t="shared" si="85"/>
        <v>0.30508626067745348</v>
      </c>
      <c r="W165" s="38">
        <f t="shared" si="85"/>
        <v>0.33612330221302023</v>
      </c>
      <c r="X165" s="43">
        <f t="shared" si="85"/>
        <v>0.36864281221263662</v>
      </c>
    </row>
    <row r="166" spans="2:24" x14ac:dyDescent="0.35">
      <c r="B166" s="48"/>
      <c r="C166" s="24">
        <v>0.75</v>
      </c>
      <c r="D166" s="42">
        <f t="shared" ref="D166:X166" si="86">1/(1+EXP(-D192))</f>
        <v>3.987620473469923E-2</v>
      </c>
      <c r="E166" s="38">
        <f t="shared" si="86"/>
        <v>4.5707507177119515E-2</v>
      </c>
      <c r="F166" s="38">
        <f t="shared" si="86"/>
        <v>5.2345060289274541E-2</v>
      </c>
      <c r="G166" s="38">
        <f t="shared" si="86"/>
        <v>5.9886017194915472E-2</v>
      </c>
      <c r="H166" s="38">
        <f t="shared" si="86"/>
        <v>6.8434890625621234E-2</v>
      </c>
      <c r="I166" s="38">
        <f t="shared" si="86"/>
        <v>7.810275032320145E-2</v>
      </c>
      <c r="J166" s="38">
        <f t="shared" si="86"/>
        <v>8.9005903971137598E-2</v>
      </c>
      <c r="K166" s="38">
        <f t="shared" si="86"/>
        <v>0.10126394923035208</v>
      </c>
      <c r="L166" s="38">
        <f t="shared" si="86"/>
        <v>0.11499708781768754</v>
      </c>
      <c r="M166" s="38">
        <f t="shared" si="86"/>
        <v>0.13032260941495336</v>
      </c>
      <c r="N166" s="38">
        <f t="shared" si="86"/>
        <v>0.1473504884808145</v>
      </c>
      <c r="O166" s="38">
        <f t="shared" si="86"/>
        <v>0.16617809538358036</v>
      </c>
      <c r="P166" s="38">
        <f t="shared" si="86"/>
        <v>0.18688410773951994</v>
      </c>
      <c r="Q166" s="38">
        <f t="shared" si="86"/>
        <v>0.20952181820907967</v>
      </c>
      <c r="R166" s="38">
        <f t="shared" si="86"/>
        <v>0.23411216579511307</v>
      </c>
      <c r="S166" s="38">
        <f t="shared" si="86"/>
        <v>0.26063695639292039</v>
      </c>
      <c r="T166" s="38">
        <f t="shared" si="86"/>
        <v>0.2890328646060536</v>
      </c>
      <c r="U166" s="38">
        <f t="shared" si="86"/>
        <v>0.31918689554733598</v>
      </c>
      <c r="V166" s="38">
        <f t="shared" si="86"/>
        <v>0.35093400239315375</v>
      </c>
      <c r="W166" s="38">
        <f t="shared" si="86"/>
        <v>0.38405747643145705</v>
      </c>
      <c r="X166" s="43">
        <f t="shared" si="86"/>
        <v>0.41829253709926778</v>
      </c>
    </row>
    <row r="167" spans="2:24" x14ac:dyDescent="0.35">
      <c r="B167" s="48"/>
      <c r="C167" s="24">
        <v>0.7</v>
      </c>
      <c r="D167" s="42">
        <f t="shared" ref="D167:X167" si="87">1/(1+EXP(-D193))</f>
        <v>4.8659475164754884E-2</v>
      </c>
      <c r="E167" s="38">
        <f t="shared" si="87"/>
        <v>5.5700685811927116E-2</v>
      </c>
      <c r="F167" s="38">
        <f t="shared" si="87"/>
        <v>6.3692571326357084E-2</v>
      </c>
      <c r="G167" s="38">
        <f t="shared" si="87"/>
        <v>7.2742793519125951E-2</v>
      </c>
      <c r="H167" s="38">
        <f t="shared" si="87"/>
        <v>8.2965034447564631E-2</v>
      </c>
      <c r="I167" s="38">
        <f t="shared" si="87"/>
        <v>9.4477401643562303E-2</v>
      </c>
      <c r="J167" s="38">
        <f t="shared" si="87"/>
        <v>0.10740015308214496</v>
      </c>
      <c r="K167" s="38">
        <f t="shared" si="87"/>
        <v>0.12185263862004345</v>
      </c>
      <c r="L167" s="38">
        <f t="shared" si="87"/>
        <v>0.13794937935786414</v>
      </c>
      <c r="M167" s="38">
        <f t="shared" si="87"/>
        <v>0.1557952517732448</v>
      </c>
      <c r="N167" s="38">
        <f t="shared" si="87"/>
        <v>0.17547981362544807</v>
      </c>
      <c r="O167" s="38">
        <f t="shared" si="87"/>
        <v>0.19707090532927643</v>
      </c>
      <c r="P167" s="38">
        <f t="shared" si="87"/>
        <v>0.22060778134417164</v>
      </c>
      <c r="Q167" s="38">
        <f t="shared" si="87"/>
        <v>0.24609416258872568</v>
      </c>
      <c r="R167" s="38">
        <f t="shared" si="87"/>
        <v>0.27349173685571199</v>
      </c>
      <c r="S167" s="38">
        <f t="shared" si="87"/>
        <v>0.30271474591411163</v>
      </c>
      <c r="T167" s="38">
        <f t="shared" si="87"/>
        <v>0.33362635630171422</v>
      </c>
      <c r="U167" s="38">
        <f t="shared" si="87"/>
        <v>0.36603748634927241</v>
      </c>
      <c r="V167" s="38">
        <f t="shared" si="87"/>
        <v>0.39970863285682312</v>
      </c>
      <c r="W167" s="38">
        <f t="shared" si="87"/>
        <v>0.43435500149387551</v>
      </c>
      <c r="X167" s="43">
        <f t="shared" si="87"/>
        <v>0.46965491318189012</v>
      </c>
    </row>
    <row r="168" spans="2:24" x14ac:dyDescent="0.35">
      <c r="B168" s="48"/>
      <c r="C168" s="24">
        <v>0.65</v>
      </c>
      <c r="D168" s="42">
        <f t="shared" ref="D168:X168" si="88">1/(1+EXP(-D194))</f>
        <v>5.9257975209962802E-2</v>
      </c>
      <c r="E168" s="38">
        <f t="shared" si="88"/>
        <v>6.772365263708284E-2</v>
      </c>
      <c r="F168" s="38">
        <f t="shared" si="88"/>
        <v>7.7299372488998944E-2</v>
      </c>
      <c r="G168" s="38">
        <f t="shared" si="88"/>
        <v>8.8101092261235039E-2</v>
      </c>
      <c r="H168" s="38">
        <f t="shared" si="88"/>
        <v>0.1002482379679025</v>
      </c>
      <c r="I168" s="38">
        <f t="shared" si="88"/>
        <v>0.11386107990690056</v>
      </c>
      <c r="J168" s="38">
        <f t="shared" si="88"/>
        <v>0.12905728449927456</v>
      </c>
      <c r="K168" s="38">
        <f t="shared" si="88"/>
        <v>0.14594758171960368</v>
      </c>
      <c r="L168" s="38">
        <f t="shared" si="88"/>
        <v>0.16463054402593374</v>
      </c>
      <c r="M168" s="38">
        <f t="shared" si="88"/>
        <v>0.18518655506363021</v>
      </c>
      <c r="N168" s="38">
        <f t="shared" si="88"/>
        <v>0.20767115486617641</v>
      </c>
      <c r="O168" s="38">
        <f t="shared" si="88"/>
        <v>0.23210807781459128</v>
      </c>
      <c r="P168" s="38">
        <f t="shared" si="88"/>
        <v>0.2584824383363713</v>
      </c>
      <c r="Q168" s="38">
        <f t="shared" si="88"/>
        <v>0.28673464747739924</v>
      </c>
      <c r="R168" s="38">
        <f t="shared" si="88"/>
        <v>0.31675573438226268</v>
      </c>
      <c r="S168" s="38">
        <f t="shared" si="88"/>
        <v>0.34838477029988973</v>
      </c>
      <c r="T168" s="38">
        <f t="shared" si="88"/>
        <v>0.38140902198662147</v>
      </c>
      <c r="U168" s="38">
        <f t="shared" si="88"/>
        <v>0.41556728087923983</v>
      </c>
      <c r="V168" s="38">
        <f t="shared" si="88"/>
        <v>0.45055652869587742</v>
      </c>
      <c r="W168" s="38">
        <f t="shared" si="88"/>
        <v>0.48604173877456303</v>
      </c>
      <c r="X168" s="43">
        <f t="shared" si="88"/>
        <v>0.52166822873326213</v>
      </c>
    </row>
    <row r="169" spans="2:24" x14ac:dyDescent="0.35">
      <c r="B169" s="48"/>
      <c r="C169" s="24">
        <v>0.6</v>
      </c>
      <c r="D169" s="42">
        <f t="shared" ref="D169:X169" si="89">1/(1+EXP(-D195))</f>
        <v>7.1990243764032319E-2</v>
      </c>
      <c r="E169" s="38">
        <f t="shared" si="89"/>
        <v>8.2116097270157187E-2</v>
      </c>
      <c r="F169" s="38">
        <f t="shared" si="89"/>
        <v>9.3522678202841728E-2</v>
      </c>
      <c r="G169" s="38">
        <f t="shared" si="89"/>
        <v>0.10633017545732232</v>
      </c>
      <c r="H169" s="38">
        <f t="shared" si="89"/>
        <v>0.12065814073017551</v>
      </c>
      <c r="I169" s="38">
        <f t="shared" si="89"/>
        <v>0.13662163760389262</v>
      </c>
      <c r="J169" s="38">
        <f t="shared" si="89"/>
        <v>0.15432649580984661</v>
      </c>
      <c r="K169" s="38">
        <f t="shared" si="89"/>
        <v>0.17386370119486846</v>
      </c>
      <c r="L169" s="38">
        <f t="shared" si="89"/>
        <v>0.19530304654657146</v>
      </c>
      <c r="M169" s="38">
        <f t="shared" si="89"/>
        <v>0.21868628759942349</v>
      </c>
      <c r="N169" s="38">
        <f t="shared" si="89"/>
        <v>0.24402018425988209</v>
      </c>
      <c r="O169" s="38">
        <f t="shared" si="89"/>
        <v>0.27126994386105058</v>
      </c>
      <c r="P169" s="38">
        <f t="shared" si="89"/>
        <v>0.30035369788549837</v>
      </c>
      <c r="Q169" s="38">
        <f t="shared" si="89"/>
        <v>0.33113870721447541</v>
      </c>
      <c r="R169" s="38">
        <f t="shared" si="89"/>
        <v>0.36343997395359012</v>
      </c>
      <c r="S169" s="38">
        <f t="shared" si="89"/>
        <v>0.39702181746078141</v>
      </c>
      <c r="T169" s="38">
        <f t="shared" si="89"/>
        <v>0.43160274121042297</v>
      </c>
      <c r="U169" s="38">
        <f t="shared" si="89"/>
        <v>0.46686359134125327</v>
      </c>
      <c r="V169" s="38">
        <f t="shared" si="89"/>
        <v>0.50245862828724586</v>
      </c>
      <c r="W169" s="38">
        <f t="shared" si="89"/>
        <v>0.53802876127960375</v>
      </c>
      <c r="X169" s="43">
        <f t="shared" si="89"/>
        <v>0.57321590095279207</v>
      </c>
    </row>
    <row r="170" spans="2:24" x14ac:dyDescent="0.35">
      <c r="B170" s="48"/>
      <c r="C170" s="24">
        <v>0.55000000000000004</v>
      </c>
      <c r="D170" s="42">
        <f t="shared" ref="D170:X170" si="90">1/(1+EXP(-D196))</f>
        <v>8.7204598156451901E-2</v>
      </c>
      <c r="E170" s="38">
        <f t="shared" si="90"/>
        <v>9.9241589642681705E-2</v>
      </c>
      <c r="F170" s="38">
        <f t="shared" si="90"/>
        <v>0.11273486462362954</v>
      </c>
      <c r="G170" s="38">
        <f t="shared" si="90"/>
        <v>0.12780243947737036</v>
      </c>
      <c r="H170" s="38">
        <f t="shared" si="90"/>
        <v>0.14455576737689477</v>
      </c>
      <c r="I170" s="38">
        <f t="shared" si="90"/>
        <v>0.16309458548741385</v>
      </c>
      <c r="J170" s="38">
        <f t="shared" si="90"/>
        <v>0.1835009421788846</v>
      </c>
      <c r="K170" s="38">
        <f t="shared" si="90"/>
        <v>0.20583258158142156</v>
      </c>
      <c r="L170" s="38">
        <f t="shared" si="90"/>
        <v>0.23011599102372896</v>
      </c>
      <c r="M170" s="38">
        <f t="shared" si="90"/>
        <v>0.25633955550497428</v>
      </c>
      <c r="N170" s="38">
        <f t="shared" si="90"/>
        <v>0.28444739322467788</v>
      </c>
      <c r="O170" s="38">
        <f t="shared" si="90"/>
        <v>0.31433454110443076</v>
      </c>
      <c r="P170" s="38">
        <f t="shared" si="90"/>
        <v>0.34584418917810483</v>
      </c>
      <c r="Q170" s="38">
        <f t="shared" si="90"/>
        <v>0.378767600165348</v>
      </c>
      <c r="R170" s="38">
        <f t="shared" si="90"/>
        <v>0.41284717881383204</v>
      </c>
      <c r="S170" s="38">
        <f t="shared" si="90"/>
        <v>0.44778287742010192</v>
      </c>
      <c r="T170" s="38">
        <f t="shared" si="90"/>
        <v>0.48324176687943027</v>
      </c>
      <c r="U170" s="38">
        <f t="shared" si="90"/>
        <v>0.51887021829992797</v>
      </c>
      <c r="V170" s="38">
        <f t="shared" si="90"/>
        <v>0.55430779566269195</v>
      </c>
      <c r="W170" s="38">
        <f t="shared" si="90"/>
        <v>0.58920172224735345</v>
      </c>
      <c r="X170" s="43">
        <f t="shared" si="90"/>
        <v>0.62322070184654377</v>
      </c>
    </row>
    <row r="171" spans="2:24" x14ac:dyDescent="0.35">
      <c r="B171" s="48"/>
      <c r="C171" s="24">
        <v>0.5</v>
      </c>
      <c r="D171" s="42">
        <f t="shared" ref="D171:X171" si="91">1/(1+EXP(-D197))</f>
        <v>0.10526960036015048</v>
      </c>
      <c r="E171" s="38">
        <f t="shared" si="91"/>
        <v>0.11947375918010283</v>
      </c>
      <c r="F171" s="38">
        <f t="shared" si="91"/>
        <v>0.13530466936259714</v>
      </c>
      <c r="G171" s="38">
        <f t="shared" si="91"/>
        <v>0.1528690791463744</v>
      </c>
      <c r="H171" s="38">
        <f t="shared" si="91"/>
        <v>0.17225936308818487</v>
      </c>
      <c r="I171" s="38">
        <f t="shared" si="91"/>
        <v>0.19354722384104239</v>
      </c>
      <c r="J171" s="38">
        <f t="shared" si="91"/>
        <v>0.21677687512576471</v>
      </c>
      <c r="K171" s="38">
        <f t="shared" si="91"/>
        <v>0.24195807497283214</v>
      </c>
      <c r="L171" s="38">
        <f t="shared" si="91"/>
        <v>0.269059515746571</v>
      </c>
      <c r="M171" s="38">
        <f t="shared" si="91"/>
        <v>0.29800319482769749</v>
      </c>
      <c r="N171" s="38">
        <f t="shared" si="91"/>
        <v>0.32866045856522141</v>
      </c>
      <c r="O171" s="38">
        <f t="shared" si="91"/>
        <v>0.36085040240939881</v>
      </c>
      <c r="P171" s="38">
        <f t="shared" si="91"/>
        <v>0.39434119836112036</v>
      </c>
      <c r="Q171" s="38">
        <f t="shared" si="91"/>
        <v>0.42885469833412676</v>
      </c>
      <c r="R171" s="38">
        <f t="shared" si="91"/>
        <v>0.46407434252426205</v>
      </c>
      <c r="S171" s="38">
        <f t="shared" si="91"/>
        <v>0.4996560246272238</v>
      </c>
      <c r="T171" s="38">
        <f t="shared" si="91"/>
        <v>0.53524119100994882</v>
      </c>
      <c r="U171" s="38">
        <f t="shared" si="91"/>
        <v>0.57047114792944276</v>
      </c>
      <c r="V171" s="38">
        <f t="shared" si="91"/>
        <v>0.6050013805874499</v>
      </c>
      <c r="W171" s="38">
        <f t="shared" si="91"/>
        <v>0.6385146861194837</v>
      </c>
      <c r="X171" s="43">
        <f t="shared" si="91"/>
        <v>0.67073208990412114</v>
      </c>
    </row>
    <row r="172" spans="2:24" x14ac:dyDescent="0.35">
      <c r="B172" s="48"/>
      <c r="C172" s="24">
        <v>0.45</v>
      </c>
      <c r="D172" s="42">
        <f t="shared" ref="D172:X172" si="92">1/(1+EXP(-D198))</f>
        <v>0.12655802256308032</v>
      </c>
      <c r="E172" s="38">
        <f t="shared" si="92"/>
        <v>0.14317500083672305</v>
      </c>
      <c r="F172" s="38">
        <f t="shared" si="92"/>
        <v>0.16157018542331872</v>
      </c>
      <c r="G172" s="38">
        <f t="shared" si="92"/>
        <v>0.18182724836179337</v>
      </c>
      <c r="H172" s="38">
        <f t="shared" si="92"/>
        <v>0.20400609466676298</v>
      </c>
      <c r="I172" s="38">
        <f t="shared" si="92"/>
        <v>0.22813592199589924</v>
      </c>
      <c r="J172" s="38">
        <f t="shared" si="92"/>
        <v>0.25420834746125304</v>
      </c>
      <c r="K172" s="38">
        <f t="shared" si="92"/>
        <v>0.28217116628621225</v>
      </c>
      <c r="L172" s="38">
        <f t="shared" si="92"/>
        <v>0.31192340573752558</v>
      </c>
      <c r="M172" s="38">
        <f t="shared" si="92"/>
        <v>0.343312373891353</v>
      </c>
      <c r="N172" s="38">
        <f t="shared" si="92"/>
        <v>0.37613334830575029</v>
      </c>
      <c r="O172" s="38">
        <f t="shared" si="92"/>
        <v>0.41013238672673868</v>
      </c>
      <c r="P172" s="38">
        <f t="shared" si="92"/>
        <v>0.44501247148913675</v>
      </c>
      <c r="Q172" s="38">
        <f t="shared" si="92"/>
        <v>0.48044284682632793</v>
      </c>
      <c r="R172" s="38">
        <f t="shared" si="92"/>
        <v>0.51607102382124004</v>
      </c>
      <c r="S172" s="38">
        <f t="shared" si="92"/>
        <v>0.55153657751083141</v>
      </c>
      <c r="T172" s="38">
        <f t="shared" si="92"/>
        <v>0.58648561237535901</v>
      </c>
      <c r="U172" s="38">
        <f t="shared" si="92"/>
        <v>0.62058467737004064</v>
      </c>
      <c r="V172" s="38">
        <f t="shared" si="92"/>
        <v>0.65353299005116205</v>
      </c>
      <c r="W172" s="38">
        <f t="shared" si="92"/>
        <v>0.68507206448090774</v>
      </c>
      <c r="X172" s="43">
        <f t="shared" si="92"/>
        <v>0.71499218069274073</v>
      </c>
    </row>
    <row r="173" spans="2:24" x14ac:dyDescent="0.35">
      <c r="B173" s="48"/>
      <c r="C173" s="24">
        <v>0.4</v>
      </c>
      <c r="D173" s="42">
        <f t="shared" ref="D173:X173" si="93">1/(1+EXP(-D199))</f>
        <v>0.15142296149491674</v>
      </c>
      <c r="E173" s="38">
        <f t="shared" si="93"/>
        <v>0.17066677081065532</v>
      </c>
      <c r="F173" s="38">
        <f t="shared" si="93"/>
        <v>0.19180342391780666</v>
      </c>
      <c r="G173" s="38">
        <f t="shared" si="93"/>
        <v>0.21487954919092306</v>
      </c>
      <c r="H173" s="38">
        <f t="shared" si="93"/>
        <v>0.23990786159560715</v>
      </c>
      <c r="I173" s="38">
        <f t="shared" si="93"/>
        <v>0.26686050336411771</v>
      </c>
      <c r="J173" s="38">
        <f t="shared" si="93"/>
        <v>0.2956633129602656</v>
      </c>
      <c r="K173" s="38">
        <f t="shared" si="93"/>
        <v>0.32619171200940494</v>
      </c>
      <c r="L173" s="38">
        <f t="shared" si="93"/>
        <v>0.35826889732800149</v>
      </c>
      <c r="M173" s="38">
        <f t="shared" si="93"/>
        <v>0.39166692200109754</v>
      </c>
      <c r="N173" s="38">
        <f t="shared" si="93"/>
        <v>0.42611103545361056</v>
      </c>
      <c r="O173" s="38">
        <f t="shared" si="93"/>
        <v>0.46128733948780187</v>
      </c>
      <c r="P173" s="38">
        <f t="shared" si="93"/>
        <v>0.49685344258132214</v>
      </c>
      <c r="Q173" s="38">
        <f t="shared" si="93"/>
        <v>0.53245141731559431</v>
      </c>
      <c r="R173" s="38">
        <f t="shared" si="93"/>
        <v>0.56772205472298398</v>
      </c>
      <c r="S173" s="38">
        <f t="shared" si="93"/>
        <v>0.60231922688498774</v>
      </c>
      <c r="T173" s="38">
        <f t="shared" si="93"/>
        <v>0.63592315365949514</v>
      </c>
      <c r="U173" s="38">
        <f t="shared" si="93"/>
        <v>0.66825152427062429</v>
      </c>
      <c r="V173" s="38">
        <f t="shared" si="93"/>
        <v>0.69906771691621261</v>
      </c>
      <c r="W173" s="38">
        <f t="shared" si="93"/>
        <v>0.72818573032494183</v>
      </c>
      <c r="X173" s="43">
        <f t="shared" si="93"/>
        <v>0.75547182112381406</v>
      </c>
    </row>
    <row r="174" spans="2:24" x14ac:dyDescent="0.35">
      <c r="B174" s="48"/>
      <c r="C174" s="24">
        <v>0.35</v>
      </c>
      <c r="D174" s="42">
        <f t="shared" ref="D174:X174" si="94">1/(1+EXP(-D200))</f>
        <v>0.1801654516936004</v>
      </c>
      <c r="E174" s="38">
        <f t="shared" si="94"/>
        <v>0.20219168897355136</v>
      </c>
      <c r="F174" s="38">
        <f t="shared" si="94"/>
        <v>0.22616788560394457</v>
      </c>
      <c r="G174" s="38">
        <f t="shared" si="94"/>
        <v>0.25208885187864616</v>
      </c>
      <c r="H174" s="38">
        <f t="shared" si="94"/>
        <v>0.27990602910137602</v>
      </c>
      <c r="I174" s="38">
        <f t="shared" si="94"/>
        <v>0.30952241630014476</v>
      </c>
      <c r="J174" s="38">
        <f t="shared" si="94"/>
        <v>0.34078943741414824</v>
      </c>
      <c r="K174" s="38">
        <f t="shared" si="94"/>
        <v>0.3735064021027889</v>
      </c>
      <c r="L174" s="38">
        <f t="shared" si="94"/>
        <v>0.40742305916789495</v>
      </c>
      <c r="M174" s="38">
        <f t="shared" si="94"/>
        <v>0.44224547898172639</v>
      </c>
      <c r="N174" s="38">
        <f t="shared" si="94"/>
        <v>0.4776451537917743</v>
      </c>
      <c r="O174" s="38">
        <f t="shared" si="94"/>
        <v>0.51327082054255846</v>
      </c>
      <c r="P174" s="38">
        <f t="shared" si="94"/>
        <v>0.54876215539609274</v>
      </c>
      <c r="Q174" s="38">
        <f t="shared" si="94"/>
        <v>0.58376423065791294</v>
      </c>
      <c r="R174" s="38">
        <f t="shared" si="94"/>
        <v>0.61794151649257256</v>
      </c>
      <c r="S174" s="38">
        <f t="shared" si="94"/>
        <v>0.65099027469421533</v>
      </c>
      <c r="T174" s="38">
        <f t="shared" si="94"/>
        <v>0.6826484160045504</v>
      </c>
      <c r="U174" s="38">
        <f t="shared" si="94"/>
        <v>0.71270222937427608</v>
      </c>
      <c r="V174" s="38">
        <f t="shared" si="94"/>
        <v>0.7409897750801866</v>
      </c>
      <c r="W174" s="38">
        <f t="shared" si="94"/>
        <v>0.76740109596042672</v>
      </c>
      <c r="X174" s="43">
        <f t="shared" si="94"/>
        <v>0.79187568856796664</v>
      </c>
    </row>
    <row r="175" spans="2:24" x14ac:dyDescent="0.35">
      <c r="B175" s="48"/>
      <c r="C175" s="24">
        <v>0.3</v>
      </c>
      <c r="D175" s="42">
        <f t="shared" ref="D175:X175" si="95">1/(1+EXP(-D201))</f>
        <v>0.21299431348683512</v>
      </c>
      <c r="E175" s="38">
        <f t="shared" si="95"/>
        <v>0.23786956920080324</v>
      </c>
      <c r="F175" s="38">
        <f t="shared" si="95"/>
        <v>0.26467295561444709</v>
      </c>
      <c r="G175" s="38">
        <f t="shared" si="95"/>
        <v>0.29333412648677604</v>
      </c>
      <c r="H175" s="38">
        <f t="shared" si="95"/>
        <v>0.32373256723491556</v>
      </c>
      <c r="I175" s="38">
        <f t="shared" si="95"/>
        <v>0.3556955825288407</v>
      </c>
      <c r="J175" s="38">
        <f t="shared" si="95"/>
        <v>0.38899913333659913</v>
      </c>
      <c r="K175" s="38">
        <f t="shared" si="95"/>
        <v>0.42337191409008879</v>
      </c>
      <c r="L175" s="38">
        <f t="shared" si="95"/>
        <v>0.45850275442868882</v>
      </c>
      <c r="M175" s="38">
        <f t="shared" si="95"/>
        <v>0.49405105824553169</v>
      </c>
      <c r="N175" s="38">
        <f t="shared" si="95"/>
        <v>0.52965961308442111</v>
      </c>
      <c r="O175" s="38">
        <f t="shared" si="95"/>
        <v>0.56496878417838936</v>
      </c>
      <c r="P175" s="38">
        <f t="shared" si="95"/>
        <v>0.59963091305713789</v>
      </c>
      <c r="Q175" s="38">
        <f t="shared" si="95"/>
        <v>0.63332371145311939</v>
      </c>
      <c r="R175" s="38">
        <f t="shared" si="95"/>
        <v>0.66576158345191339</v>
      </c>
      <c r="S175" s="38">
        <f t="shared" si="95"/>
        <v>0.69670409232968278</v>
      </c>
      <c r="T175" s="38">
        <f t="shared" si="95"/>
        <v>0.72596115562750141</v>
      </c>
      <c r="U175" s="38">
        <f t="shared" si="95"/>
        <v>0.75339493365387578</v>
      </c>
      <c r="V175" s="38">
        <f t="shared" si="95"/>
        <v>0.77891870985888756</v>
      </c>
      <c r="W175" s="38">
        <f t="shared" si="95"/>
        <v>0.80249330290751608</v>
      </c>
      <c r="X175" s="43">
        <f t="shared" si="95"/>
        <v>0.82412168154091425</v>
      </c>
    </row>
    <row r="176" spans="2:24" x14ac:dyDescent="0.35">
      <c r="B176" s="48"/>
      <c r="C176" s="24">
        <v>0.25</v>
      </c>
      <c r="D176" s="42">
        <f t="shared" ref="D176:X176" si="96">1/(1+EXP(-D202))</f>
        <v>0.24998110455383485</v>
      </c>
      <c r="E176" s="38">
        <f t="shared" si="96"/>
        <v>0.27765204211577155</v>
      </c>
      <c r="F176" s="38">
        <f t="shared" si="96"/>
        <v>0.30713165880203863</v>
      </c>
      <c r="G176" s="38">
        <f t="shared" si="96"/>
        <v>0.33827549081815522</v>
      </c>
      <c r="H176" s="38">
        <f t="shared" si="96"/>
        <v>0.37088689558428645</v>
      </c>
      <c r="I176" s="38">
        <f t="shared" si="96"/>
        <v>0.40471934938036397</v>
      </c>
      <c r="J176" s="38">
        <f t="shared" si="96"/>
        <v>0.43948206713427118</v>
      </c>
      <c r="K176" s="38">
        <f t="shared" si="96"/>
        <v>0.47484886264460485</v>
      </c>
      <c r="L176" s="38">
        <f t="shared" si="96"/>
        <v>0.51046978396239528</v>
      </c>
      <c r="M176" s="38">
        <f t="shared" si="96"/>
        <v>0.5459846983903176</v>
      </c>
      <c r="N176" s="38">
        <f t="shared" si="96"/>
        <v>0.58103773322623931</v>
      </c>
      <c r="O176" s="38">
        <f t="shared" si="96"/>
        <v>0.6152913569518379</v>
      </c>
      <c r="P176" s="38">
        <f t="shared" si="96"/>
        <v>0.6484389368480753</v>
      </c>
      <c r="Q176" s="38">
        <f t="shared" si="96"/>
        <v>0.68021482204476957</v>
      </c>
      <c r="R176" s="38">
        <f t="shared" si="96"/>
        <v>0.71040133130343597</v>
      </c>
      <c r="S176" s="38">
        <f t="shared" si="96"/>
        <v>0.73883240722766585</v>
      </c>
      <c r="T176" s="38">
        <f t="shared" si="96"/>
        <v>0.765394064816598</v>
      </c>
      <c r="U176" s="38">
        <f t="shared" si="96"/>
        <v>0.79002205712316043</v>
      </c>
      <c r="V176" s="38">
        <f t="shared" si="96"/>
        <v>0.81269737216482862</v>
      </c>
      <c r="W176" s="38">
        <f t="shared" si="96"/>
        <v>0.8334402563097838</v>
      </c>
      <c r="X176" s="43">
        <f t="shared" si="96"/>
        <v>0.85230344394215984</v>
      </c>
    </row>
    <row r="177" spans="2:24" x14ac:dyDescent="0.35">
      <c r="B177" s="48"/>
      <c r="C177" s="24">
        <v>0.2</v>
      </c>
      <c r="D177" s="42">
        <f t="shared" ref="D177:X177" si="97">1/(1+EXP(-D203))</f>
        <v>0.29101570759606826</v>
      </c>
      <c r="E177" s="38">
        <f t="shared" si="97"/>
        <v>0.32128312195377384</v>
      </c>
      <c r="F177" s="38">
        <f t="shared" si="97"/>
        <v>0.35313058002094838</v>
      </c>
      <c r="G177" s="38">
        <f t="shared" si="97"/>
        <v>0.38633797580774576</v>
      </c>
      <c r="H177" s="38">
        <f t="shared" si="97"/>
        <v>0.42063749466072775</v>
      </c>
      <c r="I177" s="38">
        <f t="shared" si="97"/>
        <v>0.45572075894148545</v>
      </c>
      <c r="J177" s="38">
        <f t="shared" si="97"/>
        <v>0.49124904766615513</v>
      </c>
      <c r="K177" s="38">
        <f t="shared" si="97"/>
        <v>0.52686595171142669</v>
      </c>
      <c r="L177" s="38">
        <f t="shared" si="97"/>
        <v>0.56221150016164845</v>
      </c>
      <c r="M177" s="38">
        <f t="shared" si="97"/>
        <v>0.59693658735883492</v>
      </c>
      <c r="N177" s="38">
        <f t="shared" si="97"/>
        <v>0.63071648731620689</v>
      </c>
      <c r="O177" s="38">
        <f t="shared" si="97"/>
        <v>0.66326237154116208</v>
      </c>
      <c r="P177" s="38">
        <f t="shared" si="97"/>
        <v>0.69433002052102355</v>
      </c>
      <c r="Q177" s="38">
        <f t="shared" si="97"/>
        <v>0.72372528212555842</v>
      </c>
      <c r="R177" s="38">
        <f t="shared" si="97"/>
        <v>0.75130621313851464</v>
      </c>
      <c r="S177" s="38">
        <f t="shared" si="97"/>
        <v>0.77698217907303202</v>
      </c>
      <c r="T177" s="38">
        <f t="shared" si="97"/>
        <v>0.80071043702955957</v>
      </c>
      <c r="U177" s="38">
        <f t="shared" si="97"/>
        <v>0.82249086635838842</v>
      </c>
      <c r="V177" s="38">
        <f t="shared" si="97"/>
        <v>0.84235954583081896</v>
      </c>
      <c r="W177" s="38">
        <f t="shared" si="97"/>
        <v>0.86038182456948686</v>
      </c>
      <c r="X177" s="43">
        <f t="shared" si="97"/>
        <v>0.87664542616563634</v>
      </c>
    </row>
    <row r="178" spans="2:24" x14ac:dyDescent="0.35">
      <c r="B178" s="48"/>
      <c r="C178" s="24">
        <v>0.15</v>
      </c>
      <c r="D178" s="42">
        <f t="shared" ref="D178:X178" si="98">1/(1+EXP(-D204))</f>
        <v>0.33577064325918921</v>
      </c>
      <c r="E178" s="38">
        <f t="shared" si="98"/>
        <v>0.3682749610877209</v>
      </c>
      <c r="F178" s="38">
        <f t="shared" si="98"/>
        <v>0.40202140926787561</v>
      </c>
      <c r="G178" s="38">
        <f t="shared" si="98"/>
        <v>0.43672240230124199</v>
      </c>
      <c r="H178" s="38">
        <f t="shared" si="98"/>
        <v>0.4720541479023701</v>
      </c>
      <c r="I178" s="38">
        <f t="shared" si="98"/>
        <v>0.50766808978847755</v>
      </c>
      <c r="J178" s="38">
        <f t="shared" si="98"/>
        <v>0.54320437631723562</v>
      </c>
      <c r="K178" s="38">
        <f t="shared" si="98"/>
        <v>0.57830627744318841</v>
      </c>
      <c r="L178" s="38">
        <f t="shared" si="98"/>
        <v>0.61263433809773671</v>
      </c>
      <c r="M178" s="38">
        <f t="shared" si="98"/>
        <v>0.64587909370849628</v>
      </c>
      <c r="N178" s="38">
        <f t="shared" si="98"/>
        <v>0.67777137511611052</v>
      </c>
      <c r="O178" s="38">
        <f t="shared" si="98"/>
        <v>0.70808955341443158</v>
      </c>
      <c r="P178" s="38">
        <f t="shared" si="98"/>
        <v>0.73666345608322303</v>
      </c>
      <c r="Q178" s="38">
        <f t="shared" si="98"/>
        <v>0.76337505552834273</v>
      </c>
      <c r="R178" s="38">
        <f t="shared" si="98"/>
        <v>0.78815633309964972</v>
      </c>
      <c r="S178" s="38">
        <f t="shared" si="98"/>
        <v>0.81098492174022796</v>
      </c>
      <c r="T178" s="38">
        <f t="shared" si="98"/>
        <v>0.83187821989165978</v>
      </c>
      <c r="U178" s="38">
        <f t="shared" si="98"/>
        <v>0.85088666060227514</v>
      </c>
      <c r="V178" s="38">
        <f t="shared" si="98"/>
        <v>0.86808673857148411</v>
      </c>
      <c r="W178" s="38">
        <f t="shared" si="98"/>
        <v>0.8835742741884709</v>
      </c>
      <c r="X178" s="43">
        <f t="shared" si="98"/>
        <v>0.89745825511182131</v>
      </c>
    </row>
    <row r="179" spans="2:24" x14ac:dyDescent="0.35">
      <c r="B179" s="48"/>
      <c r="C179" s="24">
        <v>0.1</v>
      </c>
      <c r="D179" s="42">
        <f t="shared" ref="D179:X179" si="99">1/(1+EXP(-D205))</f>
        <v>0.3836835913112307</v>
      </c>
      <c r="E179" s="38">
        <f t="shared" si="99"/>
        <v>0.41790793644257257</v>
      </c>
      <c r="F179" s="38">
        <f t="shared" si="99"/>
        <v>0.45294152397663229</v>
      </c>
      <c r="G179" s="38">
        <f t="shared" si="99"/>
        <v>0.48844758679557781</v>
      </c>
      <c r="H179" s="38">
        <f t="shared" si="99"/>
        <v>0.52407060705590702</v>
      </c>
      <c r="I179" s="38">
        <f t="shared" si="99"/>
        <v>0.55945036752192567</v>
      </c>
      <c r="J179" s="38">
        <f t="shared" si="99"/>
        <v>0.59423639946601392</v>
      </c>
      <c r="K179" s="38">
        <f t="shared" si="99"/>
        <v>0.6281016108118902</v>
      </c>
      <c r="L179" s="38">
        <f t="shared" si="99"/>
        <v>0.66075399457756112</v>
      </c>
      <c r="M179" s="38">
        <f t="shared" si="99"/>
        <v>0.69194558223751712</v>
      </c>
      <c r="N179" s="38">
        <f t="shared" si="99"/>
        <v>0.7214781650829678</v>
      </c>
      <c r="O179" s="38">
        <f t="shared" si="99"/>
        <v>0.74920569053108255</v>
      </c>
      <c r="P179" s="38">
        <f t="shared" si="99"/>
        <v>0.77503358468378869</v>
      </c>
      <c r="Q179" s="38">
        <f t="shared" si="99"/>
        <v>0.79891551013567041</v>
      </c>
      <c r="R179" s="38">
        <f t="shared" si="99"/>
        <v>0.82084821680177866</v>
      </c>
      <c r="S179" s="38">
        <f t="shared" si="99"/>
        <v>0.8408651852384077</v>
      </c>
      <c r="T179" s="38">
        <f t="shared" si="99"/>
        <v>0.85902971619362334</v>
      </c>
      <c r="U179" s="38">
        <f t="shared" si="99"/>
        <v>0.87542801563116035</v>
      </c>
      <c r="V179" s="38">
        <f t="shared" si="99"/>
        <v>0.89016269086348487</v>
      </c>
      <c r="W179" s="38">
        <f t="shared" si="99"/>
        <v>0.90334693565436874</v>
      </c>
      <c r="X179" s="43">
        <f t="shared" si="99"/>
        <v>0.91509955772307217</v>
      </c>
    </row>
    <row r="180" spans="2:24" x14ac:dyDescent="0.35">
      <c r="B180" s="48"/>
      <c r="C180" s="24">
        <v>0.05</v>
      </c>
      <c r="D180" s="42">
        <f t="shared" ref="D180:X180" si="100">1/(1+EXP(-D206))</f>
        <v>0.43396664991605244</v>
      </c>
      <c r="E180" s="38">
        <f t="shared" si="100"/>
        <v>0.4692611836879218</v>
      </c>
      <c r="F180" s="38">
        <f t="shared" si="100"/>
        <v>0.50486591389369895</v>
      </c>
      <c r="G180" s="38">
        <f t="shared" si="100"/>
        <v>0.54042135971152794</v>
      </c>
      <c r="H180" s="38">
        <f t="shared" si="100"/>
        <v>0.57557002186870998</v>
      </c>
      <c r="I180" s="38">
        <f t="shared" si="100"/>
        <v>0.60997060086666455</v>
      </c>
      <c r="J180" s="38">
        <f t="shared" si="100"/>
        <v>0.64331086432631179</v>
      </c>
      <c r="K180" s="38">
        <f t="shared" si="100"/>
        <v>0.67531816972697956</v>
      </c>
      <c r="L180" s="38">
        <f t="shared" si="100"/>
        <v>0.70576696464968369</v>
      </c>
      <c r="M180" s="38">
        <f t="shared" si="100"/>
        <v>0.73448296549364234</v>
      </c>
      <c r="N180" s="38">
        <f t="shared" si="100"/>
        <v>0.76134408854911728</v>
      </c>
      <c r="O180" s="38">
        <f t="shared" si="100"/>
        <v>0.78627851616210953</v>
      </c>
      <c r="P180" s="38">
        <f t="shared" si="100"/>
        <v>0.80926048945535323</v>
      </c>
      <c r="Q180" s="38">
        <f t="shared" si="100"/>
        <v>0.83030451701862784</v>
      </c>
      <c r="R180" s="38">
        <f t="shared" si="100"/>
        <v>0.8494586872079487</v>
      </c>
      <c r="S180" s="38">
        <f t="shared" si="100"/>
        <v>0.86679769510152627</v>
      </c>
      <c r="T180" s="38">
        <f t="shared" si="100"/>
        <v>0.88241607375840658</v>
      </c>
      <c r="U180" s="38">
        <f t="shared" si="100"/>
        <v>0.89642198121656669</v>
      </c>
      <c r="V180" s="38">
        <f t="shared" si="100"/>
        <v>0.90893176134756404</v>
      </c>
      <c r="W180" s="38">
        <f t="shared" si="100"/>
        <v>0.92006538213238176</v>
      </c>
      <c r="X180" s="43">
        <f t="shared" si="100"/>
        <v>0.92994276574378842</v>
      </c>
    </row>
    <row r="181" spans="2:24" ht="15" thickBot="1" x14ac:dyDescent="0.4">
      <c r="B181" s="49"/>
      <c r="C181" s="25">
        <v>0</v>
      </c>
      <c r="D181" s="44">
        <f t="shared" ref="D181:X181" si="101">1/(1+EXP(-D207))</f>
        <v>0.48564685144808822</v>
      </c>
      <c r="E181" s="45">
        <f t="shared" si="101"/>
        <v>0.52127375339839066</v>
      </c>
      <c r="F181" s="45">
        <f t="shared" si="101"/>
        <v>0.55668555205321268</v>
      </c>
      <c r="G181" s="45">
        <f t="shared" si="101"/>
        <v>0.59153050044491384</v>
      </c>
      <c r="H181" s="45">
        <f t="shared" si="101"/>
        <v>0.62547921322943634</v>
      </c>
      <c r="I181" s="45">
        <f t="shared" si="101"/>
        <v>0.65823656053542523</v>
      </c>
      <c r="J181" s="45">
        <f t="shared" si="101"/>
        <v>0.68955086024157897</v>
      </c>
      <c r="K181" s="45">
        <f t="shared" si="101"/>
        <v>0.71921986174086172</v>
      </c>
      <c r="L181" s="45">
        <f t="shared" si="101"/>
        <v>0.74709339862726487</v>
      </c>
      <c r="M181" s="45">
        <f t="shared" si="101"/>
        <v>0.77307293720236425</v>
      </c>
      <c r="N181" s="45">
        <f t="shared" si="101"/>
        <v>0.79710851335592547</v>
      </c>
      <c r="O181" s="45">
        <f t="shared" si="101"/>
        <v>0.81919370792886093</v>
      </c>
      <c r="P181" s="45">
        <f t="shared" si="101"/>
        <v>0.83935936025546221</v>
      </c>
      <c r="Q181" s="45">
        <f t="shared" si="101"/>
        <v>0.85766667974438138</v>
      </c>
      <c r="R181" s="45">
        <f t="shared" si="101"/>
        <v>0.87420031438042345</v>
      </c>
      <c r="S181" s="45">
        <f t="shared" si="101"/>
        <v>0.88906180272132052</v>
      </c>
      <c r="T181" s="45">
        <f t="shared" si="101"/>
        <v>0.90236369777754832</v>
      </c>
      <c r="U181" s="45">
        <f t="shared" si="101"/>
        <v>0.9142245252352571</v>
      </c>
      <c r="V181" s="45">
        <f t="shared" si="101"/>
        <v>0.92476463518302787</v>
      </c>
      <c r="W181" s="45">
        <f t="shared" si="101"/>
        <v>0.93410292961457431</v>
      </c>
      <c r="X181" s="46">
        <f t="shared" si="101"/>
        <v>0.9423543965937804</v>
      </c>
    </row>
    <row r="182" spans="2:24" x14ac:dyDescent="0.35">
      <c r="C182" s="9"/>
      <c r="D182" s="28">
        <v>0</v>
      </c>
      <c r="E182" s="26">
        <v>0.05</v>
      </c>
      <c r="F182" s="26">
        <v>0.1</v>
      </c>
      <c r="G182" s="26">
        <v>0.15</v>
      </c>
      <c r="H182" s="26">
        <v>0.2</v>
      </c>
      <c r="I182" s="26">
        <v>0.25</v>
      </c>
      <c r="J182" s="26">
        <v>0.3</v>
      </c>
      <c r="K182" s="26">
        <v>0.35</v>
      </c>
      <c r="L182" s="26">
        <v>0.4</v>
      </c>
      <c r="M182" s="26">
        <v>0.45</v>
      </c>
      <c r="N182" s="26">
        <v>0.5</v>
      </c>
      <c r="O182" s="26">
        <v>0.55000000000000004</v>
      </c>
      <c r="P182" s="26">
        <v>0.6</v>
      </c>
      <c r="Q182" s="26">
        <v>0.65</v>
      </c>
      <c r="R182" s="26">
        <v>0.7</v>
      </c>
      <c r="S182" s="26">
        <v>0.75</v>
      </c>
      <c r="T182" s="26">
        <v>0.8</v>
      </c>
      <c r="U182" s="26">
        <v>0.85</v>
      </c>
      <c r="V182" s="26">
        <v>0.9</v>
      </c>
      <c r="W182" s="26">
        <v>0.95</v>
      </c>
      <c r="X182" s="27">
        <v>1</v>
      </c>
    </row>
    <row r="183" spans="2:24" ht="21.5" thickBot="1" x14ac:dyDescent="0.55000000000000004">
      <c r="C183" s="9"/>
      <c r="D183" s="50" t="s">
        <v>66</v>
      </c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2"/>
    </row>
    <row r="185" spans="2:24" ht="15" thickBot="1" x14ac:dyDescent="0.4"/>
    <row r="186" spans="2:24" ht="21.5" thickBot="1" x14ac:dyDescent="0.55000000000000004">
      <c r="B186" s="53" t="s">
        <v>16</v>
      </c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5"/>
    </row>
    <row r="187" spans="2:24" x14ac:dyDescent="0.35">
      <c r="B187" s="47" t="s">
        <v>6</v>
      </c>
      <c r="C187" s="27">
        <v>1</v>
      </c>
      <c r="D187" s="29">
        <f>(D$208 * $P$5) + $P$8 + ($C187 * $P$6) + $P$9</f>
        <v>-4.222567150717599</v>
      </c>
      <c r="E187" s="30">
        <f t="shared" ref="E187:T202" si="102">(E$208 * $P$5) + $P$8 + ($C187 * $P$6) + $P$9</f>
        <v>-4.0799923600635264</v>
      </c>
      <c r="F187" s="30">
        <f t="shared" si="102"/>
        <v>-3.9374175694094546</v>
      </c>
      <c r="G187" s="30">
        <f>(G$208 * $P$5) + $P$8 + ($C187 * $P$6) + $P$9</f>
        <v>-3.794842778755382</v>
      </c>
      <c r="H187" s="30">
        <f t="shared" ref="H187:X201" si="103">(H$208 * $P$5) + $P$8 + ($C187 * $P$6) + $P$9</f>
        <v>-3.6522679881013094</v>
      </c>
      <c r="I187" s="30">
        <f t="shared" si="103"/>
        <v>-3.5096931974472372</v>
      </c>
      <c r="J187" s="30">
        <f t="shared" si="103"/>
        <v>-3.367118406793165</v>
      </c>
      <c r="K187" s="30">
        <f t="shared" si="103"/>
        <v>-3.2245436161390924</v>
      </c>
      <c r="L187" s="30">
        <f t="shared" si="103"/>
        <v>-3.0819688254850202</v>
      </c>
      <c r="M187" s="30">
        <f t="shared" si="103"/>
        <v>-2.939394034830948</v>
      </c>
      <c r="N187" s="30">
        <f t="shared" si="103"/>
        <v>-2.7968192441768753</v>
      </c>
      <c r="O187" s="30">
        <f t="shared" si="103"/>
        <v>-2.6542444535228031</v>
      </c>
      <c r="P187" s="30">
        <f t="shared" si="103"/>
        <v>-2.5116696628687309</v>
      </c>
      <c r="Q187" s="30">
        <f t="shared" si="103"/>
        <v>-2.3690948722146583</v>
      </c>
      <c r="R187" s="30">
        <f t="shared" si="103"/>
        <v>-2.2265200815605866</v>
      </c>
      <c r="S187" s="30">
        <f t="shared" si="103"/>
        <v>-2.0839452909065139</v>
      </c>
      <c r="T187" s="30">
        <f t="shared" si="103"/>
        <v>-1.9413705002524415</v>
      </c>
      <c r="U187" s="30">
        <f t="shared" si="103"/>
        <v>-1.7987957095983693</v>
      </c>
      <c r="V187" s="30">
        <f t="shared" si="103"/>
        <v>-1.6562209189442971</v>
      </c>
      <c r="W187" s="30">
        <f t="shared" si="103"/>
        <v>-1.5136461282902249</v>
      </c>
      <c r="X187" s="31">
        <f t="shared" si="103"/>
        <v>-1.3710713376361523</v>
      </c>
    </row>
    <row r="188" spans="2:24" x14ac:dyDescent="0.35">
      <c r="B188" s="48"/>
      <c r="C188" s="24">
        <v>0.95</v>
      </c>
      <c r="D188" s="32">
        <f>(D$208 * $P$5) + $P$8 + ($C188 * $P$6) + $P$9</f>
        <v>-4.0143102117977634</v>
      </c>
      <c r="E188" s="33">
        <f>(E$208 * $P$5) + $P$8 + ($C188 * $P$6) + $P$9</f>
        <v>-3.8717354211436916</v>
      </c>
      <c r="F188" s="33">
        <f t="shared" si="102"/>
        <v>-3.729160630489619</v>
      </c>
      <c r="G188" s="33">
        <f t="shared" si="102"/>
        <v>-3.5865858398355468</v>
      </c>
      <c r="H188" s="33">
        <f t="shared" si="103"/>
        <v>-3.4440110491814742</v>
      </c>
      <c r="I188" s="33">
        <f t="shared" si="103"/>
        <v>-3.301436258527402</v>
      </c>
      <c r="J188" s="33">
        <f>(J$208 * $P$5) + $P$8 + ($C188 * $P$6) + $P$9</f>
        <v>-3.1588614678733298</v>
      </c>
      <c r="K188" s="33">
        <f t="shared" si="103"/>
        <v>-3.0162866772192576</v>
      </c>
      <c r="L188" s="33">
        <f t="shared" si="103"/>
        <v>-2.8737118865651849</v>
      </c>
      <c r="M188" s="33">
        <f t="shared" si="103"/>
        <v>-2.7311370959111128</v>
      </c>
      <c r="N188" s="33">
        <f t="shared" si="103"/>
        <v>-2.5885623052570406</v>
      </c>
      <c r="O188" s="33">
        <f t="shared" si="103"/>
        <v>-2.4459875146029679</v>
      </c>
      <c r="P188" s="33">
        <f t="shared" si="103"/>
        <v>-2.3034127239488957</v>
      </c>
      <c r="Q188" s="33">
        <f t="shared" si="103"/>
        <v>-2.1608379332948235</v>
      </c>
      <c r="R188" s="33">
        <f t="shared" si="103"/>
        <v>-2.0182631426407509</v>
      </c>
      <c r="S188" s="33">
        <f t="shared" si="103"/>
        <v>-1.8756883519866789</v>
      </c>
      <c r="T188" s="33">
        <f t="shared" si="103"/>
        <v>-1.7331135613326063</v>
      </c>
      <c r="U188" s="33">
        <f t="shared" si="103"/>
        <v>-1.5905387706785341</v>
      </c>
      <c r="V188" s="33">
        <f t="shared" si="103"/>
        <v>-1.4479639800244619</v>
      </c>
      <c r="W188" s="33">
        <f t="shared" si="103"/>
        <v>-1.3053891893703897</v>
      </c>
      <c r="X188" s="34">
        <f t="shared" si="103"/>
        <v>-1.1628143987163171</v>
      </c>
    </row>
    <row r="189" spans="2:24" x14ac:dyDescent="0.35">
      <c r="B189" s="48"/>
      <c r="C189" s="24">
        <v>0.9</v>
      </c>
      <c r="D189" s="32">
        <f t="shared" ref="D189:S207" si="104">(D$208 * $P$5) + $P$8 + ($C189 * $P$6) + $P$9</f>
        <v>-3.8060532728779295</v>
      </c>
      <c r="E189" s="33">
        <f t="shared" si="104"/>
        <v>-3.6634784822238569</v>
      </c>
      <c r="F189" s="33">
        <f t="shared" si="102"/>
        <v>-3.5209036915697847</v>
      </c>
      <c r="G189" s="33">
        <f t="shared" si="102"/>
        <v>-3.3783289009157125</v>
      </c>
      <c r="H189" s="33">
        <f t="shared" si="103"/>
        <v>-3.2357541102616398</v>
      </c>
      <c r="I189" s="33">
        <f t="shared" si="103"/>
        <v>-3.0931793196075676</v>
      </c>
      <c r="J189" s="33">
        <f t="shared" si="103"/>
        <v>-2.9506045289534955</v>
      </c>
      <c r="K189" s="33">
        <f t="shared" si="103"/>
        <v>-2.8080297382994228</v>
      </c>
      <c r="L189" s="33">
        <f t="shared" si="103"/>
        <v>-2.6654549476453506</v>
      </c>
      <c r="M189" s="33">
        <f t="shared" si="103"/>
        <v>-2.5228801569912784</v>
      </c>
      <c r="N189" s="33">
        <f t="shared" si="103"/>
        <v>-2.3803053663372058</v>
      </c>
      <c r="O189" s="33">
        <f t="shared" si="103"/>
        <v>-2.2377305756831336</v>
      </c>
      <c r="P189" s="33">
        <f t="shared" si="103"/>
        <v>-2.0951557850290614</v>
      </c>
      <c r="Q189" s="33">
        <f t="shared" si="103"/>
        <v>-1.952580994374989</v>
      </c>
      <c r="R189" s="33">
        <f t="shared" si="103"/>
        <v>-1.810006203720917</v>
      </c>
      <c r="S189" s="33">
        <f t="shared" si="103"/>
        <v>-1.6674314130668446</v>
      </c>
      <c r="T189" s="33">
        <f t="shared" si="103"/>
        <v>-1.524856622412772</v>
      </c>
      <c r="U189" s="33">
        <f t="shared" si="103"/>
        <v>-1.3822818317586998</v>
      </c>
      <c r="V189" s="33">
        <f t="shared" si="103"/>
        <v>-1.2397070411046276</v>
      </c>
      <c r="W189" s="33">
        <f t="shared" si="103"/>
        <v>-1.0971322504505554</v>
      </c>
      <c r="X189" s="34">
        <f t="shared" si="103"/>
        <v>-0.95455745979648277</v>
      </c>
    </row>
    <row r="190" spans="2:24" x14ac:dyDescent="0.35">
      <c r="B190" s="48"/>
      <c r="C190" s="24">
        <v>0.85</v>
      </c>
      <c r="D190" s="32">
        <f t="shared" si="104"/>
        <v>-3.5977963339580943</v>
      </c>
      <c r="E190" s="33">
        <f t="shared" si="104"/>
        <v>-3.4552215433040221</v>
      </c>
      <c r="F190" s="33">
        <f t="shared" si="102"/>
        <v>-3.3126467526499495</v>
      </c>
      <c r="G190" s="33">
        <f t="shared" si="102"/>
        <v>-3.1700719619958773</v>
      </c>
      <c r="H190" s="33">
        <f t="shared" si="103"/>
        <v>-3.0274971713418046</v>
      </c>
      <c r="I190" s="33">
        <f t="shared" si="103"/>
        <v>-2.8849223806877324</v>
      </c>
      <c r="J190" s="33">
        <f t="shared" si="103"/>
        <v>-2.7423475900336602</v>
      </c>
      <c r="K190" s="33">
        <f t="shared" si="103"/>
        <v>-2.5997727993795881</v>
      </c>
      <c r="L190" s="33">
        <f t="shared" si="103"/>
        <v>-2.4571980087255154</v>
      </c>
      <c r="M190" s="33">
        <f t="shared" si="103"/>
        <v>-2.3146232180714432</v>
      </c>
      <c r="N190" s="33">
        <f t="shared" si="103"/>
        <v>-2.172048427417371</v>
      </c>
      <c r="O190" s="33">
        <f t="shared" si="103"/>
        <v>-2.0294736367632984</v>
      </c>
      <c r="P190" s="33">
        <f t="shared" si="103"/>
        <v>-1.8868988461092264</v>
      </c>
      <c r="Q190" s="33">
        <f t="shared" si="103"/>
        <v>-1.744324055455154</v>
      </c>
      <c r="R190" s="33">
        <f t="shared" si="103"/>
        <v>-1.6017492648010818</v>
      </c>
      <c r="S190" s="33">
        <f t="shared" si="103"/>
        <v>-1.4591744741470094</v>
      </c>
      <c r="T190" s="33">
        <f t="shared" si="103"/>
        <v>-1.3165996834929368</v>
      </c>
      <c r="U190" s="33">
        <f t="shared" si="103"/>
        <v>-1.1740248928388646</v>
      </c>
      <c r="V190" s="33">
        <f t="shared" si="103"/>
        <v>-1.0314501021847924</v>
      </c>
      <c r="W190" s="33">
        <f t="shared" si="103"/>
        <v>-0.88887531153072019</v>
      </c>
      <c r="X190" s="34">
        <f t="shared" si="103"/>
        <v>-0.74630052087664756</v>
      </c>
    </row>
    <row r="191" spans="2:24" x14ac:dyDescent="0.35">
      <c r="B191" s="48"/>
      <c r="C191" s="24">
        <v>0.8</v>
      </c>
      <c r="D191" s="32">
        <f t="shared" si="104"/>
        <v>-3.3895393950382595</v>
      </c>
      <c r="E191" s="33">
        <f t="shared" si="104"/>
        <v>-3.2469646043841873</v>
      </c>
      <c r="F191" s="33">
        <f t="shared" si="102"/>
        <v>-3.1043898137301147</v>
      </c>
      <c r="G191" s="33">
        <f t="shared" si="102"/>
        <v>-2.9618150230760425</v>
      </c>
      <c r="H191" s="33">
        <f t="shared" si="103"/>
        <v>-2.8192402324219699</v>
      </c>
      <c r="I191" s="33">
        <f t="shared" si="103"/>
        <v>-2.6766654417678977</v>
      </c>
      <c r="J191" s="33">
        <f t="shared" si="103"/>
        <v>-2.5340906511138255</v>
      </c>
      <c r="K191" s="33">
        <f t="shared" si="103"/>
        <v>-2.3915158604597533</v>
      </c>
      <c r="L191" s="33">
        <f t="shared" si="103"/>
        <v>-2.2489410698056806</v>
      </c>
      <c r="M191" s="33">
        <f t="shared" si="103"/>
        <v>-2.1063662791516085</v>
      </c>
      <c r="N191" s="33">
        <f t="shared" si="103"/>
        <v>-1.9637914884975365</v>
      </c>
      <c r="O191" s="33">
        <f t="shared" si="103"/>
        <v>-1.8212166978434638</v>
      </c>
      <c r="P191" s="33">
        <f t="shared" si="103"/>
        <v>-1.6786419071893917</v>
      </c>
      <c r="Q191" s="33">
        <f t="shared" si="103"/>
        <v>-1.5360671165353192</v>
      </c>
      <c r="R191" s="33">
        <f t="shared" si="103"/>
        <v>-1.3934923258812471</v>
      </c>
      <c r="S191" s="33">
        <f t="shared" si="103"/>
        <v>-1.2509175352271746</v>
      </c>
      <c r="T191" s="33">
        <f t="shared" si="103"/>
        <v>-1.108342744573102</v>
      </c>
      <c r="U191" s="33">
        <f t="shared" si="103"/>
        <v>-0.96576795391902981</v>
      </c>
      <c r="V191" s="33">
        <f t="shared" si="103"/>
        <v>-0.82319316326495762</v>
      </c>
      <c r="W191" s="33">
        <f t="shared" si="103"/>
        <v>-0.68061837261088542</v>
      </c>
      <c r="X191" s="34">
        <f t="shared" si="103"/>
        <v>-0.53804358195681279</v>
      </c>
    </row>
    <row r="192" spans="2:24" x14ac:dyDescent="0.35">
      <c r="B192" s="48"/>
      <c r="C192" s="24">
        <v>0.75</v>
      </c>
      <c r="D192" s="32">
        <f t="shared" si="104"/>
        <v>-3.1812824561184243</v>
      </c>
      <c r="E192" s="33">
        <f t="shared" si="104"/>
        <v>-3.0387076654643517</v>
      </c>
      <c r="F192" s="33">
        <f t="shared" si="102"/>
        <v>-2.8961328748102795</v>
      </c>
      <c r="G192" s="33">
        <f t="shared" si="102"/>
        <v>-2.7535580841562073</v>
      </c>
      <c r="H192" s="33">
        <f t="shared" si="103"/>
        <v>-2.6109832935021347</v>
      </c>
      <c r="I192" s="33">
        <f t="shared" si="103"/>
        <v>-2.4684085028480625</v>
      </c>
      <c r="J192" s="33">
        <f t="shared" si="103"/>
        <v>-2.3258337121939903</v>
      </c>
      <c r="K192" s="33">
        <f t="shared" si="103"/>
        <v>-2.1832589215399176</v>
      </c>
      <c r="L192" s="33">
        <f t="shared" si="103"/>
        <v>-2.0406841308858454</v>
      </c>
      <c r="M192" s="33">
        <f t="shared" si="103"/>
        <v>-1.8981093402317735</v>
      </c>
      <c r="N192" s="33">
        <f t="shared" si="103"/>
        <v>-1.7555345495777011</v>
      </c>
      <c r="O192" s="33">
        <f t="shared" si="103"/>
        <v>-1.6129597589236286</v>
      </c>
      <c r="P192" s="33">
        <f t="shared" si="103"/>
        <v>-1.4703849682695564</v>
      </c>
      <c r="Q192" s="33">
        <f t="shared" si="103"/>
        <v>-1.327810177615484</v>
      </c>
      <c r="R192" s="33">
        <f t="shared" si="103"/>
        <v>-1.1852353869614118</v>
      </c>
      <c r="S192" s="33">
        <f t="shared" si="103"/>
        <v>-1.0426605963073394</v>
      </c>
      <c r="T192" s="33">
        <f t="shared" si="103"/>
        <v>-0.90008580565326679</v>
      </c>
      <c r="U192" s="33">
        <f t="shared" si="103"/>
        <v>-0.7575110149991946</v>
      </c>
      <c r="V192" s="33">
        <f t="shared" si="103"/>
        <v>-0.61493622434512241</v>
      </c>
      <c r="W192" s="33">
        <f t="shared" si="103"/>
        <v>-0.47236143369105021</v>
      </c>
      <c r="X192" s="34">
        <f t="shared" si="103"/>
        <v>-0.32978664303697758</v>
      </c>
    </row>
    <row r="193" spans="2:24" x14ac:dyDescent="0.35">
      <c r="B193" s="48"/>
      <c r="C193" s="24">
        <v>0.7</v>
      </c>
      <c r="D193" s="32">
        <f t="shared" si="104"/>
        <v>-2.9730255171985895</v>
      </c>
      <c r="E193" s="33">
        <f t="shared" si="104"/>
        <v>-2.8304507265445169</v>
      </c>
      <c r="F193" s="33">
        <f t="shared" si="102"/>
        <v>-2.6878759358904447</v>
      </c>
      <c r="G193" s="33">
        <f t="shared" si="102"/>
        <v>-2.5453011452363725</v>
      </c>
      <c r="H193" s="33">
        <f t="shared" si="103"/>
        <v>-2.4027263545822999</v>
      </c>
      <c r="I193" s="33">
        <f t="shared" si="103"/>
        <v>-2.2601515639282277</v>
      </c>
      <c r="J193" s="33">
        <f t="shared" si="103"/>
        <v>-2.1175767732741555</v>
      </c>
      <c r="K193" s="33">
        <f t="shared" si="103"/>
        <v>-1.9750019826200831</v>
      </c>
      <c r="L193" s="33">
        <f t="shared" si="103"/>
        <v>-1.8324271919660109</v>
      </c>
      <c r="M193" s="33">
        <f t="shared" si="103"/>
        <v>-1.6898524013119387</v>
      </c>
      <c r="N193" s="33">
        <f t="shared" si="103"/>
        <v>-1.5472776106578663</v>
      </c>
      <c r="O193" s="33">
        <f t="shared" si="103"/>
        <v>-1.4047028200037939</v>
      </c>
      <c r="P193" s="33">
        <f t="shared" si="103"/>
        <v>-1.2621280293497217</v>
      </c>
      <c r="Q193" s="33">
        <f t="shared" si="103"/>
        <v>-1.1195532386956493</v>
      </c>
      <c r="R193" s="33">
        <f t="shared" si="103"/>
        <v>-0.97697844804157707</v>
      </c>
      <c r="S193" s="33">
        <f t="shared" si="103"/>
        <v>-0.83440365738750466</v>
      </c>
      <c r="T193" s="33">
        <f t="shared" si="103"/>
        <v>-0.69182886673343202</v>
      </c>
      <c r="U193" s="33">
        <f t="shared" si="103"/>
        <v>-0.54925407607935983</v>
      </c>
      <c r="V193" s="33">
        <f t="shared" si="103"/>
        <v>-0.40667928542528764</v>
      </c>
      <c r="W193" s="33">
        <f t="shared" si="103"/>
        <v>-0.26410449477121545</v>
      </c>
      <c r="X193" s="34">
        <f t="shared" si="103"/>
        <v>-0.1215297041171428</v>
      </c>
    </row>
    <row r="194" spans="2:24" x14ac:dyDescent="0.35">
      <c r="B194" s="48"/>
      <c r="C194" s="24">
        <v>0.65</v>
      </c>
      <c r="D194" s="32">
        <f t="shared" si="104"/>
        <v>-2.7647685782787548</v>
      </c>
      <c r="E194" s="33">
        <f t="shared" si="104"/>
        <v>-2.6221937876246821</v>
      </c>
      <c r="F194" s="33">
        <f t="shared" si="102"/>
        <v>-2.4796189969706099</v>
      </c>
      <c r="G194" s="33">
        <f t="shared" si="102"/>
        <v>-2.3370442063165378</v>
      </c>
      <c r="H194" s="33">
        <f t="shared" si="103"/>
        <v>-2.1944694156624651</v>
      </c>
      <c r="I194" s="33">
        <f t="shared" si="103"/>
        <v>-2.0518946250083929</v>
      </c>
      <c r="J194" s="33">
        <f t="shared" si="103"/>
        <v>-1.909319834354321</v>
      </c>
      <c r="K194" s="33">
        <f t="shared" si="103"/>
        <v>-1.7667450437002485</v>
      </c>
      <c r="L194" s="33">
        <f t="shared" si="103"/>
        <v>-1.6241702530461761</v>
      </c>
      <c r="M194" s="33">
        <f t="shared" si="103"/>
        <v>-1.4815954623921039</v>
      </c>
      <c r="N194" s="33">
        <f t="shared" si="103"/>
        <v>-1.3390206717380315</v>
      </c>
      <c r="O194" s="33">
        <f t="shared" si="103"/>
        <v>-1.1964458810839591</v>
      </c>
      <c r="P194" s="33">
        <f t="shared" si="103"/>
        <v>-1.0538710904298869</v>
      </c>
      <c r="Q194" s="33">
        <f t="shared" si="103"/>
        <v>-0.9112962997758145</v>
      </c>
      <c r="R194" s="33">
        <f t="shared" si="103"/>
        <v>-0.76872150912174231</v>
      </c>
      <c r="S194" s="33">
        <f t="shared" si="103"/>
        <v>-0.62614671846766989</v>
      </c>
      <c r="T194" s="33">
        <f t="shared" si="103"/>
        <v>-0.48357192781359726</v>
      </c>
      <c r="U194" s="33">
        <f t="shared" si="103"/>
        <v>-0.34099713715952507</v>
      </c>
      <c r="V194" s="33">
        <f t="shared" si="103"/>
        <v>-0.19842234650545287</v>
      </c>
      <c r="W194" s="33">
        <f t="shared" si="103"/>
        <v>-5.5847555851380667E-2</v>
      </c>
      <c r="X194" s="34">
        <f t="shared" si="103"/>
        <v>8.6727234802691969E-2</v>
      </c>
    </row>
    <row r="195" spans="2:24" x14ac:dyDescent="0.35">
      <c r="B195" s="48"/>
      <c r="C195" s="24">
        <v>0.6</v>
      </c>
      <c r="D195" s="32">
        <f t="shared" si="104"/>
        <v>-2.5565116393589196</v>
      </c>
      <c r="E195" s="33">
        <f t="shared" si="104"/>
        <v>-2.4139368487048474</v>
      </c>
      <c r="F195" s="33">
        <f t="shared" si="102"/>
        <v>-2.2713620580507747</v>
      </c>
      <c r="G195" s="33">
        <f t="shared" si="102"/>
        <v>-2.1287872673967025</v>
      </c>
      <c r="H195" s="33">
        <f t="shared" si="103"/>
        <v>-1.9862124767426301</v>
      </c>
      <c r="I195" s="33">
        <f t="shared" si="103"/>
        <v>-1.8436376860885579</v>
      </c>
      <c r="J195" s="33">
        <f t="shared" si="103"/>
        <v>-1.7010628954344857</v>
      </c>
      <c r="K195" s="33">
        <f t="shared" si="103"/>
        <v>-1.5584881047804133</v>
      </c>
      <c r="L195" s="33">
        <f t="shared" si="103"/>
        <v>-1.4159133141263409</v>
      </c>
      <c r="M195" s="33">
        <f t="shared" si="103"/>
        <v>-1.2733385234722687</v>
      </c>
      <c r="N195" s="33">
        <f t="shared" si="103"/>
        <v>-1.1307637328181963</v>
      </c>
      <c r="O195" s="33">
        <f t="shared" si="103"/>
        <v>-0.9881889421641239</v>
      </c>
      <c r="P195" s="33">
        <f t="shared" si="103"/>
        <v>-0.8456141515100517</v>
      </c>
      <c r="Q195" s="33">
        <f t="shared" si="103"/>
        <v>-0.70303936085597929</v>
      </c>
      <c r="R195" s="33">
        <f t="shared" si="103"/>
        <v>-0.5604645702019071</v>
      </c>
      <c r="S195" s="33">
        <f t="shared" si="103"/>
        <v>-0.41788977954783468</v>
      </c>
      <c r="T195" s="33">
        <f t="shared" si="103"/>
        <v>-0.27531498889376205</v>
      </c>
      <c r="U195" s="33">
        <f t="shared" si="103"/>
        <v>-0.13274019823968985</v>
      </c>
      <c r="V195" s="33">
        <f t="shared" si="103"/>
        <v>9.834592414382351E-3</v>
      </c>
      <c r="W195" s="33">
        <f t="shared" si="103"/>
        <v>0.15240938306845453</v>
      </c>
      <c r="X195" s="34">
        <f t="shared" si="103"/>
        <v>0.29498417372252717</v>
      </c>
    </row>
    <row r="196" spans="2:24" x14ac:dyDescent="0.35">
      <c r="B196" s="48"/>
      <c r="C196" s="24">
        <v>0.55000000000000004</v>
      </c>
      <c r="D196" s="32">
        <f t="shared" si="104"/>
        <v>-2.3482547004390852</v>
      </c>
      <c r="E196" s="33">
        <f t="shared" si="104"/>
        <v>-2.2056799097850126</v>
      </c>
      <c r="F196" s="33">
        <f t="shared" si="102"/>
        <v>-2.0631051191309404</v>
      </c>
      <c r="G196" s="33">
        <f t="shared" si="102"/>
        <v>-1.9205303284768684</v>
      </c>
      <c r="H196" s="33">
        <f t="shared" si="103"/>
        <v>-1.777955537822796</v>
      </c>
      <c r="I196" s="33">
        <f t="shared" si="103"/>
        <v>-1.6353807471687236</v>
      </c>
      <c r="J196" s="33">
        <f t="shared" si="103"/>
        <v>-1.4928059565146514</v>
      </c>
      <c r="K196" s="33">
        <f t="shared" si="103"/>
        <v>-1.350231165860579</v>
      </c>
      <c r="L196" s="33">
        <f t="shared" si="103"/>
        <v>-1.2076563752065066</v>
      </c>
      <c r="M196" s="33">
        <f t="shared" si="103"/>
        <v>-1.0650815845524344</v>
      </c>
      <c r="N196" s="33">
        <f t="shared" si="103"/>
        <v>-0.92250679389836199</v>
      </c>
      <c r="O196" s="33">
        <f t="shared" si="103"/>
        <v>-0.77993200324428957</v>
      </c>
      <c r="P196" s="33">
        <f t="shared" si="103"/>
        <v>-0.63735721259021738</v>
      </c>
      <c r="Q196" s="33">
        <f t="shared" si="103"/>
        <v>-0.49478242193614497</v>
      </c>
      <c r="R196" s="33">
        <f t="shared" si="103"/>
        <v>-0.35220763128207278</v>
      </c>
      <c r="S196" s="33">
        <f t="shared" si="103"/>
        <v>-0.20963284062800036</v>
      </c>
      <c r="T196" s="33">
        <f t="shared" si="103"/>
        <v>-6.7058049973927711E-2</v>
      </c>
      <c r="U196" s="33">
        <f t="shared" si="103"/>
        <v>7.5516740680144481E-2</v>
      </c>
      <c r="V196" s="33">
        <f t="shared" si="103"/>
        <v>0.21809153133421666</v>
      </c>
      <c r="W196" s="33">
        <f t="shared" si="103"/>
        <v>0.36066632198828885</v>
      </c>
      <c r="X196" s="34">
        <f t="shared" si="103"/>
        <v>0.50324111264236149</v>
      </c>
    </row>
    <row r="197" spans="2:24" x14ac:dyDescent="0.35">
      <c r="B197" s="48"/>
      <c r="C197" s="24">
        <v>0.5</v>
      </c>
      <c r="D197" s="32">
        <f t="shared" si="104"/>
        <v>-2.13999776151925</v>
      </c>
      <c r="E197" s="33">
        <f t="shared" si="104"/>
        <v>-1.9974229708651781</v>
      </c>
      <c r="F197" s="33">
        <f t="shared" si="102"/>
        <v>-1.8548481802111054</v>
      </c>
      <c r="G197" s="33">
        <f t="shared" si="102"/>
        <v>-1.7122733895570332</v>
      </c>
      <c r="H197" s="33">
        <f t="shared" si="103"/>
        <v>-1.5696985989029608</v>
      </c>
      <c r="I197" s="33">
        <f t="shared" si="103"/>
        <v>-1.4271238082488884</v>
      </c>
      <c r="J197" s="33">
        <f t="shared" si="103"/>
        <v>-1.2845490175948162</v>
      </c>
      <c r="K197" s="33">
        <f t="shared" si="103"/>
        <v>-1.1419742269407438</v>
      </c>
      <c r="L197" s="33">
        <f t="shared" si="103"/>
        <v>-0.99939943628667138</v>
      </c>
      <c r="M197" s="33">
        <f t="shared" si="103"/>
        <v>-0.85682464563259919</v>
      </c>
      <c r="N197" s="33">
        <f t="shared" si="103"/>
        <v>-0.71424985497852678</v>
      </c>
      <c r="O197" s="33">
        <f t="shared" si="103"/>
        <v>-0.57167506432445436</v>
      </c>
      <c r="P197" s="33">
        <f t="shared" si="103"/>
        <v>-0.42910027367038217</v>
      </c>
      <c r="Q197" s="33">
        <f t="shared" si="103"/>
        <v>-0.28652548301630976</v>
      </c>
      <c r="R197" s="33">
        <f t="shared" si="103"/>
        <v>-0.14395069236223756</v>
      </c>
      <c r="S197" s="33">
        <f t="shared" si="103"/>
        <v>-1.3759017081651365E-3</v>
      </c>
      <c r="T197" s="33">
        <f t="shared" si="103"/>
        <v>0.14119888894590749</v>
      </c>
      <c r="U197" s="33">
        <f t="shared" si="103"/>
        <v>0.28377367959997968</v>
      </c>
      <c r="V197" s="33">
        <f t="shared" si="103"/>
        <v>0.42634847025405187</v>
      </c>
      <c r="W197" s="33">
        <f t="shared" si="103"/>
        <v>0.56892326090812406</v>
      </c>
      <c r="X197" s="34">
        <f t="shared" si="103"/>
        <v>0.7114980515621967</v>
      </c>
    </row>
    <row r="198" spans="2:24" x14ac:dyDescent="0.35">
      <c r="B198" s="48"/>
      <c r="C198" s="24">
        <v>0.45</v>
      </c>
      <c r="D198" s="32">
        <f t="shared" si="104"/>
        <v>-1.9317408225994155</v>
      </c>
      <c r="E198" s="33">
        <f t="shared" si="104"/>
        <v>-1.7891660319453431</v>
      </c>
      <c r="F198" s="33">
        <f t="shared" si="102"/>
        <v>-1.6465912412912707</v>
      </c>
      <c r="G198" s="33">
        <f t="shared" si="102"/>
        <v>-1.5040164506371985</v>
      </c>
      <c r="H198" s="33">
        <f t="shared" si="103"/>
        <v>-1.3614416599831261</v>
      </c>
      <c r="I198" s="33">
        <f t="shared" si="103"/>
        <v>-1.2188668693290536</v>
      </c>
      <c r="J198" s="33">
        <f t="shared" si="103"/>
        <v>-1.0762920786749814</v>
      </c>
      <c r="K198" s="33">
        <f t="shared" si="103"/>
        <v>-0.93371728802090903</v>
      </c>
      <c r="L198" s="33">
        <f t="shared" si="103"/>
        <v>-0.79114249736683662</v>
      </c>
      <c r="M198" s="33">
        <f t="shared" si="103"/>
        <v>-0.64856770671276442</v>
      </c>
      <c r="N198" s="33">
        <f t="shared" si="103"/>
        <v>-0.50599291605869201</v>
      </c>
      <c r="O198" s="33">
        <f t="shared" si="103"/>
        <v>-0.3634181254046196</v>
      </c>
      <c r="P198" s="33">
        <f t="shared" si="103"/>
        <v>-0.2208433347505474</v>
      </c>
      <c r="Q198" s="33">
        <f t="shared" si="103"/>
        <v>-7.8268544096474976E-2</v>
      </c>
      <c r="R198" s="33">
        <f t="shared" si="103"/>
        <v>6.4306246557597216E-2</v>
      </c>
      <c r="S198" s="33">
        <f t="shared" si="103"/>
        <v>0.20688103721166962</v>
      </c>
      <c r="T198" s="33">
        <f t="shared" si="103"/>
        <v>0.34945582786574225</v>
      </c>
      <c r="U198" s="33">
        <f t="shared" si="103"/>
        <v>0.49203061851981444</v>
      </c>
      <c r="V198" s="33">
        <f t="shared" si="103"/>
        <v>0.63460540917388664</v>
      </c>
      <c r="W198" s="33">
        <f t="shared" si="103"/>
        <v>0.77718019982795883</v>
      </c>
      <c r="X198" s="34">
        <f t="shared" si="103"/>
        <v>0.91975499048203146</v>
      </c>
    </row>
    <row r="199" spans="2:24" x14ac:dyDescent="0.35">
      <c r="B199" s="48"/>
      <c r="C199" s="24">
        <v>0.4</v>
      </c>
      <c r="D199" s="32">
        <f t="shared" si="104"/>
        <v>-1.7234838836795805</v>
      </c>
      <c r="E199" s="33">
        <f t="shared" si="104"/>
        <v>-1.5809090930255081</v>
      </c>
      <c r="F199" s="33">
        <f t="shared" si="102"/>
        <v>-1.4383343023714357</v>
      </c>
      <c r="G199" s="33">
        <f t="shared" si="102"/>
        <v>-1.2957595117173635</v>
      </c>
      <c r="H199" s="33">
        <f t="shared" si="103"/>
        <v>-1.1531847210632911</v>
      </c>
      <c r="I199" s="33">
        <f t="shared" si="103"/>
        <v>-1.0106099304092186</v>
      </c>
      <c r="J199" s="33">
        <f t="shared" si="103"/>
        <v>-0.86803513975514646</v>
      </c>
      <c r="K199" s="33">
        <f t="shared" si="103"/>
        <v>-0.72546034910107404</v>
      </c>
      <c r="L199" s="33">
        <f t="shared" si="103"/>
        <v>-0.58288555844700163</v>
      </c>
      <c r="M199" s="33">
        <f t="shared" si="103"/>
        <v>-0.44031076779292944</v>
      </c>
      <c r="N199" s="33">
        <f t="shared" si="103"/>
        <v>-0.29773597713885702</v>
      </c>
      <c r="O199" s="33">
        <f t="shared" si="103"/>
        <v>-0.15516118648478461</v>
      </c>
      <c r="P199" s="33">
        <f t="shared" si="103"/>
        <v>-1.2586395830712402E-2</v>
      </c>
      <c r="Q199" s="33">
        <f t="shared" si="103"/>
        <v>0.12998839482336</v>
      </c>
      <c r="R199" s="33">
        <f t="shared" si="103"/>
        <v>0.27256318547743219</v>
      </c>
      <c r="S199" s="33">
        <f t="shared" si="103"/>
        <v>0.4151379761315046</v>
      </c>
      <c r="T199" s="33">
        <f t="shared" si="103"/>
        <v>0.55771276678557724</v>
      </c>
      <c r="U199" s="33">
        <f t="shared" si="103"/>
        <v>0.70028755743964943</v>
      </c>
      <c r="V199" s="33">
        <f t="shared" si="103"/>
        <v>0.84286234809372163</v>
      </c>
      <c r="W199" s="33">
        <f t="shared" si="103"/>
        <v>0.98543713874779382</v>
      </c>
      <c r="X199" s="34">
        <f t="shared" si="103"/>
        <v>1.1280119294018665</v>
      </c>
    </row>
    <row r="200" spans="2:24" x14ac:dyDescent="0.35">
      <c r="B200" s="48"/>
      <c r="C200" s="24">
        <v>0.35</v>
      </c>
      <c r="D200" s="32">
        <f t="shared" si="104"/>
        <v>-1.5152269447597455</v>
      </c>
      <c r="E200" s="33">
        <f t="shared" si="104"/>
        <v>-1.3726521541056731</v>
      </c>
      <c r="F200" s="33">
        <f t="shared" si="102"/>
        <v>-1.2300773634516007</v>
      </c>
      <c r="G200" s="33">
        <f t="shared" si="102"/>
        <v>-1.0875025727975285</v>
      </c>
      <c r="H200" s="33">
        <f t="shared" si="103"/>
        <v>-0.94492778214345607</v>
      </c>
      <c r="I200" s="33">
        <f t="shared" si="103"/>
        <v>-0.80235299148938366</v>
      </c>
      <c r="J200" s="33">
        <f t="shared" si="103"/>
        <v>-0.65977820083531147</v>
      </c>
      <c r="K200" s="33">
        <f t="shared" si="103"/>
        <v>-0.51720341018123905</v>
      </c>
      <c r="L200" s="33">
        <f t="shared" si="103"/>
        <v>-0.37462861952716664</v>
      </c>
      <c r="M200" s="33">
        <f t="shared" si="103"/>
        <v>-0.23205382887309445</v>
      </c>
      <c r="N200" s="33">
        <f t="shared" si="103"/>
        <v>-8.947903821902202E-2</v>
      </c>
      <c r="O200" s="33">
        <f t="shared" si="103"/>
        <v>5.3095752435050395E-2</v>
      </c>
      <c r="P200" s="33">
        <f t="shared" si="103"/>
        <v>0.19567054308912257</v>
      </c>
      <c r="Q200" s="33">
        <f t="shared" si="103"/>
        <v>0.33824533374319499</v>
      </c>
      <c r="R200" s="33">
        <f t="shared" si="103"/>
        <v>0.48082012439726718</v>
      </c>
      <c r="S200" s="33">
        <f t="shared" si="103"/>
        <v>0.62339491505133959</v>
      </c>
      <c r="T200" s="33">
        <f t="shared" si="103"/>
        <v>0.76596970570541223</v>
      </c>
      <c r="U200" s="33">
        <f t="shared" si="103"/>
        <v>0.90854449635948442</v>
      </c>
      <c r="V200" s="33">
        <f t="shared" si="103"/>
        <v>1.0511192870135566</v>
      </c>
      <c r="W200" s="33">
        <f t="shared" si="103"/>
        <v>1.1936940776676288</v>
      </c>
      <c r="X200" s="34">
        <f t="shared" si="103"/>
        <v>1.3362688683217014</v>
      </c>
    </row>
    <row r="201" spans="2:24" x14ac:dyDescent="0.35">
      <c r="B201" s="48"/>
      <c r="C201" s="24">
        <v>0.3</v>
      </c>
      <c r="D201" s="32">
        <f t="shared" si="104"/>
        <v>-1.3069700058399105</v>
      </c>
      <c r="E201" s="33">
        <f t="shared" si="104"/>
        <v>-1.1643952151858381</v>
      </c>
      <c r="F201" s="33">
        <f t="shared" si="102"/>
        <v>-1.0218204245317657</v>
      </c>
      <c r="G201" s="33">
        <f t="shared" si="102"/>
        <v>-0.8792456338776935</v>
      </c>
      <c r="H201" s="33">
        <f t="shared" si="103"/>
        <v>-0.73667084322362109</v>
      </c>
      <c r="I201" s="33">
        <f t="shared" si="103"/>
        <v>-0.59409605256954867</v>
      </c>
      <c r="J201" s="33">
        <f t="shared" si="103"/>
        <v>-0.45152126191547648</v>
      </c>
      <c r="K201" s="33">
        <f t="shared" si="103"/>
        <v>-0.30894647126140407</v>
      </c>
      <c r="L201" s="33">
        <f t="shared" si="103"/>
        <v>-0.16637168060733165</v>
      </c>
      <c r="M201" s="33">
        <f t="shared" si="103"/>
        <v>-2.3796889953259445E-2</v>
      </c>
      <c r="N201" s="33">
        <f t="shared" si="103"/>
        <v>0.11877790070081297</v>
      </c>
      <c r="O201" s="33">
        <f t="shared" si="103"/>
        <v>0.26135269135488537</v>
      </c>
      <c r="P201" s="33">
        <f t="shared" si="103"/>
        <v>0.40392748200895756</v>
      </c>
      <c r="Q201" s="33">
        <f t="shared" si="103"/>
        <v>0.54650227266302998</v>
      </c>
      <c r="R201" s="33">
        <f t="shared" si="103"/>
        <v>0.68907706331710217</v>
      </c>
      <c r="S201" s="33">
        <f t="shared" si="103"/>
        <v>0.83165185397117458</v>
      </c>
      <c r="T201" s="33">
        <f t="shared" si="103"/>
        <v>0.97422664462524722</v>
      </c>
      <c r="U201" s="33">
        <f t="shared" si="103"/>
        <v>1.1168014352793194</v>
      </c>
      <c r="V201" s="33">
        <f t="shared" si="103"/>
        <v>1.2593762259333916</v>
      </c>
      <c r="W201" s="33">
        <f t="shared" si="103"/>
        <v>1.4019510165874638</v>
      </c>
      <c r="X201" s="34">
        <f t="shared" si="103"/>
        <v>1.5445258072415364</v>
      </c>
    </row>
    <row r="202" spans="2:24" x14ac:dyDescent="0.35">
      <c r="B202" s="48"/>
      <c r="C202" s="24">
        <v>0.25</v>
      </c>
      <c r="D202" s="32">
        <f t="shared" si="104"/>
        <v>-1.0987130669200758</v>
      </c>
      <c r="E202" s="33">
        <f t="shared" si="104"/>
        <v>-0.95613827626600334</v>
      </c>
      <c r="F202" s="33">
        <f t="shared" si="102"/>
        <v>-0.81356348561193093</v>
      </c>
      <c r="G202" s="33">
        <f t="shared" si="102"/>
        <v>-0.67098869495785873</v>
      </c>
      <c r="H202" s="33">
        <f t="shared" si="102"/>
        <v>-0.52841390430378632</v>
      </c>
      <c r="I202" s="33">
        <f t="shared" si="102"/>
        <v>-0.38583911364971391</v>
      </c>
      <c r="J202" s="33">
        <f t="shared" si="102"/>
        <v>-0.24326432299564171</v>
      </c>
      <c r="K202" s="33">
        <f t="shared" si="102"/>
        <v>-0.10068953234156929</v>
      </c>
      <c r="L202" s="33">
        <f t="shared" si="102"/>
        <v>4.1885258312503129E-2</v>
      </c>
      <c r="M202" s="33">
        <f t="shared" si="102"/>
        <v>0.18446004896657531</v>
      </c>
      <c r="N202" s="33">
        <f t="shared" si="102"/>
        <v>0.32703483962064772</v>
      </c>
      <c r="O202" s="33">
        <f t="shared" si="102"/>
        <v>0.46960963027472014</v>
      </c>
      <c r="P202" s="33">
        <f t="shared" si="102"/>
        <v>0.61218442092879233</v>
      </c>
      <c r="Q202" s="33">
        <f t="shared" si="102"/>
        <v>0.75475921158286474</v>
      </c>
      <c r="R202" s="33">
        <f t="shared" si="102"/>
        <v>0.89733400223693693</v>
      </c>
      <c r="S202" s="33">
        <f t="shared" si="102"/>
        <v>1.0399087928910093</v>
      </c>
      <c r="T202" s="33">
        <f t="shared" si="102"/>
        <v>1.182483583545082</v>
      </c>
      <c r="U202" s="33">
        <f t="shared" ref="U202:X202" si="105">(U$208 * $P$5) + $P$8 + ($C202 * $P$6) + $P$9</f>
        <v>1.3250583741991542</v>
      </c>
      <c r="V202" s="33">
        <f t="shared" si="105"/>
        <v>1.4676331648532264</v>
      </c>
      <c r="W202" s="33">
        <f t="shared" si="105"/>
        <v>1.6102079555072986</v>
      </c>
      <c r="X202" s="34">
        <f t="shared" si="105"/>
        <v>1.7527827461613712</v>
      </c>
    </row>
    <row r="203" spans="2:24" x14ac:dyDescent="0.35">
      <c r="B203" s="48"/>
      <c r="C203" s="24">
        <v>0.2</v>
      </c>
      <c r="D203" s="32">
        <f t="shared" si="104"/>
        <v>-0.89045612800024077</v>
      </c>
      <c r="E203" s="33">
        <f t="shared" si="104"/>
        <v>-0.74788133734616846</v>
      </c>
      <c r="F203" s="33">
        <f t="shared" si="104"/>
        <v>-0.60530654669209616</v>
      </c>
      <c r="G203" s="33">
        <f t="shared" si="104"/>
        <v>-0.46273175603802374</v>
      </c>
      <c r="H203" s="33">
        <f t="shared" si="104"/>
        <v>-0.32015696538395139</v>
      </c>
      <c r="I203" s="33">
        <f t="shared" si="104"/>
        <v>-0.17758217472987903</v>
      </c>
      <c r="J203" s="33">
        <f t="shared" si="104"/>
        <v>-3.5007384075806822E-2</v>
      </c>
      <c r="K203" s="33">
        <f t="shared" si="104"/>
        <v>0.10756740657826559</v>
      </c>
      <c r="L203" s="33">
        <f t="shared" si="104"/>
        <v>0.25014219723233799</v>
      </c>
      <c r="M203" s="33">
        <f t="shared" si="104"/>
        <v>0.39271698788641018</v>
      </c>
      <c r="N203" s="33">
        <f t="shared" si="104"/>
        <v>0.5352917785404826</v>
      </c>
      <c r="O203" s="33">
        <f t="shared" si="104"/>
        <v>0.67786656919455501</v>
      </c>
      <c r="P203" s="33">
        <f t="shared" si="104"/>
        <v>0.82044135984862721</v>
      </c>
      <c r="Q203" s="33">
        <f t="shared" si="104"/>
        <v>0.96301615050269962</v>
      </c>
      <c r="R203" s="33">
        <f t="shared" si="104"/>
        <v>1.1055909411567719</v>
      </c>
      <c r="S203" s="33">
        <f t="shared" si="104"/>
        <v>1.2481657318108443</v>
      </c>
      <c r="T203" s="33">
        <f t="shared" ref="T203:X207" si="106">(T$208 * $P$5) + $P$8 + ($C203 * $P$6) + $P$9</f>
        <v>1.390740522464917</v>
      </c>
      <c r="U203" s="33">
        <f t="shared" si="106"/>
        <v>1.5333153131189892</v>
      </c>
      <c r="V203" s="33">
        <f t="shared" si="106"/>
        <v>1.6758901037730614</v>
      </c>
      <c r="W203" s="33">
        <f t="shared" si="106"/>
        <v>1.8184648944271335</v>
      </c>
      <c r="X203" s="34">
        <f t="shared" si="106"/>
        <v>1.9610396850812062</v>
      </c>
    </row>
    <row r="204" spans="2:24" x14ac:dyDescent="0.35">
      <c r="B204" s="48"/>
      <c r="C204" s="24">
        <v>0.15</v>
      </c>
      <c r="D204" s="32">
        <f t="shared" si="104"/>
        <v>-0.68219918908040578</v>
      </c>
      <c r="E204" s="33">
        <f t="shared" si="104"/>
        <v>-0.53962439842633347</v>
      </c>
      <c r="F204" s="33">
        <f t="shared" si="104"/>
        <v>-0.39704960777226117</v>
      </c>
      <c r="G204" s="33">
        <f t="shared" si="104"/>
        <v>-0.25447481711818881</v>
      </c>
      <c r="H204" s="33">
        <f t="shared" si="104"/>
        <v>-0.11190002646411638</v>
      </c>
      <c r="I204" s="33">
        <f t="shared" si="104"/>
        <v>3.0674764189955975E-2</v>
      </c>
      <c r="J204" s="33">
        <f t="shared" si="104"/>
        <v>0.17324955484402815</v>
      </c>
      <c r="K204" s="33">
        <f t="shared" si="104"/>
        <v>0.31582434549810057</v>
      </c>
      <c r="L204" s="33">
        <f t="shared" si="104"/>
        <v>0.45839913615217298</v>
      </c>
      <c r="M204" s="33">
        <f t="shared" si="104"/>
        <v>0.60097392680624517</v>
      </c>
      <c r="N204" s="33">
        <f t="shared" si="104"/>
        <v>0.74354871746031759</v>
      </c>
      <c r="O204" s="33">
        <f t="shared" si="104"/>
        <v>0.88612350811439</v>
      </c>
      <c r="P204" s="33">
        <f t="shared" si="104"/>
        <v>1.0286982987684623</v>
      </c>
      <c r="Q204" s="33">
        <f t="shared" si="104"/>
        <v>1.1712730894225347</v>
      </c>
      <c r="R204" s="33">
        <f t="shared" si="104"/>
        <v>1.3138478800766069</v>
      </c>
      <c r="S204" s="33">
        <f t="shared" si="104"/>
        <v>1.4564226707306791</v>
      </c>
      <c r="T204" s="33">
        <f t="shared" si="106"/>
        <v>1.5989974613847517</v>
      </c>
      <c r="U204" s="33">
        <f t="shared" si="106"/>
        <v>1.7415722520388239</v>
      </c>
      <c r="V204" s="33">
        <f t="shared" si="106"/>
        <v>1.8841470426928961</v>
      </c>
      <c r="W204" s="33">
        <f t="shared" si="106"/>
        <v>2.0267218333469685</v>
      </c>
      <c r="X204" s="34">
        <f t="shared" si="106"/>
        <v>2.1692966240010412</v>
      </c>
    </row>
    <row r="205" spans="2:24" x14ac:dyDescent="0.35">
      <c r="B205" s="48"/>
      <c r="C205" s="24">
        <v>0.1</v>
      </c>
      <c r="D205" s="32">
        <f t="shared" si="104"/>
        <v>-0.47394225016057101</v>
      </c>
      <c r="E205" s="33">
        <f t="shared" si="104"/>
        <v>-0.33136745950649865</v>
      </c>
      <c r="F205" s="33">
        <f t="shared" si="104"/>
        <v>-0.18879266885242629</v>
      </c>
      <c r="G205" s="33">
        <f t="shared" si="104"/>
        <v>-4.6217878198353976E-2</v>
      </c>
      <c r="H205" s="33">
        <f t="shared" si="104"/>
        <v>9.6356912455718438E-2</v>
      </c>
      <c r="I205" s="33">
        <f t="shared" si="104"/>
        <v>0.23893170310979078</v>
      </c>
      <c r="J205" s="33">
        <f t="shared" si="104"/>
        <v>0.38150649376386297</v>
      </c>
      <c r="K205" s="33">
        <f t="shared" si="104"/>
        <v>0.52408128441793544</v>
      </c>
      <c r="L205" s="33">
        <f t="shared" si="104"/>
        <v>0.66665607507200786</v>
      </c>
      <c r="M205" s="33">
        <f t="shared" si="104"/>
        <v>0.80923086572608005</v>
      </c>
      <c r="N205" s="33">
        <f t="shared" si="104"/>
        <v>0.95180565638015246</v>
      </c>
      <c r="O205" s="33">
        <f t="shared" si="104"/>
        <v>1.0943804470342249</v>
      </c>
      <c r="P205" s="33">
        <f t="shared" si="104"/>
        <v>1.2369552376882971</v>
      </c>
      <c r="Q205" s="33">
        <f t="shared" si="104"/>
        <v>1.3795300283423695</v>
      </c>
      <c r="R205" s="33">
        <f t="shared" si="104"/>
        <v>1.5221048189964417</v>
      </c>
      <c r="S205" s="33">
        <f t="shared" si="104"/>
        <v>1.6646796096505141</v>
      </c>
      <c r="T205" s="33">
        <f t="shared" si="106"/>
        <v>1.8072544003045867</v>
      </c>
      <c r="U205" s="33">
        <f t="shared" si="106"/>
        <v>1.9498291909586589</v>
      </c>
      <c r="V205" s="33">
        <f t="shared" si="106"/>
        <v>2.0924039816127311</v>
      </c>
      <c r="W205" s="33">
        <f t="shared" si="106"/>
        <v>2.2349787722668033</v>
      </c>
      <c r="X205" s="34">
        <f t="shared" si="106"/>
        <v>2.3775535629208759</v>
      </c>
    </row>
    <row r="206" spans="2:24" x14ac:dyDescent="0.35">
      <c r="B206" s="48"/>
      <c r="C206" s="24">
        <v>0.05</v>
      </c>
      <c r="D206" s="32">
        <f t="shared" si="104"/>
        <v>-0.26568531124073613</v>
      </c>
      <c r="E206" s="33">
        <f t="shared" si="104"/>
        <v>-0.12311052058666373</v>
      </c>
      <c r="F206" s="33">
        <f t="shared" si="104"/>
        <v>1.9464270067408626E-2</v>
      </c>
      <c r="G206" s="33">
        <f t="shared" si="104"/>
        <v>0.16203906072148094</v>
      </c>
      <c r="H206" s="33">
        <f t="shared" si="104"/>
        <v>0.30461385137555336</v>
      </c>
      <c r="I206" s="33">
        <f t="shared" si="104"/>
        <v>0.44718864202962572</v>
      </c>
      <c r="J206" s="33">
        <f t="shared" si="104"/>
        <v>0.58976343268369791</v>
      </c>
      <c r="K206" s="33">
        <f t="shared" si="104"/>
        <v>0.73233822333777032</v>
      </c>
      <c r="L206" s="33">
        <f t="shared" si="104"/>
        <v>0.87491301399184274</v>
      </c>
      <c r="M206" s="33">
        <f t="shared" si="104"/>
        <v>1.017487804645915</v>
      </c>
      <c r="N206" s="33">
        <f t="shared" si="104"/>
        <v>1.1600625952999872</v>
      </c>
      <c r="O206" s="33">
        <f t="shared" si="104"/>
        <v>1.3026373859540596</v>
      </c>
      <c r="P206" s="33">
        <f t="shared" si="104"/>
        <v>1.4452121766081318</v>
      </c>
      <c r="Q206" s="33">
        <f t="shared" si="104"/>
        <v>1.5877869672622043</v>
      </c>
      <c r="R206" s="33">
        <f t="shared" si="104"/>
        <v>1.7303617579162764</v>
      </c>
      <c r="S206" s="33">
        <f t="shared" si="104"/>
        <v>1.8729365485703489</v>
      </c>
      <c r="T206" s="33">
        <f t="shared" si="106"/>
        <v>2.0155113392244215</v>
      </c>
      <c r="U206" s="33">
        <f t="shared" si="106"/>
        <v>2.1580861298784941</v>
      </c>
      <c r="V206" s="33">
        <f t="shared" si="106"/>
        <v>2.3006609205325663</v>
      </c>
      <c r="W206" s="33">
        <f t="shared" si="106"/>
        <v>2.4432357111866385</v>
      </c>
      <c r="X206" s="34">
        <f t="shared" si="106"/>
        <v>2.5858105018407112</v>
      </c>
    </row>
    <row r="207" spans="2:24" ht="15" thickBot="1" x14ac:dyDescent="0.4">
      <c r="B207" s="49"/>
      <c r="C207" s="25">
        <v>0</v>
      </c>
      <c r="D207" s="35">
        <f t="shared" si="104"/>
        <v>-5.7428372320901186E-2</v>
      </c>
      <c r="E207" s="36">
        <f t="shared" si="104"/>
        <v>8.5146418333171173E-2</v>
      </c>
      <c r="F207" s="36">
        <f t="shared" si="104"/>
        <v>0.22772120898724352</v>
      </c>
      <c r="G207" s="36">
        <f t="shared" si="104"/>
        <v>0.37029599964131582</v>
      </c>
      <c r="H207" s="36">
        <f t="shared" si="104"/>
        <v>0.51287079029538829</v>
      </c>
      <c r="I207" s="36">
        <f t="shared" si="104"/>
        <v>0.65544558094946059</v>
      </c>
      <c r="J207" s="36">
        <f t="shared" si="104"/>
        <v>0.79802037160353279</v>
      </c>
      <c r="K207" s="36">
        <f t="shared" si="104"/>
        <v>0.9405951622576052</v>
      </c>
      <c r="L207" s="36">
        <f t="shared" si="104"/>
        <v>1.0831699529116776</v>
      </c>
      <c r="M207" s="36">
        <f t="shared" si="104"/>
        <v>1.2257447435657498</v>
      </c>
      <c r="N207" s="36">
        <f t="shared" si="104"/>
        <v>1.3683195342198222</v>
      </c>
      <c r="O207" s="36">
        <f t="shared" si="104"/>
        <v>1.5108943248738946</v>
      </c>
      <c r="P207" s="36">
        <f t="shared" si="104"/>
        <v>1.6534691155279668</v>
      </c>
      <c r="Q207" s="36">
        <f t="shared" si="104"/>
        <v>1.7960439061820392</v>
      </c>
      <c r="R207" s="36">
        <f t="shared" si="104"/>
        <v>1.9386186968361114</v>
      </c>
      <c r="S207" s="36">
        <f t="shared" si="104"/>
        <v>2.0811934874901841</v>
      </c>
      <c r="T207" s="36">
        <f t="shared" si="106"/>
        <v>2.2237682781442567</v>
      </c>
      <c r="U207" s="36">
        <f t="shared" si="106"/>
        <v>2.3663430687983289</v>
      </c>
      <c r="V207" s="36">
        <f t="shared" si="106"/>
        <v>2.5089178594524011</v>
      </c>
      <c r="W207" s="36">
        <f t="shared" si="106"/>
        <v>2.6514926501064733</v>
      </c>
      <c r="X207" s="37">
        <f t="shared" si="106"/>
        <v>2.7940674407605459</v>
      </c>
    </row>
    <row r="208" spans="2:24" x14ac:dyDescent="0.35">
      <c r="C208" s="9"/>
      <c r="D208" s="28">
        <v>0</v>
      </c>
      <c r="E208" s="26">
        <v>0.05</v>
      </c>
      <c r="F208" s="26">
        <v>0.1</v>
      </c>
      <c r="G208" s="26">
        <v>0.15</v>
      </c>
      <c r="H208" s="26">
        <v>0.2</v>
      </c>
      <c r="I208" s="26">
        <v>0.25</v>
      </c>
      <c r="J208" s="26">
        <v>0.3</v>
      </c>
      <c r="K208" s="26">
        <v>0.35</v>
      </c>
      <c r="L208" s="26">
        <v>0.4</v>
      </c>
      <c r="M208" s="26">
        <v>0.45</v>
      </c>
      <c r="N208" s="26">
        <v>0.5</v>
      </c>
      <c r="O208" s="26">
        <v>0.55000000000000004</v>
      </c>
      <c r="P208" s="26">
        <v>0.6</v>
      </c>
      <c r="Q208" s="26">
        <v>0.65</v>
      </c>
      <c r="R208" s="26">
        <v>0.7</v>
      </c>
      <c r="S208" s="26">
        <v>0.75</v>
      </c>
      <c r="T208" s="26">
        <v>0.8</v>
      </c>
      <c r="U208" s="26">
        <v>0.85</v>
      </c>
      <c r="V208" s="26">
        <v>0.9</v>
      </c>
      <c r="W208" s="26">
        <v>0.95</v>
      </c>
      <c r="X208" s="27">
        <v>1</v>
      </c>
    </row>
    <row r="209" spans="3:24" ht="21.5" thickBot="1" x14ac:dyDescent="0.55000000000000004">
      <c r="C209" s="9"/>
      <c r="D209" s="50" t="s">
        <v>66</v>
      </c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2"/>
    </row>
  </sheetData>
  <mergeCells count="26">
    <mergeCell ref="AC50:AF50"/>
    <mergeCell ref="AI50:AN50"/>
    <mergeCell ref="AP50:AU50"/>
    <mergeCell ref="AW50:BB50"/>
    <mergeCell ref="BD50:BI50"/>
    <mergeCell ref="AP3:AU3"/>
    <mergeCell ref="AW3:BB3"/>
    <mergeCell ref="BD3:BI3"/>
    <mergeCell ref="C3:E3"/>
    <mergeCell ref="G3:I3"/>
    <mergeCell ref="X3:AA3"/>
    <mergeCell ref="AC3:AF3"/>
    <mergeCell ref="AI3:AN3"/>
    <mergeCell ref="D131:X131"/>
    <mergeCell ref="B108:X108"/>
    <mergeCell ref="B134:X134"/>
    <mergeCell ref="B135:B155"/>
    <mergeCell ref="X50:AA50"/>
    <mergeCell ref="B109:B129"/>
    <mergeCell ref="B187:B207"/>
    <mergeCell ref="D209:X209"/>
    <mergeCell ref="D157:X157"/>
    <mergeCell ref="B160:X160"/>
    <mergeCell ref="B161:B181"/>
    <mergeCell ref="D183:X183"/>
    <mergeCell ref="B186:X186"/>
  </mergeCells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e_model">
                <anchor moveWithCells="1" sizeWithCells="1">
                  <from>
                    <xdr:col>6</xdr:col>
                    <xdr:colOff>419100</xdr:colOff>
                    <xdr:row>25</xdr:row>
                    <xdr:rowOff>107950</xdr:rowOff>
                  </from>
                  <to>
                    <xdr:col>9</xdr:col>
                    <xdr:colOff>330200</xdr:colOff>
                    <xdr:row>28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450-1EBA-4F07-8F09-71E9E9BDA76C}">
  <sheetPr codeName="Sheet2"/>
  <dimension ref="A1:T218"/>
  <sheetViews>
    <sheetView workbookViewId="0">
      <selection activeCell="E11" sqref="E11"/>
    </sheetView>
  </sheetViews>
  <sheetFormatPr defaultRowHeight="14.5" x14ac:dyDescent="0.35"/>
  <sheetData>
    <row r="1" spans="1:20" x14ac:dyDescent="0.35">
      <c r="A1" t="s">
        <v>80</v>
      </c>
      <c r="C1" s="56" t="s">
        <v>72</v>
      </c>
      <c r="D1" s="56"/>
      <c r="F1" s="56" t="s">
        <v>75</v>
      </c>
      <c r="G1" s="56"/>
      <c r="I1" s="56" t="s">
        <v>76</v>
      </c>
      <c r="J1" s="56"/>
      <c r="L1" s="56" t="s">
        <v>77</v>
      </c>
      <c r="M1" s="56"/>
      <c r="O1" s="56" t="s">
        <v>78</v>
      </c>
      <c r="P1" s="56"/>
      <c r="R1" s="56" t="s">
        <v>79</v>
      </c>
      <c r="S1" s="56"/>
    </row>
    <row r="2" spans="1:20" x14ac:dyDescent="0.35">
      <c r="A2" t="s">
        <v>21</v>
      </c>
      <c r="C2" t="s">
        <v>73</v>
      </c>
      <c r="D2" t="s">
        <v>74</v>
      </c>
      <c r="F2" t="s">
        <v>73</v>
      </c>
      <c r="G2" t="s">
        <v>74</v>
      </c>
      <c r="I2" t="s">
        <v>73</v>
      </c>
      <c r="J2" t="s">
        <v>74</v>
      </c>
      <c r="L2" t="s">
        <v>73</v>
      </c>
      <c r="M2" t="s">
        <v>74</v>
      </c>
      <c r="O2" t="s">
        <v>73</v>
      </c>
      <c r="P2" t="s">
        <v>74</v>
      </c>
      <c r="R2" t="s">
        <v>73</v>
      </c>
      <c r="S2" t="s">
        <v>74</v>
      </c>
    </row>
    <row r="3" spans="1:20" x14ac:dyDescent="0.35">
      <c r="A3" s="6">
        <v>0.67253362399809724</v>
      </c>
      <c r="B3" s="6"/>
      <c r="C3" s="6">
        <v>3.7910909753301425</v>
      </c>
      <c r="D3" s="6">
        <v>-0.16227764277794118</v>
      </c>
      <c r="E3" s="6"/>
      <c r="F3" s="6">
        <v>-1.4809941645297331</v>
      </c>
      <c r="G3" s="6">
        <v>8.962341015794574E-2</v>
      </c>
      <c r="H3" s="6"/>
      <c r="I3" s="6">
        <v>-4.1134856924110661</v>
      </c>
      <c r="J3" s="6">
        <v>4.76915973808116E-2</v>
      </c>
      <c r="K3" s="6"/>
      <c r="L3" s="6">
        <v>0.18021088446535222</v>
      </c>
      <c r="M3" s="6">
        <v>-6.4887053626999272E-2</v>
      </c>
      <c r="N3" s="6"/>
      <c r="O3" s="6">
        <v>2.7284874121742426</v>
      </c>
      <c r="P3" s="6">
        <v>-0.12583982794474713</v>
      </c>
      <c r="Q3" s="6"/>
      <c r="R3" s="6">
        <v>-0.22706888087790905</v>
      </c>
      <c r="S3" s="6">
        <v>-6.4887053626999272E-2</v>
      </c>
      <c r="T3" s="6"/>
    </row>
    <row r="4" spans="1:20" x14ac:dyDescent="0.35">
      <c r="A4" s="6">
        <v>0.6619450513814652</v>
      </c>
      <c r="B4" s="6"/>
      <c r="C4" s="6">
        <v>3.8229695554340988</v>
      </c>
      <c r="D4" s="6">
        <v>-0.161209550809156</v>
      </c>
      <c r="E4" s="6"/>
      <c r="F4" s="6">
        <v>-1.5024914384360908</v>
      </c>
      <c r="G4" s="6">
        <v>8.6740470147707582E-2</v>
      </c>
      <c r="H4" s="6"/>
      <c r="I4" s="6">
        <v>-4.1238319066096993</v>
      </c>
      <c r="J4" s="6">
        <v>4.763791875086322E-2</v>
      </c>
      <c r="K4" s="6"/>
      <c r="L4" s="6">
        <v>0.16884822672341609</v>
      </c>
      <c r="M4" s="6">
        <v>-6.3601787123879414E-2</v>
      </c>
      <c r="N4" s="6"/>
      <c r="O4" s="6">
        <v>2.753655377763192</v>
      </c>
      <c r="P4" s="6">
        <v>-0.1244868624073743</v>
      </c>
      <c r="Q4" s="6"/>
      <c r="R4" s="6">
        <v>-0.21736370181555417</v>
      </c>
      <c r="S4" s="6">
        <v>-6.3601787123879414E-2</v>
      </c>
      <c r="T4" s="6"/>
    </row>
    <row r="5" spans="1:20" x14ac:dyDescent="0.35">
      <c r="A5" s="6">
        <v>0.65161968510730139</v>
      </c>
      <c r="B5" s="6"/>
      <c r="C5" s="6">
        <v>3.854639909669868</v>
      </c>
      <c r="D5" s="6">
        <v>-0.15999763723852051</v>
      </c>
      <c r="E5" s="6"/>
      <c r="F5" s="6">
        <v>-1.5233385785778193</v>
      </c>
      <c r="G5" s="6">
        <v>8.4275427502265715E-2</v>
      </c>
      <c r="H5" s="6"/>
      <c r="I5" s="6">
        <v>-4.134162963460942</v>
      </c>
      <c r="J5" s="6">
        <v>4.7642155523229361E-2</v>
      </c>
      <c r="K5" s="6"/>
      <c r="L5" s="6">
        <v>0.15751577394627136</v>
      </c>
      <c r="M5" s="6">
        <v>-6.2167093398174278E-2</v>
      </c>
      <c r="N5" s="6"/>
      <c r="O5" s="6">
        <v>2.7785527502446667</v>
      </c>
      <c r="P5" s="6">
        <v>-0.12304558190143675</v>
      </c>
      <c r="Q5" s="6"/>
      <c r="R5" s="6">
        <v>-0.2078950906672562</v>
      </c>
      <c r="S5" s="6">
        <v>-6.2167093398174278E-2</v>
      </c>
      <c r="T5" s="6"/>
    </row>
    <row r="6" spans="1:20" x14ac:dyDescent="0.35">
      <c r="A6" s="6">
        <v>0.64155150706052855</v>
      </c>
      <c r="B6" s="6"/>
      <c r="C6" s="6">
        <v>3.88607449816607</v>
      </c>
      <c r="D6" s="6">
        <v>-0.15869571893841525</v>
      </c>
      <c r="E6" s="6"/>
      <c r="F6" s="6">
        <v>-1.5436098953200061</v>
      </c>
      <c r="G6" s="6">
        <v>8.2101437568301086E-2</v>
      </c>
      <c r="H6" s="6"/>
      <c r="I6" s="6">
        <v>-4.1444895837289364</v>
      </c>
      <c r="J6" s="6">
        <v>4.7665796361891936E-2</v>
      </c>
      <c r="K6" s="6"/>
      <c r="L6" s="6">
        <v>0.1462057183195167</v>
      </c>
      <c r="M6" s="6">
        <v>-6.0678387539464307E-2</v>
      </c>
      <c r="N6" s="6"/>
      <c r="O6" s="6">
        <v>2.8031618666249543</v>
      </c>
      <c r="P6" s="6">
        <v>-0.1215716412807773</v>
      </c>
      <c r="Q6" s="6"/>
      <c r="R6" s="6">
        <v>-0.19868768953461763</v>
      </c>
      <c r="S6" s="6">
        <v>-6.0678387539464307E-2</v>
      </c>
      <c r="T6" s="6"/>
    </row>
    <row r="7" spans="1:20" x14ac:dyDescent="0.35">
      <c r="A7" s="6">
        <v>0.63173283905155353</v>
      </c>
      <c r="B7" s="6"/>
      <c r="C7" s="6">
        <v>3.9172559876862603</v>
      </c>
      <c r="D7" s="6">
        <v>-0.1573378462379435</v>
      </c>
      <c r="E7" s="6"/>
      <c r="F7" s="6">
        <v>-1.5633595932194952</v>
      </c>
      <c r="G7" s="6">
        <v>8.013821360319183E-2</v>
      </c>
      <c r="H7" s="6"/>
      <c r="I7" s="6">
        <v>-4.1548151498671526</v>
      </c>
      <c r="J7" s="6">
        <v>4.7686381634019184E-2</v>
      </c>
      <c r="K7" s="6"/>
      <c r="L7" s="6">
        <v>0.13491613517150031</v>
      </c>
      <c r="M7" s="6">
        <v>-5.9192045301295224E-2</v>
      </c>
      <c r="N7" s="6"/>
      <c r="O7" s="6">
        <v>2.8274761948811098</v>
      </c>
      <c r="P7" s="6">
        <v>-0.12009809100168681</v>
      </c>
      <c r="Q7" s="6"/>
      <c r="R7" s="6">
        <v>-0.18974908058581497</v>
      </c>
      <c r="S7" s="6">
        <v>-5.9192045301295224E-2</v>
      </c>
      <c r="T7" s="6"/>
    </row>
    <row r="8" spans="1:20" x14ac:dyDescent="0.35">
      <c r="A8" s="6">
        <v>0.62215522109924182</v>
      </c>
      <c r="B8" s="6"/>
      <c r="C8" s="6">
        <v>3.948173510111725</v>
      </c>
      <c r="D8" s="6">
        <v>-0.15594572510171217</v>
      </c>
      <c r="E8" s="6"/>
      <c r="F8" s="6">
        <v>-1.5826289842036625</v>
      </c>
      <c r="G8" s="6">
        <v>7.8334362675401059E-2</v>
      </c>
      <c r="H8" s="6"/>
      <c r="I8" s="6">
        <v>-4.165138778396698</v>
      </c>
      <c r="J8" s="6">
        <v>4.7691340337318665E-2</v>
      </c>
      <c r="K8" s="6"/>
      <c r="L8" s="6">
        <v>0.1236484740525421</v>
      </c>
      <c r="M8" s="6">
        <v>-5.7740326661592734E-2</v>
      </c>
      <c r="N8" s="6"/>
      <c r="O8" s="6">
        <v>2.851495813081447</v>
      </c>
      <c r="P8" s="6">
        <v>-0.11864402144215944</v>
      </c>
      <c r="Q8" s="6"/>
      <c r="R8" s="6">
        <v>-0.18107684637344329</v>
      </c>
      <c r="S8" s="6">
        <v>-5.7740326661592734E-2</v>
      </c>
      <c r="T8" s="6"/>
    </row>
    <row r="9" spans="1:20" x14ac:dyDescent="0.3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</row>
    <row r="10" spans="1:20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0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</row>
    <row r="12" spans="1:20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</row>
    <row r="13" spans="1:20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</row>
    <row r="14" spans="1:20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</row>
    <row r="15" spans="1:20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</row>
    <row r="16" spans="1:20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</row>
    <row r="17" spans="1:20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</row>
    <row r="18" spans="1:20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</row>
    <row r="19" spans="1:20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</row>
    <row r="20" spans="1:20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</row>
    <row r="21" spans="1:20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</row>
    <row r="22" spans="1:20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</row>
    <row r="23" spans="1:20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</row>
    <row r="24" spans="1:20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</row>
    <row r="25" spans="1:20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</row>
    <row r="26" spans="1:20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</row>
    <row r="27" spans="1:20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</row>
    <row r="28" spans="1:20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</row>
    <row r="29" spans="1:20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</row>
    <row r="30" spans="1:20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</row>
    <row r="31" spans="1:20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</row>
    <row r="32" spans="1:20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</row>
    <row r="34" spans="1:20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</row>
    <row r="35" spans="1:20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</row>
    <row r="36" spans="1:20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</row>
    <row r="37" spans="1:20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</row>
    <row r="38" spans="1:20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</row>
    <row r="39" spans="1:20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</row>
    <row r="40" spans="1:20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</row>
    <row r="41" spans="1:20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</row>
    <row r="42" spans="1:20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</row>
    <row r="43" spans="1:20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</row>
    <row r="44" spans="1:20" x14ac:dyDescent="0.3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</row>
    <row r="45" spans="1:20" x14ac:dyDescent="0.3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</row>
    <row r="46" spans="1:20" x14ac:dyDescent="0.3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</row>
    <row r="47" spans="1:20" x14ac:dyDescent="0.3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</row>
    <row r="48" spans="1:20" x14ac:dyDescent="0.3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</row>
    <row r="49" spans="1:20" x14ac:dyDescent="0.3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</row>
    <row r="50" spans="1:20" x14ac:dyDescent="0.3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</row>
    <row r="51" spans="1:20" x14ac:dyDescent="0.3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</row>
    <row r="52" spans="1:20" x14ac:dyDescent="0.3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</row>
    <row r="53" spans="1:20" x14ac:dyDescent="0.3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</row>
    <row r="54" spans="1:20" x14ac:dyDescent="0.3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</row>
    <row r="55" spans="1:20" x14ac:dyDescent="0.3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</row>
    <row r="56" spans="1:20" x14ac:dyDescent="0.3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</row>
    <row r="57" spans="1:20" x14ac:dyDescent="0.3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</row>
    <row r="58" spans="1:20" x14ac:dyDescent="0.3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</row>
    <row r="59" spans="1:20" x14ac:dyDescent="0.3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</row>
    <row r="60" spans="1:20" x14ac:dyDescent="0.3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</row>
    <row r="61" spans="1:20" x14ac:dyDescent="0.3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</row>
    <row r="62" spans="1:20" x14ac:dyDescent="0.3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</row>
    <row r="63" spans="1:20" x14ac:dyDescent="0.3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</row>
    <row r="64" spans="1:20" x14ac:dyDescent="0.3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</row>
    <row r="65" spans="1:20" x14ac:dyDescent="0.3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</row>
    <row r="66" spans="1:20" x14ac:dyDescent="0.3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</row>
    <row r="67" spans="1:20" x14ac:dyDescent="0.3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</row>
    <row r="68" spans="1:20" x14ac:dyDescent="0.3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</row>
    <row r="69" spans="1:20" x14ac:dyDescent="0.3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</row>
    <row r="70" spans="1:20" x14ac:dyDescent="0.3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</row>
    <row r="71" spans="1:20" x14ac:dyDescent="0.3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</row>
    <row r="72" spans="1:20" x14ac:dyDescent="0.3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</row>
    <row r="73" spans="1:20" x14ac:dyDescent="0.3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</row>
    <row r="74" spans="1:20" x14ac:dyDescent="0.3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</row>
    <row r="75" spans="1:20" x14ac:dyDescent="0.3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1:20" x14ac:dyDescent="0.3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</row>
    <row r="77" spans="1:20" x14ac:dyDescent="0.3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</row>
    <row r="78" spans="1:20" x14ac:dyDescent="0.3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</row>
    <row r="79" spans="1:20" x14ac:dyDescent="0.3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</row>
    <row r="80" spans="1:20" x14ac:dyDescent="0.3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</row>
    <row r="81" spans="1:20" x14ac:dyDescent="0.3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</row>
    <row r="82" spans="1:20" x14ac:dyDescent="0.3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</row>
    <row r="83" spans="1:20" x14ac:dyDescent="0.3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</row>
    <row r="84" spans="1:20" x14ac:dyDescent="0.3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</row>
    <row r="85" spans="1:20" x14ac:dyDescent="0.3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</row>
    <row r="86" spans="1:20" x14ac:dyDescent="0.3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</row>
    <row r="87" spans="1:20" x14ac:dyDescent="0.3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</row>
    <row r="88" spans="1:20" x14ac:dyDescent="0.3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</row>
    <row r="89" spans="1:20" x14ac:dyDescent="0.3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</row>
    <row r="90" spans="1:20" x14ac:dyDescent="0.3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</row>
    <row r="91" spans="1:20" x14ac:dyDescent="0.3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</row>
    <row r="92" spans="1:20" x14ac:dyDescent="0.3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</row>
    <row r="93" spans="1:20" x14ac:dyDescent="0.3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</row>
    <row r="94" spans="1:20" x14ac:dyDescent="0.3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</row>
    <row r="95" spans="1:20" x14ac:dyDescent="0.3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</row>
    <row r="96" spans="1:20" x14ac:dyDescent="0.3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</row>
    <row r="97" spans="1:20" x14ac:dyDescent="0.3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</row>
    <row r="98" spans="1:20" x14ac:dyDescent="0.3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</row>
    <row r="99" spans="1:20" x14ac:dyDescent="0.3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</row>
    <row r="100" spans="1:20" x14ac:dyDescent="0.3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</row>
    <row r="101" spans="1:20" x14ac:dyDescent="0.3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</row>
    <row r="102" spans="1:20" x14ac:dyDescent="0.3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</row>
    <row r="103" spans="1:20" x14ac:dyDescent="0.3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</row>
    <row r="104" spans="1:20" x14ac:dyDescent="0.3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</row>
    <row r="105" spans="1:20" x14ac:dyDescent="0.3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</row>
    <row r="106" spans="1:20" x14ac:dyDescent="0.3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</row>
    <row r="107" spans="1:20" x14ac:dyDescent="0.3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</row>
    <row r="108" spans="1:20" x14ac:dyDescent="0.3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</row>
    <row r="109" spans="1:20" x14ac:dyDescent="0.3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</row>
    <row r="110" spans="1:20" x14ac:dyDescent="0.3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</row>
    <row r="111" spans="1:20" x14ac:dyDescent="0.3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</row>
    <row r="112" spans="1:20" x14ac:dyDescent="0.3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</row>
    <row r="113" spans="1:20" x14ac:dyDescent="0.3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</row>
    <row r="114" spans="1:20" x14ac:dyDescent="0.3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</row>
    <row r="115" spans="1:20" x14ac:dyDescent="0.3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</row>
    <row r="116" spans="1:20" x14ac:dyDescent="0.3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</row>
    <row r="117" spans="1:20" x14ac:dyDescent="0.3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</row>
    <row r="118" spans="1:20" x14ac:dyDescent="0.3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</row>
    <row r="119" spans="1:20" x14ac:dyDescent="0.3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</row>
    <row r="120" spans="1:20" x14ac:dyDescent="0.3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</row>
    <row r="121" spans="1:20" x14ac:dyDescent="0.3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</row>
    <row r="122" spans="1:20" x14ac:dyDescent="0.3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</row>
    <row r="123" spans="1:20" x14ac:dyDescent="0.3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</row>
    <row r="124" spans="1:20" x14ac:dyDescent="0.3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</row>
    <row r="125" spans="1:20" x14ac:dyDescent="0.3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</row>
    <row r="126" spans="1:20" x14ac:dyDescent="0.3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</row>
    <row r="127" spans="1:20" x14ac:dyDescent="0.3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</row>
    <row r="128" spans="1:20" x14ac:dyDescent="0.3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</row>
    <row r="129" spans="1:20" x14ac:dyDescent="0.3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</row>
    <row r="130" spans="1:20" x14ac:dyDescent="0.3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</row>
    <row r="131" spans="1:20" x14ac:dyDescent="0.3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</row>
    <row r="132" spans="1:20" x14ac:dyDescent="0.3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</row>
    <row r="133" spans="1:20" x14ac:dyDescent="0.3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</row>
    <row r="134" spans="1:20" x14ac:dyDescent="0.3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</row>
    <row r="135" spans="1:20" x14ac:dyDescent="0.3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</row>
    <row r="136" spans="1:20" x14ac:dyDescent="0.3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</row>
    <row r="137" spans="1:20" x14ac:dyDescent="0.3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</row>
    <row r="138" spans="1:20" x14ac:dyDescent="0.3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</row>
    <row r="139" spans="1:20" x14ac:dyDescent="0.3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</row>
    <row r="140" spans="1:20" x14ac:dyDescent="0.3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</row>
    <row r="141" spans="1:20" x14ac:dyDescent="0.3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</row>
    <row r="142" spans="1:20" x14ac:dyDescent="0.3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</row>
    <row r="143" spans="1:20" x14ac:dyDescent="0.3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</row>
    <row r="144" spans="1:20" x14ac:dyDescent="0.3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</row>
    <row r="145" spans="1:20" x14ac:dyDescent="0.3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</row>
    <row r="146" spans="1:20" x14ac:dyDescent="0.3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</row>
    <row r="147" spans="1:20" x14ac:dyDescent="0.3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</row>
    <row r="148" spans="1:20" x14ac:dyDescent="0.3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</row>
    <row r="149" spans="1:20" x14ac:dyDescent="0.3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</row>
    <row r="150" spans="1:20" x14ac:dyDescent="0.3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</row>
    <row r="151" spans="1:20" x14ac:dyDescent="0.3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</row>
    <row r="152" spans="1:20" x14ac:dyDescent="0.3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</row>
    <row r="153" spans="1:20" x14ac:dyDescent="0.3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</row>
    <row r="154" spans="1:20" x14ac:dyDescent="0.3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</row>
    <row r="155" spans="1:20" x14ac:dyDescent="0.3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</row>
    <row r="156" spans="1:20" x14ac:dyDescent="0.3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</row>
    <row r="157" spans="1:20" x14ac:dyDescent="0.3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</row>
    <row r="158" spans="1:20" x14ac:dyDescent="0.3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</row>
    <row r="159" spans="1:20" x14ac:dyDescent="0.3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</row>
    <row r="160" spans="1:20" x14ac:dyDescent="0.3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</row>
    <row r="161" spans="1:20" x14ac:dyDescent="0.3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</row>
    <row r="162" spans="1:20" x14ac:dyDescent="0.3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</row>
    <row r="163" spans="1:20" x14ac:dyDescent="0.3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</row>
    <row r="164" spans="1:20" x14ac:dyDescent="0.3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</row>
    <row r="165" spans="1:20" x14ac:dyDescent="0.3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</row>
    <row r="166" spans="1:20" x14ac:dyDescent="0.3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</row>
    <row r="167" spans="1:20" x14ac:dyDescent="0.3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</row>
    <row r="168" spans="1:20" x14ac:dyDescent="0.3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</row>
    <row r="169" spans="1:20" x14ac:dyDescent="0.3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</row>
    <row r="170" spans="1:20" x14ac:dyDescent="0.3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</row>
    <row r="171" spans="1:20" x14ac:dyDescent="0.3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</row>
    <row r="172" spans="1:20" x14ac:dyDescent="0.3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</row>
    <row r="173" spans="1:20" x14ac:dyDescent="0.3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</row>
    <row r="174" spans="1:20" x14ac:dyDescent="0.3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</row>
    <row r="175" spans="1:20" x14ac:dyDescent="0.3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</row>
    <row r="176" spans="1:20" x14ac:dyDescent="0.3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</row>
    <row r="177" spans="1:20" x14ac:dyDescent="0.3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</row>
    <row r="178" spans="1:20" x14ac:dyDescent="0.3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</row>
    <row r="179" spans="1:20" x14ac:dyDescent="0.3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</row>
    <row r="180" spans="1:20" x14ac:dyDescent="0.3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</row>
    <row r="181" spans="1:20" x14ac:dyDescent="0.3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</row>
    <row r="182" spans="1:20" x14ac:dyDescent="0.3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</row>
    <row r="183" spans="1:20" x14ac:dyDescent="0.3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</row>
    <row r="184" spans="1:20" x14ac:dyDescent="0.3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</row>
    <row r="185" spans="1:20" x14ac:dyDescent="0.3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</row>
    <row r="186" spans="1:20" x14ac:dyDescent="0.3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</row>
    <row r="187" spans="1:20" x14ac:dyDescent="0.3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</row>
    <row r="188" spans="1:20" x14ac:dyDescent="0.3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</row>
    <row r="189" spans="1:20" x14ac:dyDescent="0.3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</row>
    <row r="190" spans="1:20" x14ac:dyDescent="0.3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</row>
    <row r="191" spans="1:20" x14ac:dyDescent="0.3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</row>
    <row r="192" spans="1:20" x14ac:dyDescent="0.3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</row>
    <row r="193" spans="1:20" x14ac:dyDescent="0.3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</row>
    <row r="194" spans="1:20" x14ac:dyDescent="0.3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</row>
    <row r="195" spans="1:20" x14ac:dyDescent="0.3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</row>
    <row r="196" spans="1:20" x14ac:dyDescent="0.3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</row>
    <row r="197" spans="1:20" x14ac:dyDescent="0.3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</row>
    <row r="198" spans="1:20" x14ac:dyDescent="0.3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</row>
    <row r="199" spans="1:20" x14ac:dyDescent="0.3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</row>
    <row r="200" spans="1:20" x14ac:dyDescent="0.3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</row>
    <row r="201" spans="1:20" x14ac:dyDescent="0.3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</row>
    <row r="202" spans="1:20" x14ac:dyDescent="0.3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</row>
    <row r="203" spans="1:20" x14ac:dyDescent="0.3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</row>
    <row r="204" spans="1:20" x14ac:dyDescent="0.3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</row>
    <row r="205" spans="1:20" x14ac:dyDescent="0.3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</row>
    <row r="206" spans="1:20" x14ac:dyDescent="0.3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</row>
    <row r="207" spans="1:20" x14ac:dyDescent="0.3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</row>
    <row r="208" spans="1:20" x14ac:dyDescent="0.3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</row>
    <row r="209" spans="1:20" x14ac:dyDescent="0.3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</row>
    <row r="210" spans="1:20" x14ac:dyDescent="0.3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</row>
    <row r="211" spans="1:20" x14ac:dyDescent="0.3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</row>
    <row r="212" spans="1:20" x14ac:dyDescent="0.3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</row>
    <row r="213" spans="1:20" x14ac:dyDescent="0.3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</row>
    <row r="214" spans="1:20" x14ac:dyDescent="0.3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</row>
    <row r="215" spans="1:20" x14ac:dyDescent="0.3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</row>
    <row r="216" spans="1:20" x14ac:dyDescent="0.3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</row>
    <row r="217" spans="1:20" x14ac:dyDescent="0.3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</row>
    <row r="218" spans="1:20" x14ac:dyDescent="0.3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</row>
  </sheetData>
  <mergeCells count="6">
    <mergeCell ref="R1:S1"/>
    <mergeCell ref="C1:D1"/>
    <mergeCell ref="F1:G1"/>
    <mergeCell ref="I1:J1"/>
    <mergeCell ref="L1:M1"/>
    <mergeCell ref="O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Haythornthwaite</dc:creator>
  <cp:lastModifiedBy>Matthew Haythornthwaite</cp:lastModifiedBy>
  <dcterms:created xsi:type="dcterms:W3CDTF">2021-02-28T18:00:16Z</dcterms:created>
  <dcterms:modified xsi:type="dcterms:W3CDTF">2021-03-15T21:11:27Z</dcterms:modified>
</cp:coreProperties>
</file>