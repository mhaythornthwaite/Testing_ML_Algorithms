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hayt\Documents\Software_Developer-Python\2_Machine_Learning_ZTM_Course\Testing_ML_Algorithms\"/>
    </mc:Choice>
  </mc:AlternateContent>
  <xr:revisionPtr revIDLastSave="0" documentId="13_ncr:1_{6E537650-B6D2-475E-AFE0-E7301F3A9B1A}" xr6:coauthVersionLast="46" xr6:coauthVersionMax="46" xr10:uidLastSave="{00000000-0000-0000-0000-000000000000}"/>
  <bookViews>
    <workbookView xWindow="-110" yWindow="-110" windowWidth="19420" windowHeight="10420" xr2:uid="{0902341D-AD10-4A63-AC83-5FCE75AC7723}"/>
  </bookViews>
  <sheets>
    <sheet name="Main Page" sheetId="1" r:id="rId1"/>
    <sheet name="Iteration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9" i="1" l="1"/>
  <c r="D100" i="1"/>
  <c r="D101" i="1"/>
  <c r="D102" i="1"/>
  <c r="D103" i="1"/>
  <c r="D98" i="1"/>
  <c r="B102" i="1"/>
  <c r="T189" i="1"/>
  <c r="T163" i="1" s="1"/>
  <c r="H189" i="1"/>
  <c r="H163" i="1" s="1"/>
  <c r="H137" i="1" s="1"/>
  <c r="H111" i="1" s="1"/>
  <c r="O189" i="1"/>
  <c r="O163" i="1" s="1"/>
  <c r="P189" i="1"/>
  <c r="P163" i="1" s="1"/>
  <c r="P137" i="1" s="1"/>
  <c r="P111" i="1" s="1"/>
  <c r="O190" i="1"/>
  <c r="O164" i="1" s="1"/>
  <c r="U190" i="1"/>
  <c r="U164" i="1" s="1"/>
  <c r="U138" i="1" s="1"/>
  <c r="U112" i="1" s="1"/>
  <c r="W190" i="1"/>
  <c r="W164" i="1" s="1"/>
  <c r="J191" i="1"/>
  <c r="J165" i="1" s="1"/>
  <c r="W191" i="1"/>
  <c r="W165" i="1" s="1"/>
  <c r="W139" i="1" s="1"/>
  <c r="W113" i="1" s="1"/>
  <c r="X191" i="1"/>
  <c r="X165" i="1" s="1"/>
  <c r="X139" i="1" s="1"/>
  <c r="X113" i="1" s="1"/>
  <c r="E192" i="1"/>
  <c r="E166" i="1" s="1"/>
  <c r="R192" i="1"/>
  <c r="R166" i="1" s="1"/>
  <c r="R140" i="1" s="1"/>
  <c r="R114" i="1" s="1"/>
  <c r="S192" i="1"/>
  <c r="S166" i="1" s="1"/>
  <c r="S140" i="1" s="1"/>
  <c r="S114" i="1" s="1"/>
  <c r="F193" i="1"/>
  <c r="F167" i="1" s="1"/>
  <c r="F141" i="1" s="1"/>
  <c r="F115" i="1" s="1"/>
  <c r="H193" i="1"/>
  <c r="H167" i="1" s="1"/>
  <c r="M193" i="1"/>
  <c r="M167" i="1" s="1"/>
  <c r="M141" i="1" s="1"/>
  <c r="M115" i="1" s="1"/>
  <c r="U193" i="1"/>
  <c r="U167" i="1" s="1"/>
  <c r="U141" i="1" s="1"/>
  <c r="U115" i="1" s="1"/>
  <c r="V193" i="1"/>
  <c r="V167" i="1" s="1"/>
  <c r="V141" i="1" s="1"/>
  <c r="V115" i="1" s="1"/>
  <c r="H194" i="1"/>
  <c r="H168" i="1" s="1"/>
  <c r="H142" i="1" s="1"/>
  <c r="H116" i="1" s="1"/>
  <c r="I194" i="1"/>
  <c r="I168" i="1" s="1"/>
  <c r="I142" i="1" s="1"/>
  <c r="I116" i="1" s="1"/>
  <c r="K194" i="1"/>
  <c r="K168" i="1" s="1"/>
  <c r="S194" i="1"/>
  <c r="S168" i="1" s="1"/>
  <c r="S142" i="1" s="1"/>
  <c r="S116" i="1" s="1"/>
  <c r="X194" i="1"/>
  <c r="X168" i="1" s="1"/>
  <c r="X142" i="1" s="1"/>
  <c r="X116" i="1" s="1"/>
  <c r="F195" i="1"/>
  <c r="F169" i="1" s="1"/>
  <c r="F143" i="1" s="1"/>
  <c r="F117" i="1" s="1"/>
  <c r="K195" i="1"/>
  <c r="K169" i="1" s="1"/>
  <c r="K143" i="1" s="1"/>
  <c r="K117" i="1" s="1"/>
  <c r="L195" i="1"/>
  <c r="L169" i="1" s="1"/>
  <c r="L143" i="1" s="1"/>
  <c r="L117" i="1" s="1"/>
  <c r="S195" i="1"/>
  <c r="S169" i="1" s="1"/>
  <c r="S143" i="1" s="1"/>
  <c r="S117" i="1" s="1"/>
  <c r="T195" i="1"/>
  <c r="T169" i="1" s="1"/>
  <c r="T143" i="1" s="1"/>
  <c r="T117" i="1" s="1"/>
  <c r="E196" i="1"/>
  <c r="E170" i="1" s="1"/>
  <c r="E144" i="1" s="1"/>
  <c r="E118" i="1" s="1"/>
  <c r="F196" i="1"/>
  <c r="F170" i="1" s="1"/>
  <c r="F144" i="1" s="1"/>
  <c r="F118" i="1" s="1"/>
  <c r="I196" i="1"/>
  <c r="I170" i="1" s="1"/>
  <c r="I144" i="1" s="1"/>
  <c r="I118" i="1" s="1"/>
  <c r="O196" i="1"/>
  <c r="O170" i="1" s="1"/>
  <c r="O144" i="1" s="1"/>
  <c r="O118" i="1" s="1"/>
  <c r="Q196" i="1"/>
  <c r="Q170" i="1" s="1"/>
  <c r="Q144" i="1" s="1"/>
  <c r="Q118" i="1" s="1"/>
  <c r="V196" i="1"/>
  <c r="V170" i="1" s="1"/>
  <c r="V144" i="1" s="1"/>
  <c r="V118" i="1" s="1"/>
  <c r="W196" i="1"/>
  <c r="W170" i="1" s="1"/>
  <c r="W144" i="1" s="1"/>
  <c r="W118" i="1" s="1"/>
  <c r="D197" i="1"/>
  <c r="D171" i="1" s="1"/>
  <c r="D145" i="1" s="1"/>
  <c r="D119" i="1" s="1"/>
  <c r="J197" i="1"/>
  <c r="J171" i="1" s="1"/>
  <c r="J145" i="1" s="1"/>
  <c r="J119" i="1" s="1"/>
  <c r="M197" i="1"/>
  <c r="M171" i="1" s="1"/>
  <c r="M145" i="1" s="1"/>
  <c r="M119" i="1" s="1"/>
  <c r="Q197" i="1"/>
  <c r="Q171" i="1" s="1"/>
  <c r="Q145" i="1" s="1"/>
  <c r="Q119" i="1" s="1"/>
  <c r="T197" i="1"/>
  <c r="T171" i="1" s="1"/>
  <c r="T145" i="1" s="1"/>
  <c r="T119" i="1" s="1"/>
  <c r="U197" i="1"/>
  <c r="U171" i="1" s="1"/>
  <c r="U145" i="1" s="1"/>
  <c r="U119" i="1" s="1"/>
  <c r="G198" i="1"/>
  <c r="G172" i="1" s="1"/>
  <c r="G146" i="1" s="1"/>
  <c r="G120" i="1" s="1"/>
  <c r="H198" i="1"/>
  <c r="H172" i="1" s="1"/>
  <c r="H146" i="1" s="1"/>
  <c r="H120" i="1" s="1"/>
  <c r="M198" i="1"/>
  <c r="M172" i="1" s="1"/>
  <c r="M146" i="1" s="1"/>
  <c r="M120" i="1" s="1"/>
  <c r="O198" i="1"/>
  <c r="O172" i="1" s="1"/>
  <c r="O146" i="1" s="1"/>
  <c r="O120" i="1" s="1"/>
  <c r="S198" i="1"/>
  <c r="S172" i="1" s="1"/>
  <c r="S146" i="1" s="1"/>
  <c r="S120" i="1" s="1"/>
  <c r="X198" i="1"/>
  <c r="X172" i="1" s="1"/>
  <c r="X146" i="1" s="1"/>
  <c r="X120" i="1" s="1"/>
  <c r="F199" i="1"/>
  <c r="F173" i="1" s="1"/>
  <c r="F147" i="1" s="1"/>
  <c r="F121" i="1" s="1"/>
  <c r="J199" i="1"/>
  <c r="J173" i="1" s="1"/>
  <c r="J147" i="1" s="1"/>
  <c r="J121" i="1" s="1"/>
  <c r="K199" i="1"/>
  <c r="K173" i="1" s="1"/>
  <c r="K147" i="1" s="1"/>
  <c r="K121" i="1" s="1"/>
  <c r="N199" i="1"/>
  <c r="N173" i="1" s="1"/>
  <c r="N147" i="1" s="1"/>
  <c r="N121" i="1" s="1"/>
  <c r="S199" i="1"/>
  <c r="S173" i="1" s="1"/>
  <c r="S147" i="1" s="1"/>
  <c r="S121" i="1" s="1"/>
  <c r="W199" i="1"/>
  <c r="W173" i="1" s="1"/>
  <c r="W147" i="1" s="1"/>
  <c r="W121" i="1" s="1"/>
  <c r="E200" i="1"/>
  <c r="E174" i="1" s="1"/>
  <c r="E148" i="1" s="1"/>
  <c r="E122" i="1" s="1"/>
  <c r="I200" i="1"/>
  <c r="I174" i="1" s="1"/>
  <c r="I148" i="1" s="1"/>
  <c r="I122" i="1" s="1"/>
  <c r="J200" i="1"/>
  <c r="J174" i="1" s="1"/>
  <c r="J148" i="1" s="1"/>
  <c r="J122" i="1" s="1"/>
  <c r="Q200" i="1"/>
  <c r="Q174" i="1" s="1"/>
  <c r="Q148" i="1" s="1"/>
  <c r="Q122" i="1" s="1"/>
  <c r="R200" i="1"/>
  <c r="R174" i="1" s="1"/>
  <c r="R148" i="1" s="1"/>
  <c r="R122" i="1" s="1"/>
  <c r="U200" i="1"/>
  <c r="U174" i="1" s="1"/>
  <c r="U148" i="1" s="1"/>
  <c r="U122" i="1" s="1"/>
  <c r="V200" i="1"/>
  <c r="V174" i="1" s="1"/>
  <c r="V148" i="1" s="1"/>
  <c r="V122" i="1" s="1"/>
  <c r="X200" i="1"/>
  <c r="X174" i="1" s="1"/>
  <c r="X148" i="1" s="1"/>
  <c r="X122" i="1" s="1"/>
  <c r="G201" i="1"/>
  <c r="G175" i="1" s="1"/>
  <c r="G149" i="1" s="1"/>
  <c r="G123" i="1" s="1"/>
  <c r="H201" i="1"/>
  <c r="H175" i="1" s="1"/>
  <c r="H149" i="1" s="1"/>
  <c r="H123" i="1" s="1"/>
  <c r="K201" i="1"/>
  <c r="K175" i="1" s="1"/>
  <c r="K149" i="1" s="1"/>
  <c r="K123" i="1" s="1"/>
  <c r="L201" i="1"/>
  <c r="L175" i="1" s="1"/>
  <c r="L149" i="1" s="1"/>
  <c r="L123" i="1" s="1"/>
  <c r="M201" i="1"/>
  <c r="M175" i="1" s="1"/>
  <c r="M149" i="1" s="1"/>
  <c r="M123" i="1" s="1"/>
  <c r="Q201" i="1"/>
  <c r="Q175" i="1" s="1"/>
  <c r="Q149" i="1" s="1"/>
  <c r="Q123" i="1" s="1"/>
  <c r="S201" i="1"/>
  <c r="S175" i="1" s="1"/>
  <c r="S149" i="1" s="1"/>
  <c r="S123" i="1" s="1"/>
  <c r="T201" i="1"/>
  <c r="T175" i="1" s="1"/>
  <c r="T149" i="1" s="1"/>
  <c r="T123" i="1" s="1"/>
  <c r="U201" i="1"/>
  <c r="U175" i="1" s="1"/>
  <c r="U149" i="1" s="1"/>
  <c r="U123" i="1" s="1"/>
  <c r="W201" i="1"/>
  <c r="W175" i="1" s="1"/>
  <c r="W149" i="1" s="1"/>
  <c r="W123" i="1" s="1"/>
  <c r="X201" i="1"/>
  <c r="X175" i="1" s="1"/>
  <c r="X149" i="1" s="1"/>
  <c r="X123" i="1" s="1"/>
  <c r="G202" i="1"/>
  <c r="G176" i="1" s="1"/>
  <c r="G150" i="1" s="1"/>
  <c r="G124" i="1" s="1"/>
  <c r="H202" i="1"/>
  <c r="H176" i="1" s="1"/>
  <c r="H150" i="1" s="1"/>
  <c r="H124" i="1" s="1"/>
  <c r="J202" i="1"/>
  <c r="J176" i="1" s="1"/>
  <c r="J150" i="1" s="1"/>
  <c r="J124" i="1" s="1"/>
  <c r="K202" i="1"/>
  <c r="K176" i="1" s="1"/>
  <c r="K150" i="1" s="1"/>
  <c r="K124" i="1" s="1"/>
  <c r="L202" i="1"/>
  <c r="L176" i="1" s="1"/>
  <c r="L150" i="1" s="1"/>
  <c r="L124" i="1" s="1"/>
  <c r="N202" i="1"/>
  <c r="N176" i="1" s="1"/>
  <c r="N150" i="1" s="1"/>
  <c r="N124" i="1" s="1"/>
  <c r="R202" i="1"/>
  <c r="R176" i="1" s="1"/>
  <c r="R150" i="1" s="1"/>
  <c r="R124" i="1" s="1"/>
  <c r="S202" i="1"/>
  <c r="S176" i="1" s="1"/>
  <c r="S150" i="1" s="1"/>
  <c r="S124" i="1" s="1"/>
  <c r="T202" i="1"/>
  <c r="T176" i="1" s="1"/>
  <c r="T150" i="1" s="1"/>
  <c r="T124" i="1" s="1"/>
  <c r="V202" i="1"/>
  <c r="V176" i="1" s="1"/>
  <c r="V150" i="1" s="1"/>
  <c r="V124" i="1" s="1"/>
  <c r="W202" i="1"/>
  <c r="W176" i="1" s="1"/>
  <c r="W150" i="1" s="1"/>
  <c r="W124" i="1" s="1"/>
  <c r="X202" i="1"/>
  <c r="X176" i="1" s="1"/>
  <c r="X150" i="1" s="1"/>
  <c r="X124" i="1" s="1"/>
  <c r="G203" i="1"/>
  <c r="G177" i="1" s="1"/>
  <c r="G151" i="1" s="1"/>
  <c r="G125" i="1" s="1"/>
  <c r="I203" i="1"/>
  <c r="I177" i="1" s="1"/>
  <c r="I151" i="1" s="1"/>
  <c r="I125" i="1" s="1"/>
  <c r="J203" i="1"/>
  <c r="J177" i="1" s="1"/>
  <c r="J151" i="1" s="1"/>
  <c r="J125" i="1" s="1"/>
  <c r="K203" i="1"/>
  <c r="K177" i="1" s="1"/>
  <c r="K151" i="1" s="1"/>
  <c r="K125" i="1" s="1"/>
  <c r="M203" i="1"/>
  <c r="M177" i="1" s="1"/>
  <c r="M151" i="1" s="1"/>
  <c r="M125" i="1" s="1"/>
  <c r="N203" i="1"/>
  <c r="N177" i="1" s="1"/>
  <c r="N151" i="1" s="1"/>
  <c r="N125" i="1" s="1"/>
  <c r="Q203" i="1"/>
  <c r="Q177" i="1" s="1"/>
  <c r="Q151" i="1" s="1"/>
  <c r="Q125" i="1" s="1"/>
  <c r="R203" i="1"/>
  <c r="R177" i="1" s="1"/>
  <c r="R151" i="1" s="1"/>
  <c r="R125" i="1" s="1"/>
  <c r="S203" i="1"/>
  <c r="S177" i="1" s="1"/>
  <c r="S151" i="1" s="1"/>
  <c r="S125" i="1" s="1"/>
  <c r="U203" i="1"/>
  <c r="U177" i="1" s="1"/>
  <c r="U151" i="1" s="1"/>
  <c r="U125" i="1" s="1"/>
  <c r="V203" i="1"/>
  <c r="V177" i="1" s="1"/>
  <c r="V151" i="1" s="1"/>
  <c r="V125" i="1" s="1"/>
  <c r="W203" i="1"/>
  <c r="W177" i="1" s="1"/>
  <c r="W151" i="1" s="1"/>
  <c r="W125" i="1" s="1"/>
  <c r="D204" i="1"/>
  <c r="D178" i="1" s="1"/>
  <c r="D152" i="1" s="1"/>
  <c r="D126" i="1" s="1"/>
  <c r="F204" i="1"/>
  <c r="F178" i="1" s="1"/>
  <c r="F152" i="1" s="1"/>
  <c r="F126" i="1" s="1"/>
  <c r="H204" i="1"/>
  <c r="H178" i="1" s="1"/>
  <c r="H152" i="1" s="1"/>
  <c r="H126" i="1" s="1"/>
  <c r="I204" i="1"/>
  <c r="I178" i="1" s="1"/>
  <c r="I152" i="1" s="1"/>
  <c r="I126" i="1" s="1"/>
  <c r="J204" i="1"/>
  <c r="J178" i="1" s="1"/>
  <c r="J152" i="1" s="1"/>
  <c r="J126" i="1" s="1"/>
  <c r="L204" i="1"/>
  <c r="L178" i="1" s="1"/>
  <c r="L152" i="1" s="1"/>
  <c r="L126" i="1" s="1"/>
  <c r="M204" i="1"/>
  <c r="M178" i="1" s="1"/>
  <c r="M152" i="1" s="1"/>
  <c r="M126" i="1" s="1"/>
  <c r="N204" i="1"/>
  <c r="N178" i="1" s="1"/>
  <c r="N152" i="1" s="1"/>
  <c r="N126" i="1" s="1"/>
  <c r="P204" i="1"/>
  <c r="P178" i="1" s="1"/>
  <c r="P152" i="1" s="1"/>
  <c r="P126" i="1" s="1"/>
  <c r="Q204" i="1"/>
  <c r="Q178" i="1" s="1"/>
  <c r="Q152" i="1" s="1"/>
  <c r="Q126" i="1" s="1"/>
  <c r="R204" i="1"/>
  <c r="R178" i="1" s="1"/>
  <c r="R152" i="1" s="1"/>
  <c r="R126" i="1" s="1"/>
  <c r="T204" i="1"/>
  <c r="T178" i="1" s="1"/>
  <c r="T152" i="1" s="1"/>
  <c r="T126" i="1" s="1"/>
  <c r="U204" i="1"/>
  <c r="U178" i="1" s="1"/>
  <c r="U152" i="1" s="1"/>
  <c r="U126" i="1" s="1"/>
  <c r="V204" i="1"/>
  <c r="V178" i="1" s="1"/>
  <c r="V152" i="1" s="1"/>
  <c r="V126" i="1" s="1"/>
  <c r="X204" i="1"/>
  <c r="X178" i="1" s="1"/>
  <c r="X152" i="1" s="1"/>
  <c r="X126" i="1" s="1"/>
  <c r="D205" i="1"/>
  <c r="D179" i="1" s="1"/>
  <c r="D153" i="1" s="1"/>
  <c r="D127" i="1" s="1"/>
  <c r="E205" i="1"/>
  <c r="E179" i="1" s="1"/>
  <c r="E153" i="1" s="1"/>
  <c r="E127" i="1" s="1"/>
  <c r="G205" i="1"/>
  <c r="G179" i="1" s="1"/>
  <c r="G153" i="1" s="1"/>
  <c r="G127" i="1" s="1"/>
  <c r="H205" i="1"/>
  <c r="H179" i="1" s="1"/>
  <c r="H153" i="1" s="1"/>
  <c r="H127" i="1" s="1"/>
  <c r="I205" i="1"/>
  <c r="I179" i="1" s="1"/>
  <c r="I153" i="1" s="1"/>
  <c r="I127" i="1" s="1"/>
  <c r="K205" i="1"/>
  <c r="K179" i="1" s="1"/>
  <c r="K153" i="1" s="1"/>
  <c r="K127" i="1" s="1"/>
  <c r="L205" i="1"/>
  <c r="L179" i="1" s="1"/>
  <c r="L153" i="1" s="1"/>
  <c r="L127" i="1" s="1"/>
  <c r="M205" i="1"/>
  <c r="M179" i="1" s="1"/>
  <c r="M153" i="1" s="1"/>
  <c r="M127" i="1" s="1"/>
  <c r="O205" i="1"/>
  <c r="O179" i="1" s="1"/>
  <c r="O153" i="1" s="1"/>
  <c r="O127" i="1" s="1"/>
  <c r="P205" i="1"/>
  <c r="P179" i="1" s="1"/>
  <c r="P153" i="1" s="1"/>
  <c r="P127" i="1" s="1"/>
  <c r="Q205" i="1"/>
  <c r="Q179" i="1" s="1"/>
  <c r="Q153" i="1" s="1"/>
  <c r="Q127" i="1" s="1"/>
  <c r="S205" i="1"/>
  <c r="S179" i="1" s="1"/>
  <c r="S153" i="1" s="1"/>
  <c r="S127" i="1" s="1"/>
  <c r="T205" i="1"/>
  <c r="T179" i="1" s="1"/>
  <c r="T153" i="1" s="1"/>
  <c r="T127" i="1" s="1"/>
  <c r="U205" i="1"/>
  <c r="U179" i="1" s="1"/>
  <c r="U153" i="1" s="1"/>
  <c r="U127" i="1" s="1"/>
  <c r="W205" i="1"/>
  <c r="W179" i="1" s="1"/>
  <c r="W153" i="1" s="1"/>
  <c r="W127" i="1" s="1"/>
  <c r="X205" i="1"/>
  <c r="X179" i="1" s="1"/>
  <c r="X153" i="1" s="1"/>
  <c r="X127" i="1" s="1"/>
  <c r="D206" i="1"/>
  <c r="D180" i="1" s="1"/>
  <c r="D154" i="1" s="1"/>
  <c r="D128" i="1" s="1"/>
  <c r="F206" i="1"/>
  <c r="F180" i="1" s="1"/>
  <c r="F154" i="1" s="1"/>
  <c r="F128" i="1" s="1"/>
  <c r="G206" i="1"/>
  <c r="G180" i="1" s="1"/>
  <c r="G154" i="1" s="1"/>
  <c r="G128" i="1" s="1"/>
  <c r="H206" i="1"/>
  <c r="H180" i="1" s="1"/>
  <c r="H154" i="1" s="1"/>
  <c r="H128" i="1" s="1"/>
  <c r="J206" i="1"/>
  <c r="J180" i="1" s="1"/>
  <c r="J154" i="1" s="1"/>
  <c r="J128" i="1" s="1"/>
  <c r="K206" i="1"/>
  <c r="K180" i="1" s="1"/>
  <c r="K154" i="1" s="1"/>
  <c r="K128" i="1" s="1"/>
  <c r="L206" i="1"/>
  <c r="L180" i="1" s="1"/>
  <c r="L154" i="1" s="1"/>
  <c r="L128" i="1" s="1"/>
  <c r="M206" i="1"/>
  <c r="M180" i="1" s="1"/>
  <c r="M154" i="1" s="1"/>
  <c r="M128" i="1" s="1"/>
  <c r="N206" i="1"/>
  <c r="N180" i="1" s="1"/>
  <c r="N154" i="1" s="1"/>
  <c r="N128" i="1" s="1"/>
  <c r="O206" i="1"/>
  <c r="O180" i="1" s="1"/>
  <c r="O154" i="1" s="1"/>
  <c r="O128" i="1" s="1"/>
  <c r="P206" i="1"/>
  <c r="P180" i="1" s="1"/>
  <c r="P154" i="1" s="1"/>
  <c r="P128" i="1" s="1"/>
  <c r="Q206" i="1"/>
  <c r="Q180" i="1" s="1"/>
  <c r="Q154" i="1" s="1"/>
  <c r="Q128" i="1" s="1"/>
  <c r="R206" i="1"/>
  <c r="R180" i="1" s="1"/>
  <c r="R154" i="1" s="1"/>
  <c r="R128" i="1" s="1"/>
  <c r="S206" i="1"/>
  <c r="S180" i="1" s="1"/>
  <c r="S154" i="1" s="1"/>
  <c r="S128" i="1" s="1"/>
  <c r="T206" i="1"/>
  <c r="T180" i="1" s="1"/>
  <c r="T154" i="1" s="1"/>
  <c r="T128" i="1" s="1"/>
  <c r="U206" i="1"/>
  <c r="U180" i="1" s="1"/>
  <c r="U154" i="1" s="1"/>
  <c r="U128" i="1" s="1"/>
  <c r="V206" i="1"/>
  <c r="V180" i="1" s="1"/>
  <c r="V154" i="1" s="1"/>
  <c r="V128" i="1" s="1"/>
  <c r="W206" i="1"/>
  <c r="W180" i="1" s="1"/>
  <c r="W154" i="1" s="1"/>
  <c r="W128" i="1" s="1"/>
  <c r="X206" i="1"/>
  <c r="X180" i="1" s="1"/>
  <c r="X154" i="1" s="1"/>
  <c r="X128" i="1" s="1"/>
  <c r="D207" i="1"/>
  <c r="D181" i="1" s="1"/>
  <c r="D155" i="1" s="1"/>
  <c r="D129" i="1" s="1"/>
  <c r="E207" i="1"/>
  <c r="E181" i="1" s="1"/>
  <c r="E155" i="1" s="1"/>
  <c r="E129" i="1" s="1"/>
  <c r="F207" i="1"/>
  <c r="F181" i="1" s="1"/>
  <c r="F155" i="1" s="1"/>
  <c r="F129" i="1" s="1"/>
  <c r="G207" i="1"/>
  <c r="G181" i="1" s="1"/>
  <c r="G155" i="1" s="1"/>
  <c r="G129" i="1" s="1"/>
  <c r="H207" i="1"/>
  <c r="H181" i="1" s="1"/>
  <c r="H155" i="1" s="1"/>
  <c r="H129" i="1" s="1"/>
  <c r="I207" i="1"/>
  <c r="I181" i="1" s="1"/>
  <c r="I155" i="1" s="1"/>
  <c r="I129" i="1" s="1"/>
  <c r="J207" i="1"/>
  <c r="J181" i="1" s="1"/>
  <c r="J155" i="1" s="1"/>
  <c r="J129" i="1" s="1"/>
  <c r="K207" i="1"/>
  <c r="K181" i="1" s="1"/>
  <c r="K155" i="1" s="1"/>
  <c r="K129" i="1" s="1"/>
  <c r="L207" i="1"/>
  <c r="L181" i="1" s="1"/>
  <c r="L155" i="1" s="1"/>
  <c r="L129" i="1" s="1"/>
  <c r="M207" i="1"/>
  <c r="M181" i="1" s="1"/>
  <c r="M155" i="1" s="1"/>
  <c r="M129" i="1" s="1"/>
  <c r="N207" i="1"/>
  <c r="N181" i="1" s="1"/>
  <c r="N155" i="1" s="1"/>
  <c r="N129" i="1" s="1"/>
  <c r="O207" i="1"/>
  <c r="O181" i="1" s="1"/>
  <c r="O155" i="1" s="1"/>
  <c r="O129" i="1" s="1"/>
  <c r="P207" i="1"/>
  <c r="P181" i="1" s="1"/>
  <c r="P155" i="1" s="1"/>
  <c r="P129" i="1" s="1"/>
  <c r="Q207" i="1"/>
  <c r="Q181" i="1" s="1"/>
  <c r="Q155" i="1" s="1"/>
  <c r="Q129" i="1" s="1"/>
  <c r="R207" i="1"/>
  <c r="R181" i="1" s="1"/>
  <c r="R155" i="1" s="1"/>
  <c r="R129" i="1" s="1"/>
  <c r="S207" i="1"/>
  <c r="S181" i="1" s="1"/>
  <c r="S155" i="1" s="1"/>
  <c r="S129" i="1" s="1"/>
  <c r="T207" i="1"/>
  <c r="T181" i="1" s="1"/>
  <c r="T155" i="1" s="1"/>
  <c r="T129" i="1" s="1"/>
  <c r="U207" i="1"/>
  <c r="U181" i="1" s="1"/>
  <c r="U155" i="1" s="1"/>
  <c r="U129" i="1" s="1"/>
  <c r="V207" i="1"/>
  <c r="V181" i="1" s="1"/>
  <c r="V155" i="1" s="1"/>
  <c r="V129" i="1" s="1"/>
  <c r="W207" i="1"/>
  <c r="W181" i="1" s="1"/>
  <c r="W155" i="1" s="1"/>
  <c r="W129" i="1" s="1"/>
  <c r="X207" i="1"/>
  <c r="X181" i="1" s="1"/>
  <c r="X155" i="1" s="1"/>
  <c r="X129" i="1" s="1"/>
  <c r="J188" i="1"/>
  <c r="J162" i="1" s="1"/>
  <c r="J136" i="1" s="1"/>
  <c r="J110" i="1" s="1"/>
  <c r="F188" i="1"/>
  <c r="F162" i="1" s="1"/>
  <c r="F136" i="1" s="1"/>
  <c r="F110" i="1" s="1"/>
  <c r="G188" i="1"/>
  <c r="G162" i="1" s="1"/>
  <c r="G136" i="1" s="1"/>
  <c r="G110" i="1" s="1"/>
  <c r="H188" i="1"/>
  <c r="H162" i="1" s="1"/>
  <c r="H136" i="1" s="1"/>
  <c r="H110" i="1" s="1"/>
  <c r="I188" i="1"/>
  <c r="I162" i="1" s="1"/>
  <c r="I136" i="1" s="1"/>
  <c r="I110" i="1" s="1"/>
  <c r="K188" i="1"/>
  <c r="K162" i="1" s="1"/>
  <c r="K136" i="1" s="1"/>
  <c r="K110" i="1" s="1"/>
  <c r="L188" i="1"/>
  <c r="L162" i="1" s="1"/>
  <c r="L136" i="1" s="1"/>
  <c r="L110" i="1" s="1"/>
  <c r="M188" i="1"/>
  <c r="M162" i="1" s="1"/>
  <c r="M136" i="1" s="1"/>
  <c r="M110" i="1" s="1"/>
  <c r="N188" i="1"/>
  <c r="N162" i="1" s="1"/>
  <c r="N136" i="1" s="1"/>
  <c r="N110" i="1" s="1"/>
  <c r="O188" i="1"/>
  <c r="O162" i="1" s="1"/>
  <c r="O136" i="1" s="1"/>
  <c r="O110" i="1" s="1"/>
  <c r="P188" i="1"/>
  <c r="P162" i="1" s="1"/>
  <c r="P136" i="1" s="1"/>
  <c r="P110" i="1" s="1"/>
  <c r="Q188" i="1"/>
  <c r="Q162" i="1" s="1"/>
  <c r="Q136" i="1" s="1"/>
  <c r="Q110" i="1" s="1"/>
  <c r="R188" i="1"/>
  <c r="R162" i="1" s="1"/>
  <c r="R136" i="1" s="1"/>
  <c r="R110" i="1" s="1"/>
  <c r="S188" i="1"/>
  <c r="S162" i="1" s="1"/>
  <c r="S136" i="1" s="1"/>
  <c r="S110" i="1" s="1"/>
  <c r="T188" i="1"/>
  <c r="T162" i="1" s="1"/>
  <c r="T136" i="1" s="1"/>
  <c r="T110" i="1" s="1"/>
  <c r="U188" i="1"/>
  <c r="U162" i="1" s="1"/>
  <c r="U136" i="1" s="1"/>
  <c r="U110" i="1" s="1"/>
  <c r="V188" i="1"/>
  <c r="V162" i="1" s="1"/>
  <c r="V136" i="1" s="1"/>
  <c r="V110" i="1" s="1"/>
  <c r="W188" i="1"/>
  <c r="W162" i="1" s="1"/>
  <c r="W136" i="1" s="1"/>
  <c r="W110" i="1" s="1"/>
  <c r="X188" i="1"/>
  <c r="X162" i="1" s="1"/>
  <c r="X136" i="1" s="1"/>
  <c r="X110" i="1" s="1"/>
  <c r="E188" i="1"/>
  <c r="E162" i="1" s="1"/>
  <c r="E136" i="1" s="1"/>
  <c r="E110" i="1" s="1"/>
  <c r="D188" i="1"/>
  <c r="D162" i="1" s="1"/>
  <c r="D136" i="1" s="1"/>
  <c r="D110" i="1" s="1"/>
  <c r="H187" i="1"/>
  <c r="H161" i="1" s="1"/>
  <c r="H135" i="1" s="1"/>
  <c r="H109" i="1" s="1"/>
  <c r="I187" i="1"/>
  <c r="I161" i="1" s="1"/>
  <c r="I135" i="1" s="1"/>
  <c r="I109" i="1" s="1"/>
  <c r="J187" i="1"/>
  <c r="J161" i="1" s="1"/>
  <c r="J135" i="1" s="1"/>
  <c r="J109" i="1" s="1"/>
  <c r="K187" i="1"/>
  <c r="K161" i="1" s="1"/>
  <c r="K135" i="1" s="1"/>
  <c r="K109" i="1" s="1"/>
  <c r="L187" i="1"/>
  <c r="L161" i="1" s="1"/>
  <c r="L135" i="1" s="1"/>
  <c r="L109" i="1" s="1"/>
  <c r="M187" i="1"/>
  <c r="M161" i="1" s="1"/>
  <c r="M135" i="1" s="1"/>
  <c r="M109" i="1" s="1"/>
  <c r="N187" i="1"/>
  <c r="N161" i="1" s="1"/>
  <c r="N135" i="1" s="1"/>
  <c r="N109" i="1" s="1"/>
  <c r="O187" i="1"/>
  <c r="O161" i="1" s="1"/>
  <c r="O135" i="1" s="1"/>
  <c r="O109" i="1" s="1"/>
  <c r="P187" i="1"/>
  <c r="P161" i="1" s="1"/>
  <c r="P135" i="1" s="1"/>
  <c r="P109" i="1" s="1"/>
  <c r="Q187" i="1"/>
  <c r="Q161" i="1" s="1"/>
  <c r="Q135" i="1" s="1"/>
  <c r="Q109" i="1" s="1"/>
  <c r="R187" i="1"/>
  <c r="R161" i="1" s="1"/>
  <c r="R135" i="1" s="1"/>
  <c r="R109" i="1" s="1"/>
  <c r="S187" i="1"/>
  <c r="S161" i="1" s="1"/>
  <c r="S135" i="1" s="1"/>
  <c r="S109" i="1" s="1"/>
  <c r="T187" i="1"/>
  <c r="T161" i="1" s="1"/>
  <c r="T135" i="1" s="1"/>
  <c r="T109" i="1" s="1"/>
  <c r="U187" i="1"/>
  <c r="U161" i="1" s="1"/>
  <c r="U135" i="1" s="1"/>
  <c r="U109" i="1" s="1"/>
  <c r="V187" i="1"/>
  <c r="V161" i="1" s="1"/>
  <c r="V135" i="1" s="1"/>
  <c r="V109" i="1" s="1"/>
  <c r="W187" i="1"/>
  <c r="W161" i="1" s="1"/>
  <c r="W135" i="1" s="1"/>
  <c r="W109" i="1" s="1"/>
  <c r="X187" i="1"/>
  <c r="X161" i="1" s="1"/>
  <c r="X135" i="1" s="1"/>
  <c r="X109" i="1" s="1"/>
  <c r="G187" i="1"/>
  <c r="G161" i="1" s="1"/>
  <c r="G135" i="1" s="1"/>
  <c r="G109" i="1" s="1"/>
  <c r="E187" i="1"/>
  <c r="E161" i="1" s="1"/>
  <c r="E135" i="1" s="1"/>
  <c r="E109" i="1" s="1"/>
  <c r="F187" i="1"/>
  <c r="F161" i="1" s="1"/>
  <c r="F135" i="1" s="1"/>
  <c r="F109" i="1" s="1"/>
  <c r="BG12" i="1"/>
  <c r="BG11" i="1"/>
  <c r="BG10" i="1"/>
  <c r="BG9" i="1"/>
  <c r="BG8" i="1"/>
  <c r="BG7" i="1"/>
  <c r="BG6" i="1"/>
  <c r="BG5" i="1"/>
  <c r="AZ12" i="1"/>
  <c r="AZ11" i="1"/>
  <c r="AZ10" i="1"/>
  <c r="AZ9" i="1"/>
  <c r="AZ8" i="1"/>
  <c r="AZ7" i="1"/>
  <c r="AZ6" i="1"/>
  <c r="AZ5" i="1"/>
  <c r="AS12" i="1"/>
  <c r="AS11" i="1"/>
  <c r="AS10" i="1"/>
  <c r="AS9" i="1"/>
  <c r="AS8" i="1"/>
  <c r="AS7" i="1"/>
  <c r="AS6" i="1"/>
  <c r="AS5" i="1"/>
  <c r="AL6" i="1"/>
  <c r="AL7" i="1"/>
  <c r="AL8" i="1"/>
  <c r="AL9" i="1"/>
  <c r="AL10" i="1"/>
  <c r="AL11" i="1"/>
  <c r="AL12" i="1"/>
  <c r="AL5" i="1"/>
  <c r="BE6" i="1"/>
  <c r="BE7" i="1"/>
  <c r="BE8" i="1"/>
  <c r="BE9" i="1"/>
  <c r="BE10" i="1"/>
  <c r="BE11" i="1"/>
  <c r="BE12" i="1"/>
  <c r="BE5" i="1"/>
  <c r="I201" i="1" l="1"/>
  <c r="I175" i="1" s="1"/>
  <c r="I149" i="1" s="1"/>
  <c r="I123" i="1" s="1"/>
  <c r="T200" i="1"/>
  <c r="T174" i="1" s="1"/>
  <c r="T148" i="1" s="1"/>
  <c r="T122" i="1" s="1"/>
  <c r="X199" i="1"/>
  <c r="X173" i="1" s="1"/>
  <c r="X147" i="1" s="1"/>
  <c r="X121" i="1" s="1"/>
  <c r="G199" i="1"/>
  <c r="G173" i="1" s="1"/>
  <c r="G147" i="1" s="1"/>
  <c r="G121" i="1" s="1"/>
  <c r="L198" i="1"/>
  <c r="L172" i="1" s="1"/>
  <c r="L146" i="1" s="1"/>
  <c r="L120" i="1" s="1"/>
  <c r="P197" i="1"/>
  <c r="P171" i="1" s="1"/>
  <c r="P145" i="1" s="1"/>
  <c r="P119" i="1" s="1"/>
  <c r="R196" i="1"/>
  <c r="R170" i="1" s="1"/>
  <c r="R144" i="1" s="1"/>
  <c r="R118" i="1" s="1"/>
  <c r="W195" i="1"/>
  <c r="W169" i="1" s="1"/>
  <c r="W143" i="1" s="1"/>
  <c r="W117" i="1" s="1"/>
  <c r="D195" i="1"/>
  <c r="D169" i="1" s="1"/>
  <c r="D143" i="1" s="1"/>
  <c r="D117" i="1" s="1"/>
  <c r="X193" i="1"/>
  <c r="X167" i="1" s="1"/>
  <c r="X141" i="1" s="1"/>
  <c r="X115" i="1" s="1"/>
  <c r="U192" i="1"/>
  <c r="U166" i="1" s="1"/>
  <c r="U140" i="1" s="1"/>
  <c r="U114" i="1" s="1"/>
  <c r="R191" i="1"/>
  <c r="R165" i="1" s="1"/>
  <c r="R139" i="1" s="1"/>
  <c r="R113" i="1" s="1"/>
  <c r="M190" i="1"/>
  <c r="M164" i="1" s="1"/>
  <c r="M138" i="1" s="1"/>
  <c r="M112" i="1" s="1"/>
  <c r="F189" i="1"/>
  <c r="F163" i="1" s="1"/>
  <c r="F137" i="1" s="1"/>
  <c r="F111" i="1" s="1"/>
  <c r="P191" i="1"/>
  <c r="P165" i="1" s="1"/>
  <c r="P139" i="1" s="1"/>
  <c r="P113" i="1" s="1"/>
  <c r="L190" i="1"/>
  <c r="L164" i="1" s="1"/>
  <c r="L138" i="1" s="1"/>
  <c r="L112" i="1" s="1"/>
  <c r="G190" i="1"/>
  <c r="G164" i="1" s="1"/>
  <c r="G138" i="1" s="1"/>
  <c r="G112" i="1" s="1"/>
  <c r="F203" i="1"/>
  <c r="F177" i="1" s="1"/>
  <c r="F151" i="1" s="1"/>
  <c r="F125" i="1" s="1"/>
  <c r="P202" i="1"/>
  <c r="P176" i="1" s="1"/>
  <c r="P150" i="1" s="1"/>
  <c r="P124" i="1" s="1"/>
  <c r="F202" i="1"/>
  <c r="F176" i="1" s="1"/>
  <c r="F150" i="1" s="1"/>
  <c r="F124" i="1" s="1"/>
  <c r="P201" i="1"/>
  <c r="P175" i="1" s="1"/>
  <c r="P149" i="1" s="1"/>
  <c r="P123" i="1" s="1"/>
  <c r="E201" i="1"/>
  <c r="E175" i="1" s="1"/>
  <c r="E149" i="1" s="1"/>
  <c r="E123" i="1" s="1"/>
  <c r="N200" i="1"/>
  <c r="N174" i="1" s="1"/>
  <c r="N148" i="1" s="1"/>
  <c r="N122" i="1" s="1"/>
  <c r="R199" i="1"/>
  <c r="R173" i="1" s="1"/>
  <c r="R147" i="1" s="1"/>
  <c r="R121" i="1" s="1"/>
  <c r="U198" i="1"/>
  <c r="U172" i="1" s="1"/>
  <c r="U146" i="1" s="1"/>
  <c r="U120" i="1" s="1"/>
  <c r="E198" i="1"/>
  <c r="E172" i="1" s="1"/>
  <c r="E146" i="1" s="1"/>
  <c r="E120" i="1" s="1"/>
  <c r="I197" i="1"/>
  <c r="I171" i="1" s="1"/>
  <c r="I145" i="1" s="1"/>
  <c r="I119" i="1" s="1"/>
  <c r="M196" i="1"/>
  <c r="M170" i="1" s="1"/>
  <c r="M144" i="1" s="1"/>
  <c r="M118" i="1" s="1"/>
  <c r="R195" i="1"/>
  <c r="R169" i="1" s="1"/>
  <c r="R143" i="1" s="1"/>
  <c r="R117" i="1" s="1"/>
  <c r="Q194" i="1"/>
  <c r="Q168" i="1" s="1"/>
  <c r="Q142" i="1" s="1"/>
  <c r="Q116" i="1" s="1"/>
  <c r="P193" i="1"/>
  <c r="P167" i="1" s="1"/>
  <c r="P141" i="1" s="1"/>
  <c r="P115" i="1" s="1"/>
  <c r="M192" i="1"/>
  <c r="M166" i="1" s="1"/>
  <c r="M140" i="1" s="1"/>
  <c r="M114" i="1" s="1"/>
  <c r="H191" i="1"/>
  <c r="H165" i="1" s="1"/>
  <c r="H139" i="1" s="1"/>
  <c r="H113" i="1" s="1"/>
  <c r="E190" i="1"/>
  <c r="E164" i="1" s="1"/>
  <c r="E138" i="1" s="1"/>
  <c r="E112" i="1" s="1"/>
  <c r="I189" i="1"/>
  <c r="I163" i="1" s="1"/>
  <c r="I137" i="1" s="1"/>
  <c r="I111" i="1" s="1"/>
  <c r="E204" i="1"/>
  <c r="E178" i="1" s="1"/>
  <c r="E152" i="1" s="1"/>
  <c r="E126" i="1" s="1"/>
  <c r="O203" i="1"/>
  <c r="O177" i="1" s="1"/>
  <c r="O151" i="1" s="1"/>
  <c r="O125" i="1" s="1"/>
  <c r="E203" i="1"/>
  <c r="E177" i="1" s="1"/>
  <c r="E151" i="1" s="1"/>
  <c r="E125" i="1" s="1"/>
  <c r="O202" i="1"/>
  <c r="O176" i="1" s="1"/>
  <c r="O150" i="1" s="1"/>
  <c r="O124" i="1" s="1"/>
  <c r="D202" i="1"/>
  <c r="D176" i="1" s="1"/>
  <c r="D150" i="1" s="1"/>
  <c r="D124" i="1" s="1"/>
  <c r="O201" i="1"/>
  <c r="O175" i="1" s="1"/>
  <c r="O149" i="1" s="1"/>
  <c r="O123" i="1" s="1"/>
  <c r="D201" i="1"/>
  <c r="D175" i="1" s="1"/>
  <c r="D149" i="1" s="1"/>
  <c r="D123" i="1" s="1"/>
  <c r="K200" i="1"/>
  <c r="K174" i="1" s="1"/>
  <c r="K148" i="1" s="1"/>
  <c r="K122" i="1" s="1"/>
  <c r="P199" i="1"/>
  <c r="P173" i="1" s="1"/>
  <c r="P147" i="1" s="1"/>
  <c r="P121" i="1" s="1"/>
  <c r="T198" i="1"/>
  <c r="T172" i="1" s="1"/>
  <c r="T146" i="1" s="1"/>
  <c r="T120" i="1" s="1"/>
  <c r="X197" i="1"/>
  <c r="X171" i="1" s="1"/>
  <c r="X145" i="1" s="1"/>
  <c r="X119" i="1" s="1"/>
  <c r="H197" i="1"/>
  <c r="H171" i="1" s="1"/>
  <c r="H145" i="1" s="1"/>
  <c r="H119" i="1" s="1"/>
  <c r="J196" i="1"/>
  <c r="J170" i="1" s="1"/>
  <c r="J144" i="1" s="1"/>
  <c r="J118" i="1" s="1"/>
  <c r="N195" i="1"/>
  <c r="N169" i="1" s="1"/>
  <c r="N143" i="1" s="1"/>
  <c r="N117" i="1" s="1"/>
  <c r="P194" i="1"/>
  <c r="P168" i="1" s="1"/>
  <c r="P142" i="1" s="1"/>
  <c r="P116" i="1" s="1"/>
  <c r="N193" i="1"/>
  <c r="N167" i="1" s="1"/>
  <c r="N141" i="1" s="1"/>
  <c r="N115" i="1" s="1"/>
  <c r="K192" i="1"/>
  <c r="K166" i="1" s="1"/>
  <c r="K140" i="1" s="1"/>
  <c r="K114" i="1" s="1"/>
  <c r="G191" i="1"/>
  <c r="G165" i="1" s="1"/>
  <c r="G139" i="1" s="1"/>
  <c r="G113" i="1" s="1"/>
  <c r="L189" i="1"/>
  <c r="L163" i="1" s="1"/>
  <c r="L137" i="1" s="1"/>
  <c r="L111" i="1" s="1"/>
  <c r="U189" i="1"/>
  <c r="U163" i="1" s="1"/>
  <c r="U137" i="1" s="1"/>
  <c r="U111" i="1" s="1"/>
  <c r="I206" i="1"/>
  <c r="I180" i="1" s="1"/>
  <c r="I154" i="1" s="1"/>
  <c r="I128" i="1" s="1"/>
  <c r="V205" i="1"/>
  <c r="V179" i="1" s="1"/>
  <c r="V153" i="1" s="1"/>
  <c r="V127" i="1" s="1"/>
  <c r="N205" i="1"/>
  <c r="N179" i="1" s="1"/>
  <c r="N153" i="1" s="1"/>
  <c r="N127" i="1" s="1"/>
  <c r="F205" i="1"/>
  <c r="F179" i="1" s="1"/>
  <c r="F153" i="1" s="1"/>
  <c r="F127" i="1" s="1"/>
  <c r="S204" i="1"/>
  <c r="S178" i="1" s="1"/>
  <c r="S152" i="1" s="1"/>
  <c r="S126" i="1" s="1"/>
  <c r="K204" i="1"/>
  <c r="K178" i="1" s="1"/>
  <c r="K152" i="1" s="1"/>
  <c r="K126" i="1" s="1"/>
  <c r="X203" i="1"/>
  <c r="X177" i="1" s="1"/>
  <c r="X151" i="1" s="1"/>
  <c r="X125" i="1" s="1"/>
  <c r="P203" i="1"/>
  <c r="P177" i="1" s="1"/>
  <c r="P151" i="1" s="1"/>
  <c r="P125" i="1" s="1"/>
  <c r="H203" i="1"/>
  <c r="H177" i="1" s="1"/>
  <c r="H151" i="1" s="1"/>
  <c r="H125" i="1" s="1"/>
  <c r="U202" i="1"/>
  <c r="U176" i="1" s="1"/>
  <c r="U150" i="1" s="1"/>
  <c r="U124" i="1" s="1"/>
  <c r="M202" i="1"/>
  <c r="M176" i="1" s="1"/>
  <c r="M150" i="1" s="1"/>
  <c r="M124" i="1" s="1"/>
  <c r="E202" i="1"/>
  <c r="E176" i="1" s="1"/>
  <c r="E150" i="1" s="1"/>
  <c r="E124" i="1" s="1"/>
  <c r="R201" i="1"/>
  <c r="R175" i="1" s="1"/>
  <c r="R149" i="1" s="1"/>
  <c r="R123" i="1" s="1"/>
  <c r="J201" i="1"/>
  <c r="J175" i="1" s="1"/>
  <c r="J149" i="1" s="1"/>
  <c r="J123" i="1" s="1"/>
  <c r="W200" i="1"/>
  <c r="W174" i="1" s="1"/>
  <c r="W148" i="1" s="1"/>
  <c r="W122" i="1" s="1"/>
  <c r="M200" i="1"/>
  <c r="M174" i="1" s="1"/>
  <c r="M148" i="1" s="1"/>
  <c r="M122" i="1" s="1"/>
  <c r="V199" i="1"/>
  <c r="V173" i="1" s="1"/>
  <c r="V147" i="1" s="1"/>
  <c r="V121" i="1" s="1"/>
  <c r="H199" i="1"/>
  <c r="H173" i="1" s="1"/>
  <c r="H147" i="1" s="1"/>
  <c r="H121" i="1" s="1"/>
  <c r="P198" i="1"/>
  <c r="P172" i="1" s="1"/>
  <c r="P146" i="1" s="1"/>
  <c r="P120" i="1" s="1"/>
  <c r="D198" i="1"/>
  <c r="D172" i="1" s="1"/>
  <c r="D146" i="1" s="1"/>
  <c r="D120" i="1" s="1"/>
  <c r="L197" i="1"/>
  <c r="L171" i="1" s="1"/>
  <c r="L145" i="1" s="1"/>
  <c r="L119" i="1" s="1"/>
  <c r="U196" i="1"/>
  <c r="U170" i="1" s="1"/>
  <c r="U144" i="1" s="1"/>
  <c r="U118" i="1" s="1"/>
  <c r="G196" i="1"/>
  <c r="G170" i="1" s="1"/>
  <c r="G144" i="1" s="1"/>
  <c r="G118" i="1" s="1"/>
  <c r="O195" i="1"/>
  <c r="O169" i="1" s="1"/>
  <c r="O143" i="1" s="1"/>
  <c r="O117" i="1" s="1"/>
  <c r="T194" i="1"/>
  <c r="T168" i="1" s="1"/>
  <c r="T142" i="1" s="1"/>
  <c r="T116" i="1" s="1"/>
  <c r="D194" i="1"/>
  <c r="D168" i="1" s="1"/>
  <c r="D142" i="1" s="1"/>
  <c r="D116" i="1" s="1"/>
  <c r="I193" i="1"/>
  <c r="I167" i="1" s="1"/>
  <c r="I141" i="1" s="1"/>
  <c r="I115" i="1" s="1"/>
  <c r="N192" i="1"/>
  <c r="N166" i="1" s="1"/>
  <c r="N140" i="1" s="1"/>
  <c r="N114" i="1" s="1"/>
  <c r="S191" i="1"/>
  <c r="S165" i="1" s="1"/>
  <c r="S139" i="1" s="1"/>
  <c r="S113" i="1" s="1"/>
  <c r="X190" i="1"/>
  <c r="X164" i="1" s="1"/>
  <c r="X138" i="1" s="1"/>
  <c r="X112" i="1" s="1"/>
  <c r="H190" i="1"/>
  <c r="H164" i="1" s="1"/>
  <c r="H138" i="1" s="1"/>
  <c r="H112" i="1" s="1"/>
  <c r="K189" i="1"/>
  <c r="K163" i="1" s="1"/>
  <c r="K137" i="1" s="1"/>
  <c r="K111" i="1" s="1"/>
  <c r="E193" i="1"/>
  <c r="E167" i="1" s="1"/>
  <c r="E141" i="1" s="1"/>
  <c r="E115" i="1" s="1"/>
  <c r="J192" i="1"/>
  <c r="J166" i="1" s="1"/>
  <c r="J140" i="1" s="1"/>
  <c r="J114" i="1" s="1"/>
  <c r="O191" i="1"/>
  <c r="O165" i="1" s="1"/>
  <c r="O139" i="1" s="1"/>
  <c r="O113" i="1" s="1"/>
  <c r="T190" i="1"/>
  <c r="T164" i="1" s="1"/>
  <c r="T138" i="1" s="1"/>
  <c r="T112" i="1" s="1"/>
  <c r="D190" i="1"/>
  <c r="D164" i="1" s="1"/>
  <c r="D138" i="1" s="1"/>
  <c r="D112" i="1" s="1"/>
  <c r="E206" i="1"/>
  <c r="E180" i="1" s="1"/>
  <c r="E154" i="1" s="1"/>
  <c r="E128" i="1" s="1"/>
  <c r="R205" i="1"/>
  <c r="R179" i="1" s="1"/>
  <c r="R153" i="1" s="1"/>
  <c r="R127" i="1" s="1"/>
  <c r="J205" i="1"/>
  <c r="J179" i="1" s="1"/>
  <c r="J153" i="1" s="1"/>
  <c r="J127" i="1" s="1"/>
  <c r="W204" i="1"/>
  <c r="W178" i="1" s="1"/>
  <c r="W152" i="1" s="1"/>
  <c r="W126" i="1" s="1"/>
  <c r="O204" i="1"/>
  <c r="O178" i="1" s="1"/>
  <c r="O152" i="1" s="1"/>
  <c r="O126" i="1" s="1"/>
  <c r="G204" i="1"/>
  <c r="G178" i="1" s="1"/>
  <c r="G152" i="1" s="1"/>
  <c r="G126" i="1" s="1"/>
  <c r="T203" i="1"/>
  <c r="T177" i="1" s="1"/>
  <c r="T151" i="1" s="1"/>
  <c r="T125" i="1" s="1"/>
  <c r="L203" i="1"/>
  <c r="L177" i="1" s="1"/>
  <c r="L151" i="1" s="1"/>
  <c r="L125" i="1" s="1"/>
  <c r="D203" i="1"/>
  <c r="D177" i="1" s="1"/>
  <c r="D151" i="1" s="1"/>
  <c r="D125" i="1" s="1"/>
  <c r="Q202" i="1"/>
  <c r="Q176" i="1" s="1"/>
  <c r="Q150" i="1" s="1"/>
  <c r="Q124" i="1" s="1"/>
  <c r="I202" i="1"/>
  <c r="I176" i="1" s="1"/>
  <c r="I150" i="1" s="1"/>
  <c r="I124" i="1" s="1"/>
  <c r="V201" i="1"/>
  <c r="V175" i="1" s="1"/>
  <c r="V149" i="1" s="1"/>
  <c r="V123" i="1" s="1"/>
  <c r="N201" i="1"/>
  <c r="N175" i="1" s="1"/>
  <c r="N149" i="1" s="1"/>
  <c r="N123" i="1" s="1"/>
  <c r="F201" i="1"/>
  <c r="F175" i="1" s="1"/>
  <c r="F149" i="1" s="1"/>
  <c r="F123" i="1" s="1"/>
  <c r="S200" i="1"/>
  <c r="S174" i="1" s="1"/>
  <c r="S148" i="1" s="1"/>
  <c r="S122" i="1" s="1"/>
  <c r="F200" i="1"/>
  <c r="F174" i="1" s="1"/>
  <c r="F148" i="1" s="1"/>
  <c r="F122" i="1" s="1"/>
  <c r="O199" i="1"/>
  <c r="O173" i="1" s="1"/>
  <c r="O147" i="1" s="1"/>
  <c r="O121" i="1" s="1"/>
  <c r="W198" i="1"/>
  <c r="W172" i="1" s="1"/>
  <c r="W146" i="1" s="1"/>
  <c r="W120" i="1" s="1"/>
  <c r="K198" i="1"/>
  <c r="K172" i="1" s="1"/>
  <c r="K146" i="1" s="1"/>
  <c r="K120" i="1" s="1"/>
  <c r="R197" i="1"/>
  <c r="R171" i="1" s="1"/>
  <c r="R145" i="1" s="1"/>
  <c r="R119" i="1" s="1"/>
  <c r="E197" i="1"/>
  <c r="E171" i="1" s="1"/>
  <c r="E145" i="1" s="1"/>
  <c r="E119" i="1" s="1"/>
  <c r="N196" i="1"/>
  <c r="N170" i="1" s="1"/>
  <c r="N144" i="1" s="1"/>
  <c r="N118" i="1" s="1"/>
  <c r="V195" i="1"/>
  <c r="V169" i="1" s="1"/>
  <c r="V143" i="1" s="1"/>
  <c r="V117" i="1" s="1"/>
  <c r="G195" i="1"/>
  <c r="G169" i="1" s="1"/>
  <c r="G143" i="1" s="1"/>
  <c r="G117" i="1" s="1"/>
  <c r="L194" i="1"/>
  <c r="L168" i="1" s="1"/>
  <c r="L142" i="1" s="1"/>
  <c r="L116" i="1" s="1"/>
  <c r="Q193" i="1"/>
  <c r="Q167" i="1" s="1"/>
  <c r="Q141" i="1" s="1"/>
  <c r="Q115" i="1" s="1"/>
  <c r="V192" i="1"/>
  <c r="V166" i="1" s="1"/>
  <c r="V140" i="1" s="1"/>
  <c r="V114" i="1" s="1"/>
  <c r="F192" i="1"/>
  <c r="F166" i="1" s="1"/>
  <c r="F140" i="1" s="1"/>
  <c r="F114" i="1" s="1"/>
  <c r="K191" i="1"/>
  <c r="K165" i="1" s="1"/>
  <c r="K139" i="1" s="1"/>
  <c r="K113" i="1" s="1"/>
  <c r="P190" i="1"/>
  <c r="P164" i="1" s="1"/>
  <c r="P138" i="1" s="1"/>
  <c r="P112" i="1" s="1"/>
  <c r="L200" i="1"/>
  <c r="L174" i="1" s="1"/>
  <c r="L148" i="1" s="1"/>
  <c r="L122" i="1" s="1"/>
  <c r="D200" i="1"/>
  <c r="D174" i="1" s="1"/>
  <c r="D148" i="1" s="1"/>
  <c r="D122" i="1" s="1"/>
  <c r="Q199" i="1"/>
  <c r="Q173" i="1" s="1"/>
  <c r="Q147" i="1" s="1"/>
  <c r="Q121" i="1" s="1"/>
  <c r="I199" i="1"/>
  <c r="I173" i="1" s="1"/>
  <c r="I147" i="1" s="1"/>
  <c r="I121" i="1" s="1"/>
  <c r="V198" i="1"/>
  <c r="V172" i="1" s="1"/>
  <c r="V146" i="1" s="1"/>
  <c r="V120" i="1" s="1"/>
  <c r="N198" i="1"/>
  <c r="N172" i="1" s="1"/>
  <c r="N146" i="1" s="1"/>
  <c r="N120" i="1" s="1"/>
  <c r="F198" i="1"/>
  <c r="F172" i="1" s="1"/>
  <c r="F146" i="1" s="1"/>
  <c r="F120" i="1" s="1"/>
  <c r="S197" i="1"/>
  <c r="S171" i="1" s="1"/>
  <c r="S145" i="1" s="1"/>
  <c r="S119" i="1" s="1"/>
  <c r="K197" i="1"/>
  <c r="K171" i="1" s="1"/>
  <c r="K145" i="1" s="1"/>
  <c r="K119" i="1" s="1"/>
  <c r="X196" i="1"/>
  <c r="X170" i="1" s="1"/>
  <c r="X144" i="1" s="1"/>
  <c r="X118" i="1" s="1"/>
  <c r="P196" i="1"/>
  <c r="P170" i="1" s="1"/>
  <c r="P144" i="1" s="1"/>
  <c r="P118" i="1" s="1"/>
  <c r="H196" i="1"/>
  <c r="H170" i="1" s="1"/>
  <c r="H144" i="1" s="1"/>
  <c r="H118" i="1" s="1"/>
  <c r="U195" i="1"/>
  <c r="U169" i="1" s="1"/>
  <c r="U143" i="1" s="1"/>
  <c r="U117" i="1" s="1"/>
  <c r="M195" i="1"/>
  <c r="M169" i="1" s="1"/>
  <c r="M143" i="1" s="1"/>
  <c r="M117" i="1" s="1"/>
  <c r="E195" i="1"/>
  <c r="E169" i="1" s="1"/>
  <c r="E143" i="1" s="1"/>
  <c r="E117" i="1" s="1"/>
  <c r="R194" i="1"/>
  <c r="R168" i="1" s="1"/>
  <c r="R142" i="1" s="1"/>
  <c r="R116" i="1" s="1"/>
  <c r="J194" i="1"/>
  <c r="J168" i="1" s="1"/>
  <c r="J142" i="1" s="1"/>
  <c r="J116" i="1" s="1"/>
  <c r="W193" i="1"/>
  <c r="W167" i="1" s="1"/>
  <c r="W141" i="1" s="1"/>
  <c r="W115" i="1" s="1"/>
  <c r="O193" i="1"/>
  <c r="O167" i="1" s="1"/>
  <c r="O141" i="1" s="1"/>
  <c r="O115" i="1" s="1"/>
  <c r="G193" i="1"/>
  <c r="G167" i="1" s="1"/>
  <c r="G141" i="1" s="1"/>
  <c r="G115" i="1" s="1"/>
  <c r="T192" i="1"/>
  <c r="T166" i="1" s="1"/>
  <c r="T140" i="1" s="1"/>
  <c r="T114" i="1" s="1"/>
  <c r="L192" i="1"/>
  <c r="L166" i="1" s="1"/>
  <c r="L140" i="1" s="1"/>
  <c r="L114" i="1" s="1"/>
  <c r="D192" i="1"/>
  <c r="D166" i="1" s="1"/>
  <c r="D140" i="1" s="1"/>
  <c r="D114" i="1" s="1"/>
  <c r="Q191" i="1"/>
  <c r="Q165" i="1" s="1"/>
  <c r="Q139" i="1" s="1"/>
  <c r="Q113" i="1" s="1"/>
  <c r="I191" i="1"/>
  <c r="I165" i="1" s="1"/>
  <c r="I139" i="1" s="1"/>
  <c r="I113" i="1" s="1"/>
  <c r="V190" i="1"/>
  <c r="V164" i="1" s="1"/>
  <c r="V138" i="1" s="1"/>
  <c r="V112" i="1" s="1"/>
  <c r="N190" i="1"/>
  <c r="N164" i="1" s="1"/>
  <c r="N138" i="1" s="1"/>
  <c r="N112" i="1" s="1"/>
  <c r="F190" i="1"/>
  <c r="F164" i="1" s="1"/>
  <c r="F138" i="1" s="1"/>
  <c r="F112" i="1" s="1"/>
  <c r="S189" i="1"/>
  <c r="S163" i="1" s="1"/>
  <c r="S137" i="1" s="1"/>
  <c r="S111" i="1" s="1"/>
  <c r="G189" i="1"/>
  <c r="G163" i="1" s="1"/>
  <c r="G137" i="1" s="1"/>
  <c r="G111" i="1" s="1"/>
  <c r="E189" i="1"/>
  <c r="E163" i="1" s="1"/>
  <c r="E137" i="1" s="1"/>
  <c r="E111" i="1" s="1"/>
  <c r="J195" i="1"/>
  <c r="J169" i="1" s="1"/>
  <c r="J143" i="1" s="1"/>
  <c r="J117" i="1" s="1"/>
  <c r="W194" i="1"/>
  <c r="W168" i="1" s="1"/>
  <c r="W142" i="1" s="1"/>
  <c r="W116" i="1" s="1"/>
  <c r="O194" i="1"/>
  <c r="O168" i="1" s="1"/>
  <c r="O142" i="1" s="1"/>
  <c r="O116" i="1" s="1"/>
  <c r="G194" i="1"/>
  <c r="G168" i="1" s="1"/>
  <c r="G142" i="1" s="1"/>
  <c r="G116" i="1" s="1"/>
  <c r="T193" i="1"/>
  <c r="T167" i="1" s="1"/>
  <c r="T141" i="1" s="1"/>
  <c r="T115" i="1" s="1"/>
  <c r="L193" i="1"/>
  <c r="L167" i="1" s="1"/>
  <c r="L141" i="1" s="1"/>
  <c r="L115" i="1" s="1"/>
  <c r="D193" i="1"/>
  <c r="D167" i="1" s="1"/>
  <c r="D141" i="1" s="1"/>
  <c r="D115" i="1" s="1"/>
  <c r="Q192" i="1"/>
  <c r="Q166" i="1" s="1"/>
  <c r="Q140" i="1" s="1"/>
  <c r="Q114" i="1" s="1"/>
  <c r="I192" i="1"/>
  <c r="I166" i="1" s="1"/>
  <c r="I140" i="1" s="1"/>
  <c r="I114" i="1" s="1"/>
  <c r="V191" i="1"/>
  <c r="V165" i="1" s="1"/>
  <c r="V139" i="1" s="1"/>
  <c r="V113" i="1" s="1"/>
  <c r="N191" i="1"/>
  <c r="N165" i="1" s="1"/>
  <c r="N139" i="1" s="1"/>
  <c r="N113" i="1" s="1"/>
  <c r="F191" i="1"/>
  <c r="F165" i="1" s="1"/>
  <c r="F139" i="1" s="1"/>
  <c r="F113" i="1" s="1"/>
  <c r="S190" i="1"/>
  <c r="S164" i="1" s="1"/>
  <c r="S138" i="1" s="1"/>
  <c r="S112" i="1" s="1"/>
  <c r="K190" i="1"/>
  <c r="K164" i="1" s="1"/>
  <c r="K138" i="1" s="1"/>
  <c r="K112" i="1" s="1"/>
  <c r="X189" i="1"/>
  <c r="X163" i="1" s="1"/>
  <c r="X137" i="1" s="1"/>
  <c r="X111" i="1" s="1"/>
  <c r="N189" i="1"/>
  <c r="N163" i="1" s="1"/>
  <c r="N137" i="1" s="1"/>
  <c r="N111" i="1" s="1"/>
  <c r="D187" i="1"/>
  <c r="D161" i="1" s="1"/>
  <c r="D135" i="1" s="1"/>
  <c r="D109" i="1" s="1"/>
  <c r="P200" i="1"/>
  <c r="P174" i="1" s="1"/>
  <c r="P148" i="1" s="1"/>
  <c r="P122" i="1" s="1"/>
  <c r="H200" i="1"/>
  <c r="H174" i="1" s="1"/>
  <c r="H148" i="1" s="1"/>
  <c r="H122" i="1" s="1"/>
  <c r="U199" i="1"/>
  <c r="U173" i="1" s="1"/>
  <c r="U147" i="1" s="1"/>
  <c r="U121" i="1" s="1"/>
  <c r="M199" i="1"/>
  <c r="M173" i="1" s="1"/>
  <c r="M147" i="1" s="1"/>
  <c r="M121" i="1" s="1"/>
  <c r="E199" i="1"/>
  <c r="E173" i="1" s="1"/>
  <c r="E147" i="1" s="1"/>
  <c r="E121" i="1" s="1"/>
  <c r="R198" i="1"/>
  <c r="R172" i="1" s="1"/>
  <c r="R146" i="1" s="1"/>
  <c r="R120" i="1" s="1"/>
  <c r="J198" i="1"/>
  <c r="J172" i="1" s="1"/>
  <c r="J146" i="1" s="1"/>
  <c r="J120" i="1" s="1"/>
  <c r="W197" i="1"/>
  <c r="W171" i="1" s="1"/>
  <c r="W145" i="1" s="1"/>
  <c r="W119" i="1" s="1"/>
  <c r="O197" i="1"/>
  <c r="O171" i="1" s="1"/>
  <c r="O145" i="1" s="1"/>
  <c r="O119" i="1" s="1"/>
  <c r="G197" i="1"/>
  <c r="G171" i="1" s="1"/>
  <c r="G145" i="1" s="1"/>
  <c r="G119" i="1" s="1"/>
  <c r="T196" i="1"/>
  <c r="T170" i="1" s="1"/>
  <c r="T144" i="1" s="1"/>
  <c r="T118" i="1" s="1"/>
  <c r="L196" i="1"/>
  <c r="L170" i="1" s="1"/>
  <c r="L144" i="1" s="1"/>
  <c r="L118" i="1" s="1"/>
  <c r="D196" i="1"/>
  <c r="D170" i="1" s="1"/>
  <c r="D144" i="1" s="1"/>
  <c r="D118" i="1" s="1"/>
  <c r="Q195" i="1"/>
  <c r="Q169" i="1" s="1"/>
  <c r="Q143" i="1" s="1"/>
  <c r="Q117" i="1" s="1"/>
  <c r="I195" i="1"/>
  <c r="I169" i="1" s="1"/>
  <c r="I143" i="1" s="1"/>
  <c r="I117" i="1" s="1"/>
  <c r="V194" i="1"/>
  <c r="V168" i="1" s="1"/>
  <c r="V142" i="1" s="1"/>
  <c r="V116" i="1" s="1"/>
  <c r="N194" i="1"/>
  <c r="N168" i="1" s="1"/>
  <c r="N142" i="1" s="1"/>
  <c r="N116" i="1" s="1"/>
  <c r="F194" i="1"/>
  <c r="F168" i="1" s="1"/>
  <c r="F142" i="1" s="1"/>
  <c r="F116" i="1" s="1"/>
  <c r="S193" i="1"/>
  <c r="S167" i="1" s="1"/>
  <c r="S141" i="1" s="1"/>
  <c r="S115" i="1" s="1"/>
  <c r="K193" i="1"/>
  <c r="K167" i="1" s="1"/>
  <c r="K141" i="1" s="1"/>
  <c r="K115" i="1" s="1"/>
  <c r="X192" i="1"/>
  <c r="X166" i="1" s="1"/>
  <c r="X140" i="1" s="1"/>
  <c r="X114" i="1" s="1"/>
  <c r="P192" i="1"/>
  <c r="P166" i="1" s="1"/>
  <c r="P140" i="1" s="1"/>
  <c r="P114" i="1" s="1"/>
  <c r="H192" i="1"/>
  <c r="H166" i="1" s="1"/>
  <c r="H140" i="1" s="1"/>
  <c r="H114" i="1" s="1"/>
  <c r="U191" i="1"/>
  <c r="U165" i="1" s="1"/>
  <c r="U139" i="1" s="1"/>
  <c r="U113" i="1" s="1"/>
  <c r="M191" i="1"/>
  <c r="M165" i="1" s="1"/>
  <c r="M139" i="1" s="1"/>
  <c r="M113" i="1" s="1"/>
  <c r="E191" i="1"/>
  <c r="E165" i="1" s="1"/>
  <c r="E139" i="1" s="1"/>
  <c r="E113" i="1" s="1"/>
  <c r="R190" i="1"/>
  <c r="R164" i="1" s="1"/>
  <c r="R138" i="1" s="1"/>
  <c r="R112" i="1" s="1"/>
  <c r="J190" i="1"/>
  <c r="J164" i="1" s="1"/>
  <c r="J138" i="1" s="1"/>
  <c r="J112" i="1" s="1"/>
  <c r="W189" i="1"/>
  <c r="W163" i="1" s="1"/>
  <c r="W137" i="1" s="1"/>
  <c r="W111" i="1" s="1"/>
  <c r="M189" i="1"/>
  <c r="M163" i="1" s="1"/>
  <c r="M137" i="1" s="1"/>
  <c r="M111" i="1" s="1"/>
  <c r="O200" i="1"/>
  <c r="O174" i="1" s="1"/>
  <c r="O148" i="1" s="1"/>
  <c r="O122" i="1" s="1"/>
  <c r="G200" i="1"/>
  <c r="G174" i="1" s="1"/>
  <c r="G148" i="1" s="1"/>
  <c r="G122" i="1" s="1"/>
  <c r="T199" i="1"/>
  <c r="T173" i="1" s="1"/>
  <c r="T147" i="1" s="1"/>
  <c r="T121" i="1" s="1"/>
  <c r="L199" i="1"/>
  <c r="L173" i="1" s="1"/>
  <c r="L147" i="1" s="1"/>
  <c r="L121" i="1" s="1"/>
  <c r="D199" i="1"/>
  <c r="D173" i="1" s="1"/>
  <c r="D147" i="1" s="1"/>
  <c r="D121" i="1" s="1"/>
  <c r="Q198" i="1"/>
  <c r="Q172" i="1" s="1"/>
  <c r="Q146" i="1" s="1"/>
  <c r="Q120" i="1" s="1"/>
  <c r="I198" i="1"/>
  <c r="I172" i="1" s="1"/>
  <c r="I146" i="1" s="1"/>
  <c r="I120" i="1" s="1"/>
  <c r="V197" i="1"/>
  <c r="V171" i="1" s="1"/>
  <c r="V145" i="1" s="1"/>
  <c r="V119" i="1" s="1"/>
  <c r="N197" i="1"/>
  <c r="N171" i="1" s="1"/>
  <c r="N145" i="1" s="1"/>
  <c r="N119" i="1" s="1"/>
  <c r="F197" i="1"/>
  <c r="F171" i="1" s="1"/>
  <c r="F145" i="1" s="1"/>
  <c r="F119" i="1" s="1"/>
  <c r="S196" i="1"/>
  <c r="S170" i="1" s="1"/>
  <c r="S144" i="1" s="1"/>
  <c r="S118" i="1" s="1"/>
  <c r="K196" i="1"/>
  <c r="K170" i="1" s="1"/>
  <c r="K144" i="1" s="1"/>
  <c r="K118" i="1" s="1"/>
  <c r="X195" i="1"/>
  <c r="X169" i="1" s="1"/>
  <c r="X143" i="1" s="1"/>
  <c r="X117" i="1" s="1"/>
  <c r="P195" i="1"/>
  <c r="P169" i="1" s="1"/>
  <c r="P143" i="1" s="1"/>
  <c r="P117" i="1" s="1"/>
  <c r="H195" i="1"/>
  <c r="H169" i="1" s="1"/>
  <c r="H143" i="1" s="1"/>
  <c r="H117" i="1" s="1"/>
  <c r="U194" i="1"/>
  <c r="U168" i="1" s="1"/>
  <c r="U142" i="1" s="1"/>
  <c r="U116" i="1" s="1"/>
  <c r="M194" i="1"/>
  <c r="M168" i="1" s="1"/>
  <c r="M142" i="1" s="1"/>
  <c r="M116" i="1" s="1"/>
  <c r="E194" i="1"/>
  <c r="E168" i="1" s="1"/>
  <c r="E142" i="1" s="1"/>
  <c r="E116" i="1" s="1"/>
  <c r="R193" i="1"/>
  <c r="R167" i="1" s="1"/>
  <c r="R141" i="1" s="1"/>
  <c r="R115" i="1" s="1"/>
  <c r="J193" i="1"/>
  <c r="J167" i="1" s="1"/>
  <c r="J141" i="1" s="1"/>
  <c r="J115" i="1" s="1"/>
  <c r="W192" i="1"/>
  <c r="W166" i="1" s="1"/>
  <c r="W140" i="1" s="1"/>
  <c r="W114" i="1" s="1"/>
  <c r="O192" i="1"/>
  <c r="O166" i="1" s="1"/>
  <c r="O140" i="1" s="1"/>
  <c r="O114" i="1" s="1"/>
  <c r="G192" i="1"/>
  <c r="G166" i="1" s="1"/>
  <c r="G140" i="1" s="1"/>
  <c r="G114" i="1" s="1"/>
  <c r="T191" i="1"/>
  <c r="T165" i="1" s="1"/>
  <c r="T139" i="1" s="1"/>
  <c r="T113" i="1" s="1"/>
  <c r="L191" i="1"/>
  <c r="L165" i="1" s="1"/>
  <c r="L139" i="1" s="1"/>
  <c r="L113" i="1" s="1"/>
  <c r="D191" i="1"/>
  <c r="D165" i="1" s="1"/>
  <c r="D139" i="1" s="1"/>
  <c r="D113" i="1" s="1"/>
  <c r="Q190" i="1"/>
  <c r="Q164" i="1" s="1"/>
  <c r="Q138" i="1" s="1"/>
  <c r="Q112" i="1" s="1"/>
  <c r="I190" i="1"/>
  <c r="I164" i="1" s="1"/>
  <c r="I138" i="1" s="1"/>
  <c r="I112" i="1" s="1"/>
  <c r="V189" i="1"/>
  <c r="V163" i="1" s="1"/>
  <c r="V137" i="1" s="1"/>
  <c r="V111" i="1" s="1"/>
  <c r="D189" i="1"/>
  <c r="D163" i="1" s="1"/>
  <c r="D137" i="1" s="1"/>
  <c r="D111" i="1" s="1"/>
  <c r="R189" i="1"/>
  <c r="R163" i="1" s="1"/>
  <c r="R137" i="1" s="1"/>
  <c r="R111" i="1" s="1"/>
  <c r="J189" i="1"/>
  <c r="J163" i="1" s="1"/>
  <c r="J137" i="1" s="1"/>
  <c r="J111" i="1" s="1"/>
  <c r="Q189" i="1"/>
  <c r="Q163" i="1" s="1"/>
  <c r="Q137" i="1" s="1"/>
  <c r="Q111" i="1" s="1"/>
  <c r="O137" i="1"/>
  <c r="O111" i="1" s="1"/>
  <c r="K142" i="1"/>
  <c r="K116" i="1" s="1"/>
  <c r="H141" i="1"/>
  <c r="H115" i="1" s="1"/>
  <c r="E140" i="1"/>
  <c r="E114" i="1" s="1"/>
  <c r="J139" i="1"/>
  <c r="J113" i="1" s="1"/>
  <c r="W138" i="1"/>
  <c r="W112" i="1" s="1"/>
  <c r="O138" i="1"/>
  <c r="O112" i="1" s="1"/>
  <c r="T137" i="1"/>
  <c r="T111" i="1" s="1"/>
  <c r="I6" i="1"/>
  <c r="I7" i="1"/>
  <c r="I8" i="1"/>
  <c r="I9" i="1"/>
  <c r="I10" i="1"/>
  <c r="I11" i="1"/>
  <c r="I12" i="1"/>
  <c r="H6" i="1"/>
  <c r="AJ6" i="1" s="1"/>
  <c r="H7" i="1"/>
  <c r="AJ7" i="1" s="1"/>
  <c r="H8" i="1"/>
  <c r="AJ8" i="1" s="1"/>
  <c r="H9" i="1"/>
  <c r="AJ9" i="1" s="1"/>
  <c r="H10" i="1"/>
  <c r="AJ10" i="1" s="1"/>
  <c r="H11" i="1"/>
  <c r="AJ11" i="1" s="1"/>
  <c r="H12" i="1"/>
  <c r="AJ12" i="1" s="1"/>
  <c r="H5" i="1"/>
  <c r="AJ5" i="1" s="1"/>
  <c r="G6" i="1"/>
  <c r="G7" i="1"/>
  <c r="G8" i="1"/>
  <c r="G9" i="1"/>
  <c r="G10" i="1"/>
  <c r="G11" i="1"/>
  <c r="G12" i="1"/>
  <c r="G5" i="1"/>
  <c r="I5" i="1"/>
  <c r="S5" i="1" l="1"/>
  <c r="U5" i="1" s="1"/>
  <c r="R5" i="1" s="1"/>
  <c r="T5" i="1" s="1"/>
  <c r="AX6" i="1"/>
  <c r="S6" i="1"/>
  <c r="U6" i="1" s="1"/>
  <c r="R6" i="1" s="1"/>
  <c r="T6" i="1" s="1"/>
  <c r="K6" i="1" s="1"/>
  <c r="AX5" i="1"/>
  <c r="AX12" i="1"/>
  <c r="S12" i="1"/>
  <c r="U12" i="1" s="1"/>
  <c r="AX7" i="1"/>
  <c r="S7" i="1"/>
  <c r="U7" i="1" s="1"/>
  <c r="AX11" i="1"/>
  <c r="S11" i="1"/>
  <c r="U11" i="1" s="1"/>
  <c r="AX10" i="1"/>
  <c r="S10" i="1"/>
  <c r="U10" i="1" s="1"/>
  <c r="AX9" i="1"/>
  <c r="S9" i="1"/>
  <c r="U9" i="1" s="1"/>
  <c r="AX8" i="1"/>
  <c r="S8" i="1"/>
  <c r="U8" i="1" s="1"/>
  <c r="AY8" i="1" l="1"/>
  <c r="AK8" i="1"/>
  <c r="R8" i="1"/>
  <c r="T8" i="1" s="1"/>
  <c r="AR8" i="1"/>
  <c r="Y8" i="1"/>
  <c r="BF8" i="1"/>
  <c r="BF7" i="1"/>
  <c r="Y7" i="1"/>
  <c r="AK7" i="1"/>
  <c r="AR7" i="1"/>
  <c r="AY7" i="1"/>
  <c r="R7" i="1"/>
  <c r="T7" i="1" s="1"/>
  <c r="K7" i="1" s="1"/>
  <c r="AK12" i="1"/>
  <c r="BF12" i="1"/>
  <c r="R12" i="1"/>
  <c r="T12" i="1" s="1"/>
  <c r="AY12" i="1"/>
  <c r="Y12" i="1"/>
  <c r="AR12" i="1"/>
  <c r="R10" i="1"/>
  <c r="T10" i="1" s="1"/>
  <c r="Y10" i="1"/>
  <c r="AK10" i="1"/>
  <c r="AY10" i="1"/>
  <c r="BF10" i="1"/>
  <c r="AR10" i="1"/>
  <c r="AR5" i="1"/>
  <c r="AK5" i="1"/>
  <c r="BF5" i="1"/>
  <c r="AY5" i="1"/>
  <c r="Y5" i="1"/>
  <c r="AR11" i="1"/>
  <c r="BF11" i="1"/>
  <c r="AY11" i="1"/>
  <c r="AK11" i="1"/>
  <c r="R11" i="1"/>
  <c r="T11" i="1" s="1"/>
  <c r="Y11" i="1"/>
  <c r="AR6" i="1"/>
  <c r="AK6" i="1"/>
  <c r="Y6" i="1"/>
  <c r="AY6" i="1"/>
  <c r="BF6" i="1"/>
  <c r="AK9" i="1"/>
  <c r="AR9" i="1"/>
  <c r="BF9" i="1"/>
  <c r="AY9" i="1"/>
  <c r="R9" i="1"/>
  <c r="T9" i="1" s="1"/>
  <c r="Y9" i="1"/>
  <c r="AA12" i="1" l="1"/>
  <c r="BH12" i="1"/>
  <c r="BB12" i="1"/>
  <c r="BA12" i="1"/>
  <c r="K12" i="1"/>
  <c r="M12" i="1" s="1"/>
  <c r="Z12" i="1"/>
  <c r="AM12" i="1"/>
  <c r="BI12" i="1"/>
  <c r="AT12" i="1"/>
  <c r="AE12" i="1"/>
  <c r="AU12" i="1"/>
  <c r="AF12" i="1"/>
  <c r="AN12" i="1"/>
  <c r="AU6" i="1"/>
  <c r="AN6" i="1"/>
  <c r="M6" i="1"/>
  <c r="AE6" i="1"/>
  <c r="BB6" i="1"/>
  <c r="AA6" i="1"/>
  <c r="BH6" i="1"/>
  <c r="Z6" i="1"/>
  <c r="AF6" i="1"/>
  <c r="BA6" i="1"/>
  <c r="AM6" i="1"/>
  <c r="BI6" i="1"/>
  <c r="AT6" i="1"/>
  <c r="BI5" i="1"/>
  <c r="AM5" i="1"/>
  <c r="K5" i="1"/>
  <c r="M5" i="1" s="1"/>
  <c r="AT5" i="1"/>
  <c r="BB5" i="1"/>
  <c r="BA5" i="1"/>
  <c r="AU5" i="1"/>
  <c r="Z5" i="1"/>
  <c r="AN5" i="1"/>
  <c r="AF5" i="1"/>
  <c r="AE5" i="1"/>
  <c r="AA5" i="1"/>
  <c r="BH5" i="1"/>
  <c r="AF7" i="1"/>
  <c r="BA7" i="1"/>
  <c r="AE7" i="1"/>
  <c r="AM7" i="1"/>
  <c r="BI7" i="1"/>
  <c r="AT7" i="1"/>
  <c r="Z7" i="1"/>
  <c r="BB7" i="1"/>
  <c r="M7" i="1"/>
  <c r="AU7" i="1"/>
  <c r="AN7" i="1"/>
  <c r="AA7" i="1"/>
  <c r="BH7" i="1"/>
  <c r="AA11" i="1"/>
  <c r="BH11" i="1"/>
  <c r="BA11" i="1"/>
  <c r="K11" i="1"/>
  <c r="M11" i="1" s="1"/>
  <c r="AM11" i="1"/>
  <c r="AN11" i="1"/>
  <c r="BI11" i="1"/>
  <c r="AT11" i="1"/>
  <c r="BB11" i="1"/>
  <c r="Z11" i="1"/>
  <c r="AU11" i="1"/>
  <c r="AF11" i="1"/>
  <c r="AE11" i="1"/>
  <c r="BI10" i="1"/>
  <c r="AT10" i="1"/>
  <c r="BB10" i="1"/>
  <c r="AN10" i="1"/>
  <c r="Z10" i="1"/>
  <c r="AU10" i="1"/>
  <c r="AF10" i="1"/>
  <c r="BH10" i="1"/>
  <c r="AE10" i="1"/>
  <c r="AA10" i="1"/>
  <c r="AM10" i="1"/>
  <c r="BA10" i="1"/>
  <c r="K10" i="1"/>
  <c r="M10" i="1" s="1"/>
  <c r="AA9" i="1"/>
  <c r="AF9" i="1"/>
  <c r="BH9" i="1"/>
  <c r="BA9" i="1"/>
  <c r="AN9" i="1"/>
  <c r="AT9" i="1"/>
  <c r="AE9" i="1"/>
  <c r="BI9" i="1"/>
  <c r="AM9" i="1"/>
  <c r="K9" i="1"/>
  <c r="M9" i="1" s="1"/>
  <c r="BB9" i="1"/>
  <c r="AU9" i="1"/>
  <c r="Z9" i="1"/>
  <c r="AF8" i="1"/>
  <c r="BA8" i="1"/>
  <c r="AM8" i="1"/>
  <c r="AE8" i="1"/>
  <c r="K8" i="1"/>
  <c r="M8" i="1" s="1"/>
  <c r="BI8" i="1"/>
  <c r="AT8" i="1"/>
  <c r="Z8" i="1"/>
  <c r="BH8" i="1"/>
  <c r="BB8" i="1"/>
  <c r="AN8" i="1"/>
  <c r="AU8" i="1"/>
  <c r="AA8" i="1"/>
  <c r="AW9" i="1" l="1"/>
  <c r="AW6" i="1"/>
  <c r="AW8" i="1"/>
  <c r="AI8" i="1"/>
  <c r="BD8" i="1"/>
  <c r="X11" i="1"/>
  <c r="AC12" i="1"/>
  <c r="AW12" i="1"/>
  <c r="X8" i="1"/>
  <c r="AI9" i="1"/>
  <c r="AC10" i="1"/>
  <c r="AC8" i="1"/>
  <c r="AP7" i="1"/>
  <c r="AW11" i="1"/>
  <c r="AC7" i="1"/>
  <c r="X12" i="1"/>
  <c r="BD6" i="1"/>
  <c r="AI12" i="1"/>
  <c r="X10" i="1"/>
  <c r="X7" i="1"/>
  <c r="X6" i="1"/>
  <c r="AP10" i="1"/>
  <c r="BD11" i="1"/>
  <c r="AW10" i="1"/>
  <c r="AC11" i="1"/>
  <c r="BD7" i="1"/>
  <c r="BD12" i="1"/>
  <c r="AC9" i="1"/>
  <c r="AP9" i="1"/>
  <c r="AP11" i="1"/>
  <c r="AC5" i="1"/>
  <c r="BD5" i="1"/>
  <c r="AI5" i="1"/>
  <c r="AP5" i="1"/>
  <c r="M14" i="1"/>
  <c r="AI10" i="1"/>
  <c r="X9" i="1"/>
  <c r="AI7" i="1"/>
  <c r="X5" i="1"/>
  <c r="AP6" i="1"/>
  <c r="AP8" i="1"/>
  <c r="BD9" i="1"/>
  <c r="BD10" i="1"/>
  <c r="AI11" i="1"/>
  <c r="AW7" i="1"/>
  <c r="AC6" i="1"/>
  <c r="AP12" i="1"/>
  <c r="AW5" i="1"/>
  <c r="AI6" i="1"/>
  <c r="Y14" i="1" l="1"/>
  <c r="AX14" i="1"/>
  <c r="BB14" i="1" s="1"/>
  <c r="AJ14" i="1"/>
  <c r="AQ14" i="1"/>
  <c r="BE14" i="1"/>
  <c r="BI14" i="1" s="1"/>
  <c r="AD14" i="1"/>
  <c r="AF14" i="1" s="1"/>
  <c r="AU14" i="1" l="1"/>
  <c r="AN14" i="1"/>
  <c r="AA14" i="1"/>
</calcChain>
</file>

<file path=xl/sharedStrings.xml><?xml version="1.0" encoding="utf-8"?>
<sst xmlns="http://schemas.openxmlformats.org/spreadsheetml/2006/main" count="149" uniqueCount="78">
  <si>
    <t>Input</t>
  </si>
  <si>
    <t>Hidden</t>
  </si>
  <si>
    <t>Output</t>
  </si>
  <si>
    <t>x1</t>
  </si>
  <si>
    <t>y</t>
  </si>
  <si>
    <t>Data</t>
  </si>
  <si>
    <t>x2</t>
  </si>
  <si>
    <t>Normalised Data</t>
  </si>
  <si>
    <t>w1</t>
  </si>
  <si>
    <t>w2</t>
  </si>
  <si>
    <t>w3</t>
  </si>
  <si>
    <t>b1</t>
  </si>
  <si>
    <t>b2</t>
  </si>
  <si>
    <t>b3</t>
  </si>
  <si>
    <t>a2</t>
  </si>
  <si>
    <t>z2</t>
  </si>
  <si>
    <t>z1</t>
  </si>
  <si>
    <t>a1</t>
  </si>
  <si>
    <t>Prediction</t>
  </si>
  <si>
    <t>dC/dw3</t>
  </si>
  <si>
    <t>da2/dz2</t>
  </si>
  <si>
    <t>Cost</t>
  </si>
  <si>
    <t>dC/db3</t>
  </si>
  <si>
    <t>dz2/db2</t>
  </si>
  <si>
    <t>C = \sum_{i=1}^{n} (a2_{i} - y_{i})^2</t>
  </si>
  <si>
    <t>.</t>
  </si>
  <si>
    <t xml:space="preserve">z2 = (a1 * w3) + b3 </t>
  </si>
  <si>
    <t>a2 = \sigma (z2)</t>
  </si>
  <si>
    <t xml:space="preserve">z1 = (x1 * w1) + b1 + (x2 * w2) + b2 </t>
  </si>
  <si>
    <t>\frac{da2}{dz2} = \sigma (z2). (1 - \sigma (z2))</t>
  </si>
  <si>
    <t>\frac{dC}{da2} = a(a2 - y)</t>
  </si>
  <si>
    <t>dz2/dw3</t>
  </si>
  <si>
    <t>\frac{dC}{dw3} = \frac{dz2}{dw3}.\frac{da2}{dz2}.\frac{dC}{da2}</t>
  </si>
  <si>
    <t>\frac{dz2}{dw3} = a1</t>
  </si>
  <si>
    <t>\frac{dC}{db3} = \frac{dz2}{db3}.\frac{da2}{dz2}.\frac{dC}{da2}</t>
  </si>
  <si>
    <t>\frac{dz2}{db3} = 1</t>
  </si>
  <si>
    <t>\frac{dC}{dw2} = \frac{dz1}{dw2}.\frac{da1}{dz1}.\frac{dz2}{da1}.\frac{da2}{dz2}.\frac{dC}{da2}</t>
  </si>
  <si>
    <t>\frac{dC}{db2} = \frac{dz1}{db2}.\frac{da1}{dz1}.\frac{dz2}{da1}.\frac{da2}{dz2}.\frac{dC}{da2}</t>
  </si>
  <si>
    <t>\frac{dC}{dw1} = \frac{dz1}{dw1}.\frac{da1}{dz1}.\frac{dz2}{da1}.\frac{da2}{dz2}.\frac{dC}{da2}</t>
  </si>
  <si>
    <t>\frac{dC}{db1} = \frac{dz1}{db1}.\frac{da1}{dz1}.\frac{dz2}{da1}.\frac{da2}{dz2}.\frac{dC}{da2}</t>
  </si>
  <si>
    <t>a1 = \sigma (z1)</t>
  </si>
  <si>
    <t>\sigma (z2) = \frac{1}{1 + e^{-z2}}</t>
  </si>
  <si>
    <t>\sigma (z1) = \frac{1}{1 + e^{-z1}}</t>
  </si>
  <si>
    <t>\frac{dz2}{da1} = w3</t>
  </si>
  <si>
    <t>\frac{da1}{dz1} = \sigma (z1). (1 - \sigma (z1))</t>
  </si>
  <si>
    <t>\frac{dz1}{dw2} = x2</t>
  </si>
  <si>
    <t>\frac{dz1}{db2} = 1</t>
  </si>
  <si>
    <t>\frac{dz1}{db1} = 1</t>
  </si>
  <si>
    <t>\frac{dz1}{dw1} = x1</t>
  </si>
  <si>
    <t>dz2/da1</t>
  </si>
  <si>
    <t>da1/dz1</t>
  </si>
  <si>
    <t>dz1/dw2</t>
  </si>
  <si>
    <t>dC/dw2</t>
  </si>
  <si>
    <t>dC/da2</t>
  </si>
  <si>
    <t>dz1/db2</t>
  </si>
  <si>
    <t>dC/db2</t>
  </si>
  <si>
    <t>dz1/dw1</t>
  </si>
  <si>
    <t>dC/dw1</t>
  </si>
  <si>
    <t>dz1/db1</t>
  </si>
  <si>
    <t>dC/db1</t>
  </si>
  <si>
    <t>Gradient:</t>
  </si>
  <si>
    <t>N.B./ Negative gradient means increase</t>
  </si>
  <si>
    <t>Learning Rate</t>
  </si>
  <si>
    <t>PREDICTION (a2)</t>
  </si>
  <si>
    <t>X1</t>
  </si>
  <si>
    <t>w3 iterations</t>
  </si>
  <si>
    <t>Weight</t>
  </si>
  <si>
    <t>Gradient</t>
  </si>
  <si>
    <t>b3 iterations</t>
  </si>
  <si>
    <t>w2 iterations</t>
  </si>
  <si>
    <t>b2 iterations</t>
  </si>
  <si>
    <t>w1 iterations</t>
  </si>
  <si>
    <t>b1 iterations</t>
  </si>
  <si>
    <t>Overall</t>
  </si>
  <si>
    <t>Bias</t>
  </si>
  <si>
    <t>Re-instantiate Model Weights</t>
  </si>
  <si>
    <t>Min Value</t>
  </si>
  <si>
    <t>Max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</si>
</sst>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1" fillId="0" borderId="0" xfId="0" applyFont="1"/>
    <xf numFmtId="0" fontId="0" fillId="0" borderId="4" xfId="0" applyBorder="1"/>
    <xf numFmtId="0" fontId="0" fillId="0" borderId="0" xfId="0" applyBorder="1"/>
    <xf numFmtId="0" fontId="0" fillId="0" borderId="5" xfId="0" applyBorder="1"/>
    <xf numFmtId="2" fontId="0" fillId="0" borderId="4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1" fillId="0" borderId="6" xfId="0" applyNumberFormat="1" applyFont="1" applyBorder="1"/>
    <xf numFmtId="0" fontId="0" fillId="0" borderId="7" xfId="0" applyBorder="1"/>
    <xf numFmtId="2" fontId="1" fillId="0" borderId="7" xfId="0" applyNumberFormat="1" applyFont="1" applyBorder="1" applyAlignment="1">
      <alignment horizontal="center"/>
    </xf>
    <xf numFmtId="0" fontId="1" fillId="0" borderId="7" xfId="0" applyFont="1" applyBorder="1"/>
    <xf numFmtId="2" fontId="1" fillId="0" borderId="7" xfId="0" applyNumberFormat="1" applyFont="1" applyBorder="1"/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 vertical="center"/>
    </xf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165" fontId="4" fillId="0" borderId="17" xfId="0" applyNumberFormat="1" applyFont="1" applyBorder="1"/>
    <xf numFmtId="165" fontId="4" fillId="0" borderId="14" xfId="0" applyNumberFormat="1" applyFont="1" applyBorder="1"/>
    <xf numFmtId="165" fontId="4" fillId="0" borderId="15" xfId="0" applyNumberFormat="1" applyFont="1" applyBorder="1"/>
    <xf numFmtId="165" fontId="4" fillId="0" borderId="18" xfId="0" applyNumberFormat="1" applyFont="1" applyBorder="1"/>
    <xf numFmtId="165" fontId="4" fillId="0" borderId="0" xfId="0" applyNumberFormat="1" applyFont="1" applyBorder="1"/>
    <xf numFmtId="165" fontId="4" fillId="0" borderId="9" xfId="0" applyNumberFormat="1" applyFont="1" applyBorder="1"/>
    <xf numFmtId="165" fontId="4" fillId="0" borderId="19" xfId="0" applyNumberFormat="1" applyFont="1" applyBorder="1"/>
    <xf numFmtId="165" fontId="4" fillId="0" borderId="12" xfId="0" applyNumberFormat="1" applyFont="1" applyBorder="1"/>
    <xf numFmtId="165" fontId="4" fillId="0" borderId="13" xfId="0" applyNumberFormat="1" applyFont="1" applyBorder="1"/>
    <xf numFmtId="2" fontId="4" fillId="0" borderId="0" xfId="0" applyNumberFormat="1" applyFont="1" applyBorder="1"/>
    <xf numFmtId="2" fontId="4" fillId="0" borderId="14" xfId="0" applyNumberFormat="1" applyFont="1" applyBorder="1"/>
    <xf numFmtId="2" fontId="4" fillId="0" borderId="17" xfId="0" applyNumberFormat="1" applyFont="1" applyBorder="1"/>
    <xf numFmtId="2" fontId="4" fillId="0" borderId="15" xfId="0" applyNumberFormat="1" applyFont="1" applyBorder="1"/>
    <xf numFmtId="2" fontId="4" fillId="0" borderId="18" xfId="0" applyNumberFormat="1" applyFont="1" applyBorder="1"/>
    <xf numFmtId="2" fontId="4" fillId="0" borderId="9" xfId="0" applyNumberFormat="1" applyFont="1" applyBorder="1"/>
    <xf numFmtId="2" fontId="4" fillId="0" borderId="19" xfId="0" applyNumberFormat="1" applyFont="1" applyBorder="1"/>
    <xf numFmtId="2" fontId="4" fillId="0" borderId="12" xfId="0" applyNumberFormat="1" applyFont="1" applyBorder="1"/>
    <xf numFmtId="2" fontId="4" fillId="0" borderId="13" xfId="0" applyNumberFormat="1" applyFont="1" applyBorder="1"/>
    <xf numFmtId="2" fontId="1" fillId="0" borderId="3" xfId="0" applyNumberFormat="1" applyFont="1" applyBorder="1"/>
    <xf numFmtId="2" fontId="1" fillId="0" borderId="8" xfId="0" applyNumberFormat="1" applyFont="1" applyBorder="1"/>
    <xf numFmtId="2" fontId="1" fillId="0" borderId="5" xfId="0" applyNumberFormat="1" applyFont="1" applyBorder="1"/>
    <xf numFmtId="0" fontId="0" fillId="0" borderId="0" xfId="0" applyAlignment="1"/>
    <xf numFmtId="0" fontId="1" fillId="0" borderId="4" xfId="0" applyFont="1" applyBorder="1"/>
    <xf numFmtId="0" fontId="0" fillId="0" borderId="6" xfId="0" applyBorder="1"/>
    <xf numFmtId="2" fontId="0" fillId="0" borderId="8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tx1"/>
                </a:solidFill>
              </a:rPr>
              <a:t>Classification</a:t>
            </a:r>
            <a:r>
              <a:rPr lang="en-GB" sz="1600" b="1" baseline="0">
                <a:solidFill>
                  <a:schemeClr val="tx1"/>
                </a:solidFill>
              </a:rPr>
              <a:t> Prediction</a:t>
            </a:r>
            <a:endParaRPr lang="en-GB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777777777777776E-2"/>
          <c:y val="7.5009471786415191E-2"/>
          <c:w val="0.85436567206596636"/>
          <c:h val="0.81986803370068861"/>
        </c:manualLayout>
      </c:layout>
      <c:surfaceChart>
        <c:wireframe val="0"/>
        <c:ser>
          <c:idx val="0"/>
          <c:order val="0"/>
          <c:tx>
            <c:v>0</c:v>
          </c:tx>
          <c:spPr>
            <a:solidFill>
              <a:schemeClr val="accent1">
                <a:shade val="3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Page'!$D$109:$X$109</c:f>
              <c:numCache>
                <c:formatCode>0.00</c:formatCode>
                <c:ptCount val="21"/>
                <c:pt idx="0">
                  <c:v>0.12120753321974174</c:v>
                </c:pt>
                <c:pt idx="1">
                  <c:v>0.12180509551538976</c:v>
                </c:pt>
                <c:pt idx="2">
                  <c:v>0.1225442680004525</c:v>
                </c:pt>
                <c:pt idx="3">
                  <c:v>0.12345907883023438</c:v>
                </c:pt>
                <c:pt idx="4">
                  <c:v>0.12459196602161092</c:v>
                </c:pt>
                <c:pt idx="5">
                  <c:v>0.12599596626602858</c:v>
                </c:pt>
                <c:pt idx="6">
                  <c:v>0.12773752066105409</c:v>
                </c:pt>
                <c:pt idx="7">
                  <c:v>0.12990008692806521</c:v>
                </c:pt>
                <c:pt idx="8">
                  <c:v>0.1325888070020457</c:v>
                </c:pt>
                <c:pt idx="9">
                  <c:v>0.13593655194425511</c:v>
                </c:pt>
                <c:pt idx="10">
                  <c:v>0.14011174880966962</c:v>
                </c:pt>
                <c:pt idx="11">
                  <c:v>0.14532847097245774</c:v>
                </c:pt>
                <c:pt idx="12">
                  <c:v>0.15185930438570341</c:v>
                </c:pt>
                <c:pt idx="13">
                  <c:v>0.16005139715073616</c:v>
                </c:pt>
                <c:pt idx="14">
                  <c:v>0.1703456735563865</c:v>
                </c:pt>
                <c:pt idx="15">
                  <c:v>0.18329809697119528</c:v>
                </c:pt>
                <c:pt idx="16">
                  <c:v>0.19959950281272068</c:v>
                </c:pt>
                <c:pt idx="17">
                  <c:v>0.22008603272523045</c:v>
                </c:pt>
                <c:pt idx="18">
                  <c:v>0.24572474466594404</c:v>
                </c:pt>
                <c:pt idx="19">
                  <c:v>0.27754886568337273</c:v>
                </c:pt>
                <c:pt idx="20">
                  <c:v>0.31650860533620384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F-4768-8448-4082E61BA44F}"/>
            </c:ext>
          </c:extLst>
        </c:ser>
        <c:ser>
          <c:idx val="1"/>
          <c:order val="1"/>
          <c:tx>
            <c:v>0.05</c:v>
          </c:tx>
          <c:spPr>
            <a:solidFill>
              <a:schemeClr val="accent1">
                <a:shade val="4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Page'!$D$110:$X$110</c:f>
              <c:numCache>
                <c:formatCode>0.00</c:formatCode>
                <c:ptCount val="21"/>
                <c:pt idx="0">
                  <c:v>0.12186426283805636</c:v>
                </c:pt>
                <c:pt idx="1">
                  <c:v>0.12261747536030519</c:v>
                </c:pt>
                <c:pt idx="2">
                  <c:v>0.12354970922540934</c:v>
                </c:pt>
                <c:pt idx="3">
                  <c:v>0.12470424294798771</c:v>
                </c:pt>
                <c:pt idx="4">
                  <c:v>0.12613517438600169</c:v>
                </c:pt>
                <c:pt idx="5">
                  <c:v>0.12791028933268631</c:v>
                </c:pt>
                <c:pt idx="6">
                  <c:v>0.13011475599343933</c:v>
                </c:pt>
                <c:pt idx="7">
                  <c:v>0.13285590015120916</c:v>
                </c:pt>
                <c:pt idx="8">
                  <c:v>0.13626939000964797</c:v>
                </c:pt>
                <c:pt idx="9">
                  <c:v>0.14052724273326103</c:v>
                </c:pt>
                <c:pt idx="10">
                  <c:v>0.14584813964312196</c:v>
                </c:pt>
                <c:pt idx="11">
                  <c:v>0.15251056061284363</c:v>
                </c:pt>
                <c:pt idx="12">
                  <c:v>0.16086912402966616</c:v>
                </c:pt>
                <c:pt idx="13">
                  <c:v>0.17137405033418804</c:v>
                </c:pt>
                <c:pt idx="14">
                  <c:v>0.18459248660923852</c:v>
                </c:pt>
                <c:pt idx="15">
                  <c:v>0.20122791640569132</c:v>
                </c:pt>
                <c:pt idx="16">
                  <c:v>0.22212915524268131</c:v>
                </c:pt>
                <c:pt idx="17">
                  <c:v>0.24827269674577068</c:v>
                </c:pt>
                <c:pt idx="18">
                  <c:v>0.2806919475665054</c:v>
                </c:pt>
                <c:pt idx="19">
                  <c:v>0.32031891971716758</c:v>
                </c:pt>
                <c:pt idx="20">
                  <c:v>0.36771134875181444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F-4768-8448-4082E61BA44F}"/>
            </c:ext>
          </c:extLst>
        </c:ser>
        <c:ser>
          <c:idx val="2"/>
          <c:order val="2"/>
          <c:tx>
            <c:v>0.1</c:v>
          </c:tx>
          <c:spPr>
            <a:solidFill>
              <a:schemeClr val="accent1">
                <a:shade val="4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Page'!$D$111:$X$111</c:f>
              <c:numCache>
                <c:formatCode>0.00</c:formatCode>
                <c:ptCount val="21"/>
                <c:pt idx="0">
                  <c:v>0.12269207509624409</c:v>
                </c:pt>
                <c:pt idx="1">
                  <c:v>0.12364206850224034</c:v>
                </c:pt>
                <c:pt idx="2">
                  <c:v>0.12481866933992213</c:v>
                </c:pt>
                <c:pt idx="3">
                  <c:v>0.12627705890872221</c:v>
                </c:pt>
                <c:pt idx="4">
                  <c:v>0.12808639638234062</c:v>
                </c:pt>
                <c:pt idx="5">
                  <c:v>0.13033359752525606</c:v>
                </c:pt>
                <c:pt idx="6">
                  <c:v>0.13312821999593596</c:v>
                </c:pt>
                <c:pt idx="7">
                  <c:v>0.13660879134082748</c:v>
                </c:pt>
                <c:pt idx="8">
                  <c:v>0.14095099903846353</c:v>
                </c:pt>
                <c:pt idx="9">
                  <c:v>0.14637823463915861</c:v>
                </c:pt>
                <c:pt idx="10">
                  <c:v>0.15317499952186303</c:v>
                </c:pt>
                <c:pt idx="11">
                  <c:v>0.16170353504428228</c:v>
                </c:pt>
                <c:pt idx="12">
                  <c:v>0.17242352655921492</c:v>
                </c:pt>
                <c:pt idx="13">
                  <c:v>0.18591346163894881</c:v>
                </c:pt>
                <c:pt idx="14">
                  <c:v>0.20288955242283571</c:v>
                </c:pt>
                <c:pt idx="15">
                  <c:v>0.22421316761353513</c:v>
                </c:pt>
                <c:pt idx="16">
                  <c:v>0.25086970733425873</c:v>
                </c:pt>
                <c:pt idx="17">
                  <c:v>0.28389154236299136</c:v>
                </c:pt>
                <c:pt idx="18">
                  <c:v>0.32419035021666909</c:v>
                </c:pt>
                <c:pt idx="19">
                  <c:v>0.37227390546728389</c:v>
                </c:pt>
                <c:pt idx="20">
                  <c:v>0.42787082312376323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3F-4768-8448-4082E61BA44F}"/>
            </c:ext>
          </c:extLst>
        </c:ser>
        <c:ser>
          <c:idx val="3"/>
          <c:order val="3"/>
          <c:tx>
            <c:v>0.15</c:v>
          </c:tx>
          <c:spPr>
            <a:solidFill>
              <a:schemeClr val="accent1">
                <a:shade val="5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Page'!$D$112:$X$112</c:f>
              <c:numCache>
                <c:formatCode>0.00</c:formatCode>
                <c:ptCount val="21"/>
                <c:pt idx="0">
                  <c:v>0.12373619015177324</c:v>
                </c:pt>
                <c:pt idx="1">
                  <c:v>0.12493528710729017</c:v>
                </c:pt>
                <c:pt idx="2">
                  <c:v>0.12642167241414567</c:v>
                </c:pt>
                <c:pt idx="3">
                  <c:v>0.12826590796518197</c:v>
                </c:pt>
                <c:pt idx="4">
                  <c:v>0.13055669501436709</c:v>
                </c:pt>
                <c:pt idx="5">
                  <c:v>0.13340587223609676</c:v>
                </c:pt>
                <c:pt idx="6">
                  <c:v>0.13695489014914847</c:v>
                </c:pt>
                <c:pt idx="7">
                  <c:v>0.14138318853922918</c:v>
                </c:pt>
                <c:pt idx="8">
                  <c:v>0.14691897360037423</c:v>
                </c:pt>
                <c:pt idx="9">
                  <c:v>0.15385289810821004</c:v>
                </c:pt>
                <c:pt idx="10">
                  <c:v>0.16255498104870769</c:v>
                </c:pt>
                <c:pt idx="11">
                  <c:v>0.17349454190498192</c:v>
                </c:pt>
                <c:pt idx="12">
                  <c:v>0.18726156206036984</c:v>
                </c:pt>
                <c:pt idx="13">
                  <c:v>0.20458505103782282</c:v>
                </c:pt>
                <c:pt idx="14">
                  <c:v>0.22633878357824957</c:v>
                </c:pt>
                <c:pt idx="15">
                  <c:v>0.25351648827010159</c:v>
                </c:pt>
                <c:pt idx="16">
                  <c:v>0.28714821033829269</c:v>
                </c:pt>
                <c:pt idx="17">
                  <c:v>0.32812307114271205</c:v>
                </c:pt>
                <c:pt idx="18">
                  <c:v>0.37689587805352914</c:v>
                </c:pt>
                <c:pt idx="19">
                  <c:v>0.43310782465776543</c:v>
                </c:pt>
                <c:pt idx="20">
                  <c:v>0.49525138448602735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3F-4768-8448-4082E61BA44F}"/>
            </c:ext>
          </c:extLst>
        </c:ser>
        <c:ser>
          <c:idx val="4"/>
          <c:order val="4"/>
          <c:tx>
            <c:v>0.2</c:v>
          </c:tx>
          <c:spPr>
            <a:solidFill>
              <a:schemeClr val="accent1">
                <a:shade val="6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Page'!$D$113:$X$113</c:f>
              <c:numCache>
                <c:formatCode>0.00</c:formatCode>
                <c:ptCount val="21"/>
                <c:pt idx="0">
                  <c:v>0.12505413900380236</c:v>
                </c:pt>
                <c:pt idx="1">
                  <c:v>0.12656906855385183</c:v>
                </c:pt>
                <c:pt idx="2">
                  <c:v>0.12844889160249331</c:v>
                </c:pt>
                <c:pt idx="3">
                  <c:v>0.13078413369933178</c:v>
                </c:pt>
                <c:pt idx="4">
                  <c:v>0.13368896481358519</c:v>
                </c:pt>
                <c:pt idx="5">
                  <c:v>0.13730782352551552</c:v>
                </c:pt>
                <c:pt idx="6">
                  <c:v>0.14182398574218169</c:v>
                </c:pt>
                <c:pt idx="7">
                  <c:v>0.14747057887349041</c:v>
                </c:pt>
                <c:pt idx="8">
                  <c:v>0.15454453928758285</c:v>
                </c:pt>
                <c:pt idx="9">
                  <c:v>0.16342382015677737</c:v>
                </c:pt>
                <c:pt idx="10">
                  <c:v>0.17458754454400191</c:v>
                </c:pt>
                <c:pt idx="11">
                  <c:v>0.1886373369923543</c:v>
                </c:pt>
                <c:pt idx="12">
                  <c:v>0.20631506053344909</c:v>
                </c:pt>
                <c:pt idx="13">
                  <c:v>0.22850672066364489</c:v>
                </c:pt>
                <c:pt idx="14">
                  <c:v>0.25621374527691826</c:v>
                </c:pt>
                <c:pt idx="15">
                  <c:v>0.29046248824154203</c:v>
                </c:pt>
                <c:pt idx="16">
                  <c:v>0.3321172092318736</c:v>
                </c:pt>
                <c:pt idx="17">
                  <c:v>0.38157670349689254</c:v>
                </c:pt>
                <c:pt idx="18">
                  <c:v>0.43839197067482977</c:v>
                </c:pt>
                <c:pt idx="19">
                  <c:v>0.50094497907942293</c:v>
                </c:pt>
                <c:pt idx="20">
                  <c:v>0.56641620256026814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3F-4768-8448-4082E61BA44F}"/>
            </c:ext>
          </c:extLst>
        </c:ser>
        <c:ser>
          <c:idx val="5"/>
          <c:order val="5"/>
          <c:tx>
            <c:v>0.25</c:v>
          </c:tx>
          <c:spPr>
            <a:solidFill>
              <a:schemeClr val="accent1">
                <a:shade val="6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Page'!$D$114:$X$114</c:f>
              <c:numCache>
                <c:formatCode>0.00</c:formatCode>
                <c:ptCount val="21"/>
                <c:pt idx="0">
                  <c:v>0.12671930207411786</c:v>
                </c:pt>
                <c:pt idx="1">
                  <c:v>0.12863541621154989</c:v>
                </c:pt>
                <c:pt idx="2">
                  <c:v>0.13101600060514187</c:v>
                </c:pt>
                <c:pt idx="3">
                  <c:v>0.13397760796241062</c:v>
                </c:pt>
                <c:pt idx="4">
                  <c:v>0.13766773150470313</c:v>
                </c:pt>
                <c:pt idx="5">
                  <c:v>0.14227356892789123</c:v>
                </c:pt>
                <c:pt idx="6">
                  <c:v>0.14803327761173909</c:v>
                </c:pt>
                <c:pt idx="7">
                  <c:v>0.15525021201113201</c:v>
                </c:pt>
                <c:pt idx="8">
                  <c:v>0.16431041786061956</c:v>
                </c:pt>
                <c:pt idx="9">
                  <c:v>0.17570299123820027</c:v>
                </c:pt>
                <c:pt idx="10">
                  <c:v>0.19004134466850456</c:v>
                </c:pt>
                <c:pt idx="11">
                  <c:v>0.20808023708321163</c:v>
                </c:pt>
                <c:pt idx="12">
                  <c:v>0.2307176995677559</c:v>
                </c:pt>
                <c:pt idx="13">
                  <c:v>0.25896217674429423</c:v>
                </c:pt>
                <c:pt idx="14">
                  <c:v>0.29383488739775598</c:v>
                </c:pt>
                <c:pt idx="15">
                  <c:v>0.33617284138028714</c:v>
                </c:pt>
                <c:pt idx="16">
                  <c:v>0.38631574602154717</c:v>
                </c:pt>
                <c:pt idx="17">
                  <c:v>0.4437217389144763</c:v>
                </c:pt>
                <c:pt idx="18">
                  <c:v>0.50666189588935773</c:v>
                </c:pt>
                <c:pt idx="19">
                  <c:v>0.57222409091403281</c:v>
                </c:pt>
                <c:pt idx="20">
                  <c:v>0.63678520222360457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3F-4768-8448-4082E61BA44F}"/>
            </c:ext>
          </c:extLst>
        </c:ser>
        <c:ser>
          <c:idx val="6"/>
          <c:order val="6"/>
          <c:tx>
            <c:v>0.3</c:v>
          </c:tx>
          <c:spPr>
            <a:solidFill>
              <a:schemeClr val="accent1">
                <a:shade val="7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Page'!$D$115:$X$115</c:f>
              <c:numCache>
                <c:formatCode>0.00</c:formatCode>
                <c:ptCount val="21"/>
                <c:pt idx="0">
                  <c:v>0.12882555213618616</c:v>
                </c:pt>
                <c:pt idx="1">
                  <c:v>0.13125238458284283</c:v>
                </c:pt>
                <c:pt idx="2">
                  <c:v>0.13427191425992935</c:v>
                </c:pt>
                <c:pt idx="3">
                  <c:v>0.13803475713107188</c:v>
                </c:pt>
                <c:pt idx="4">
                  <c:v>0.14273212023374696</c:v>
                </c:pt>
                <c:pt idx="5">
                  <c:v>0.14860730187603724</c:v>
                </c:pt>
                <c:pt idx="6">
                  <c:v>0.1559702113816509</c:v>
                </c:pt>
                <c:pt idx="7">
                  <c:v>0.16521514714840135</c:v>
                </c:pt>
                <c:pt idx="8">
                  <c:v>0.17684134742430169</c:v>
                </c:pt>
                <c:pt idx="9">
                  <c:v>0.19147415241991642</c:v>
                </c:pt>
                <c:pt idx="10">
                  <c:v>0.20988124450601003</c:v>
                </c:pt>
                <c:pt idx="11">
                  <c:v>0.23297244349933305</c:v>
                </c:pt>
                <c:pt idx="12">
                  <c:v>0.26176247244775036</c:v>
                </c:pt>
                <c:pt idx="13">
                  <c:v>0.29726589174621815</c:v>
                </c:pt>
                <c:pt idx="14">
                  <c:v>0.34028999238082303</c:v>
                </c:pt>
                <c:pt idx="15">
                  <c:v>0.39111229560462996</c:v>
                </c:pt>
                <c:pt idx="16">
                  <c:v>0.4490955286816295</c:v>
                </c:pt>
                <c:pt idx="17">
                  <c:v>0.51239978126519425</c:v>
                </c:pt>
                <c:pt idx="18">
                  <c:v>0.57802408289624052</c:v>
                </c:pt>
                <c:pt idx="19">
                  <c:v>0.64231960456105075</c:v>
                </c:pt>
                <c:pt idx="20">
                  <c:v>0.7018361529855498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3F-4768-8448-4082E61BA44F}"/>
            </c:ext>
          </c:extLst>
        </c:ser>
        <c:ser>
          <c:idx val="7"/>
          <c:order val="7"/>
          <c:tx>
            <c:v>0.35</c:v>
          </c:tx>
          <c:spPr>
            <a:solidFill>
              <a:schemeClr val="accent1">
                <a:shade val="8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Page'!$D$116:$X$116</c:f>
              <c:numCache>
                <c:formatCode>0.00</c:formatCode>
                <c:ptCount val="21"/>
                <c:pt idx="0">
                  <c:v>0.1314933763500718</c:v>
                </c:pt>
                <c:pt idx="1">
                  <c:v>0.13457199867923825</c:v>
                </c:pt>
                <c:pt idx="2">
                  <c:v>0.13840904652570307</c:v>
                </c:pt>
                <c:pt idx="3">
                  <c:v>0.14319982573844003</c:v>
                </c:pt>
                <c:pt idx="4">
                  <c:v>0.14919288873771838</c:v>
                </c:pt>
                <c:pt idx="5">
                  <c:v>0.15670483877065841</c:v>
                </c:pt>
                <c:pt idx="6">
                  <c:v>0.16613838862098484</c:v>
                </c:pt>
                <c:pt idx="7">
                  <c:v>0.17800308729365669</c:v>
                </c:pt>
                <c:pt idx="8">
                  <c:v>0.19293633664375273</c:v>
                </c:pt>
                <c:pt idx="9">
                  <c:v>0.21171875399249726</c:v>
                </c:pt>
                <c:pt idx="10">
                  <c:v>0.23527167747029901</c:v>
                </c:pt>
                <c:pt idx="11">
                  <c:v>0.26461531220695539</c:v>
                </c:pt>
                <c:pt idx="12">
                  <c:v>0.30075595582778847</c:v>
                </c:pt>
                <c:pt idx="13">
                  <c:v>0.34446863267503947</c:v>
                </c:pt>
                <c:pt idx="14">
                  <c:v>0.39596556663218657</c:v>
                </c:pt>
                <c:pt idx="15">
                  <c:v>0.4545116618727274</c:v>
                </c:pt>
                <c:pt idx="16">
                  <c:v>0.51815623398213673</c:v>
                </c:pt>
                <c:pt idx="17">
                  <c:v>0.58381356489627545</c:v>
                </c:pt>
                <c:pt idx="18">
                  <c:v>0.64781601534752919</c:v>
                </c:pt>
                <c:pt idx="19">
                  <c:v>0.70677292678123305</c:v>
                </c:pt>
                <c:pt idx="20">
                  <c:v>0.75832665052847337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3F-4768-8448-4082E61BA44F}"/>
            </c:ext>
          </c:extLst>
        </c:ser>
        <c:ser>
          <c:idx val="8"/>
          <c:order val="8"/>
          <c:tx>
            <c:v>0.4</c:v>
          </c:tx>
          <c:spPr>
            <a:solidFill>
              <a:schemeClr val="accent1">
                <a:shade val="8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Page'!$D$117:$X$117</c:f>
              <c:numCache>
                <c:formatCode>0.00</c:formatCode>
                <c:ptCount val="21"/>
                <c:pt idx="0">
                  <c:v>0.13487797864275317</c:v>
                </c:pt>
                <c:pt idx="1">
                  <c:v>0.13879074895497315</c:v>
                </c:pt>
                <c:pt idx="2">
                  <c:v>0.14367687554806394</c:v>
                </c:pt>
                <c:pt idx="3">
                  <c:v>0.14979028038279485</c:v>
                </c:pt>
                <c:pt idx="4">
                  <c:v>0.15745440193626317</c:v>
                </c:pt>
                <c:pt idx="5">
                  <c:v>0.16708053060722075</c:v>
                </c:pt>
                <c:pt idx="6">
                  <c:v>0.17918869386593711</c:v>
                </c:pt>
                <c:pt idx="7">
                  <c:v>0.19442848275663255</c:v>
                </c:pt>
                <c:pt idx="8">
                  <c:v>0.21359344380155268</c:v>
                </c:pt>
                <c:pt idx="9">
                  <c:v>0.23761612753949141</c:v>
                </c:pt>
                <c:pt idx="10">
                  <c:v>0.26752136448167424</c:v>
                </c:pt>
                <c:pt idx="11">
                  <c:v>0.30430550272433987</c:v>
                </c:pt>
                <c:pt idx="12">
                  <c:v>0.34870867612899448</c:v>
                </c:pt>
                <c:pt idx="13">
                  <c:v>0.40087469670828302</c:v>
                </c:pt>
                <c:pt idx="14">
                  <c:v>0.45996838426222048</c:v>
                </c:pt>
                <c:pt idx="15">
                  <c:v>0.5239288093751383</c:v>
                </c:pt>
                <c:pt idx="16">
                  <c:v>0.58958993613078603</c:v>
                </c:pt>
                <c:pt idx="17">
                  <c:v>0.65327231772746086</c:v>
                </c:pt>
                <c:pt idx="18">
                  <c:v>0.71165098173398933</c:v>
                </c:pt>
                <c:pt idx="19">
                  <c:v>0.7624822169787262</c:v>
                </c:pt>
                <c:pt idx="20">
                  <c:v>0.80486650709064733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3F-4768-8448-4082E61BA44F}"/>
            </c:ext>
          </c:extLst>
        </c:ser>
        <c:ser>
          <c:idx val="9"/>
          <c:order val="9"/>
          <c:tx>
            <c:v>0.45</c:v>
          </c:tx>
          <c:spPr>
            <a:solidFill>
              <a:schemeClr val="accent1">
                <a:shade val="9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Page'!$D$118:$X$118</c:f>
              <c:numCache>
                <c:formatCode>0.00</c:formatCode>
                <c:ptCount val="21"/>
                <c:pt idx="0">
                  <c:v>0.13918001690058751</c:v>
                </c:pt>
                <c:pt idx="1">
                  <c:v>0.14416346388384074</c:v>
                </c:pt>
                <c:pt idx="2">
                  <c:v>0.15039972421771891</c:v>
                </c:pt>
                <c:pt idx="3">
                  <c:v>0.15821921514169104</c:v>
                </c:pt>
                <c:pt idx="4">
                  <c:v>0.16804196927758433</c:v>
                </c:pt>
                <c:pt idx="5">
                  <c:v>0.18039865905610136</c:v>
                </c:pt>
                <c:pt idx="6">
                  <c:v>0.19595118513177134</c:v>
                </c:pt>
                <c:pt idx="7">
                  <c:v>0.21550599892531783</c:v>
                </c:pt>
                <c:pt idx="8">
                  <c:v>0.24000652000604825</c:v>
                </c:pt>
                <c:pt idx="9">
                  <c:v>0.27048128490516926</c:v>
                </c:pt>
                <c:pt idx="10">
                  <c:v>0.30791492195398062</c:v>
                </c:pt>
                <c:pt idx="11">
                  <c:v>0.3530099778425223</c:v>
                </c:pt>
                <c:pt idx="12">
                  <c:v>0.40583874562952033</c:v>
                </c:pt>
                <c:pt idx="13">
                  <c:v>0.4654638670532032</c:v>
                </c:pt>
                <c:pt idx="14">
                  <c:v>0.5297150236720245</c:v>
                </c:pt>
                <c:pt idx="15">
                  <c:v>0.59535061388078447</c:v>
                </c:pt>
                <c:pt idx="16">
                  <c:v>0.65868646302190992</c:v>
                </c:pt>
                <c:pt idx="17">
                  <c:v>0.71646919153067645</c:v>
                </c:pt>
                <c:pt idx="18">
                  <c:v>0.76657106995588209</c:v>
                </c:pt>
                <c:pt idx="19">
                  <c:v>0.80820694133676696</c:v>
                </c:pt>
                <c:pt idx="20">
                  <c:v>0.84169912850765038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3F-4768-8448-4082E61BA44F}"/>
            </c:ext>
          </c:extLst>
        </c:ser>
        <c:ser>
          <c:idx val="10"/>
          <c:order val="10"/>
          <c:tx>
            <c:v>0.5</c:v>
          </c:tx>
          <c:spPr>
            <a:solidFill>
              <a:schemeClr val="accent1"/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Page'!$D$119:$X$119</c:f>
              <c:numCache>
                <c:formatCode>0.00</c:formatCode>
                <c:ptCount val="21"/>
                <c:pt idx="0">
                  <c:v>0.14465978917147723</c:v>
                </c:pt>
                <c:pt idx="1">
                  <c:v>0.15102147297660581</c:v>
                </c:pt>
                <c:pt idx="2">
                  <c:v>0.15899959927434565</c:v>
                </c:pt>
                <c:pt idx="3">
                  <c:v>0.16902310875584101</c:v>
                </c:pt>
                <c:pt idx="4">
                  <c:v>0.18163348373399152</c:v>
                </c:pt>
                <c:pt idx="5">
                  <c:v>0.19750504701876695</c:v>
                </c:pt>
                <c:pt idx="6">
                  <c:v>0.21745711072119758</c:v>
                </c:pt>
                <c:pt idx="7">
                  <c:v>0.24244358055084431</c:v>
                </c:pt>
                <c:pt idx="8">
                  <c:v>0.27349571475499151</c:v>
                </c:pt>
                <c:pt idx="9">
                  <c:v>0.31158456732621392</c:v>
                </c:pt>
                <c:pt idx="10">
                  <c:v>0.35737233200205942</c:v>
                </c:pt>
                <c:pt idx="11">
                  <c:v>0.41085669453697954</c:v>
                </c:pt>
                <c:pt idx="12">
                  <c:v>0.47099620869455799</c:v>
                </c:pt>
                <c:pt idx="13">
                  <c:v>0.53551235851029211</c:v>
                </c:pt>
                <c:pt idx="14">
                  <c:v>0.60109303867008168</c:v>
                </c:pt>
                <c:pt idx="15">
                  <c:v>0.66405647385439481</c:v>
                </c:pt>
                <c:pt idx="16">
                  <c:v>0.72122651698740681</c:v>
                </c:pt>
                <c:pt idx="17">
                  <c:v>0.77059308443062513</c:v>
                </c:pt>
                <c:pt idx="18">
                  <c:v>0.81148336124611775</c:v>
                </c:pt>
                <c:pt idx="19">
                  <c:v>0.84429718729419212</c:v>
                </c:pt>
                <c:pt idx="20">
                  <c:v>0.87005946166965076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3F-4768-8448-4082E61BA44F}"/>
            </c:ext>
          </c:extLst>
        </c:ser>
        <c:ser>
          <c:idx val="11"/>
          <c:order val="11"/>
          <c:tx>
            <c:v>0.55</c:v>
          </c:tx>
          <c:spPr>
            <a:solidFill>
              <a:schemeClr val="accent1">
                <a:tint val="9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Page'!$D$120:$X$120</c:f>
              <c:numCache>
                <c:formatCode>0.00</c:formatCode>
                <c:ptCount val="21"/>
                <c:pt idx="0">
                  <c:v>0.15165578482987599</c:v>
                </c:pt>
                <c:pt idx="1">
                  <c:v>0.15979588196525901</c:v>
                </c:pt>
                <c:pt idx="2">
                  <c:v>0.17002436122840248</c:v>
                </c:pt>
                <c:pt idx="3">
                  <c:v>0.18289367777589133</c:v>
                </c:pt>
                <c:pt idx="4">
                  <c:v>0.19909068044487307</c:v>
                </c:pt>
                <c:pt idx="5">
                  <c:v>0.21944747650920171</c:v>
                </c:pt>
                <c:pt idx="6">
                  <c:v>0.24492803332443033</c:v>
                </c:pt>
                <c:pt idx="7">
                  <c:v>0.27656527936136144</c:v>
                </c:pt>
                <c:pt idx="8">
                  <c:v>0.31531475476167364</c:v>
                </c:pt>
                <c:pt idx="9">
                  <c:v>0.3617954697875615</c:v>
                </c:pt>
                <c:pt idx="10">
                  <c:v>0.41592744525730002</c:v>
                </c:pt>
                <c:pt idx="11">
                  <c:v>0.47656343696554959</c:v>
                </c:pt>
                <c:pt idx="12">
                  <c:v>0.54131826562063334</c:v>
                </c:pt>
                <c:pt idx="13">
                  <c:v>0.60681467936207223</c:v>
                </c:pt>
                <c:pt idx="14">
                  <c:v>0.66938044700708021</c:v>
                </c:pt>
                <c:pt idx="15">
                  <c:v>0.72592200576114796</c:v>
                </c:pt>
                <c:pt idx="16">
                  <c:v>0.77454820491466736</c:v>
                </c:pt>
                <c:pt idx="17">
                  <c:v>0.81469631911709428</c:v>
                </c:pt>
                <c:pt idx="18">
                  <c:v>0.84684005517589656</c:v>
                </c:pt>
                <c:pt idx="19">
                  <c:v>0.87203836149920799</c:v>
                </c:pt>
                <c:pt idx="20">
                  <c:v>0.89154236567405021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3F-4768-8448-4082E61BA44F}"/>
            </c:ext>
          </c:extLst>
        </c:ser>
        <c:ser>
          <c:idx val="12"/>
          <c:order val="12"/>
          <c:tx>
            <c:v>0.6</c:v>
          </c:tx>
          <c:spPr>
            <a:solidFill>
              <a:schemeClr val="accent1">
                <a:tint val="8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Page'!$D$121:$X$121</c:f>
              <c:numCache>
                <c:formatCode>0.00</c:formatCode>
                <c:ptCount val="21"/>
                <c:pt idx="0">
                  <c:v>0.16060839770877747</c:v>
                </c:pt>
                <c:pt idx="1">
                  <c:v>0.17104614705101456</c:v>
                </c:pt>
                <c:pt idx="2">
                  <c:v>0.18417976010733383</c:v>
                </c:pt>
                <c:pt idx="3">
                  <c:v>0.20070870609656266</c:v>
                </c:pt>
                <c:pt idx="4">
                  <c:v>0.22147779913297067</c:v>
                </c:pt>
                <c:pt idx="5">
                  <c:v>0.24746059998000813</c:v>
                </c:pt>
                <c:pt idx="6">
                  <c:v>0.27969058645361133</c:v>
                </c:pt>
                <c:pt idx="7">
                  <c:v>0.31910576008160407</c:v>
                </c:pt>
                <c:pt idx="8">
                  <c:v>0.36627905734447341</c:v>
                </c:pt>
                <c:pt idx="9">
                  <c:v>0.42104981984419215</c:v>
                </c:pt>
                <c:pt idx="10">
                  <c:v>0.48216351132729274</c:v>
                </c:pt>
                <c:pt idx="11">
                  <c:v>0.54713017165895039</c:v>
                </c:pt>
                <c:pt idx="12">
                  <c:v>0.61251303815240954</c:v>
                </c:pt>
                <c:pt idx="13">
                  <c:v>0.67465655600015928</c:v>
                </c:pt>
                <c:pt idx="14">
                  <c:v>0.73055479181721628</c:v>
                </c:pt>
                <c:pt idx="15">
                  <c:v>0.77843644306165127</c:v>
                </c:pt>
                <c:pt idx="16">
                  <c:v>0.81784640463953184</c:v>
                </c:pt>
                <c:pt idx="17">
                  <c:v>0.84932857985869059</c:v>
                </c:pt>
                <c:pt idx="18">
                  <c:v>0.87397284606029613</c:v>
                </c:pt>
                <c:pt idx="19">
                  <c:v>0.89303314882267559</c:v>
                </c:pt>
                <c:pt idx="20">
                  <c:v>0.90769198943907958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3F-4768-8448-4082E61BA44F}"/>
            </c:ext>
          </c:extLst>
        </c:ser>
        <c:ser>
          <c:idx val="13"/>
          <c:order val="13"/>
          <c:tx>
            <c:v>0.65</c:v>
          </c:tx>
          <c:spPr>
            <a:solidFill>
              <a:schemeClr val="accent1">
                <a:tint val="8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Page'!$D$122:$X$122</c:f>
              <c:numCache>
                <c:formatCode>0.00</c:formatCode>
                <c:ptCount val="21"/>
                <c:pt idx="0">
                  <c:v>0.17208889485239018</c:v>
                </c:pt>
                <c:pt idx="1">
                  <c:v>0.18549225873641162</c:v>
                </c:pt>
                <c:pt idx="2">
                  <c:v>0.2023597531801308</c:v>
                </c:pt>
                <c:pt idx="3">
                  <c:v>0.22354878648281098</c:v>
                </c:pt>
                <c:pt idx="4">
                  <c:v>0.25004199865003918</c:v>
                </c:pt>
                <c:pt idx="5">
                  <c:v>0.28287222444546178</c:v>
                </c:pt>
                <c:pt idx="6">
                  <c:v>0.3229578167727632</c:v>
                </c:pt>
                <c:pt idx="7">
                  <c:v>0.37082269383209576</c:v>
                </c:pt>
                <c:pt idx="8">
                  <c:v>0.42622256033115108</c:v>
                </c:pt>
                <c:pt idx="9">
                  <c:v>0.48779432553895069</c:v>
                </c:pt>
                <c:pt idx="10">
                  <c:v>0.55294548316742098</c:v>
                </c:pt>
                <c:pt idx="11">
                  <c:v>0.61818565543581305</c:v>
                </c:pt>
                <c:pt idx="12">
                  <c:v>0.67988305338899757</c:v>
                </c:pt>
                <c:pt idx="13">
                  <c:v>0.73512409466360096</c:v>
                </c:pt>
                <c:pt idx="14">
                  <c:v>0.78225787518876166</c:v>
                </c:pt>
                <c:pt idx="15">
                  <c:v>0.82093424232536227</c:v>
                </c:pt>
                <c:pt idx="16">
                  <c:v>0.85176361913369691</c:v>
                </c:pt>
                <c:pt idx="17">
                  <c:v>0.87586378623036176</c:v>
                </c:pt>
                <c:pt idx="18">
                  <c:v>0.89448968483090219</c:v>
                </c:pt>
                <c:pt idx="19">
                  <c:v>0.90881086503125674</c:v>
                </c:pt>
                <c:pt idx="20">
                  <c:v>0.91981499953755519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D3F-4768-8448-4082E61BA44F}"/>
            </c:ext>
          </c:extLst>
        </c:ser>
        <c:ser>
          <c:idx val="14"/>
          <c:order val="14"/>
          <c:tx>
            <c:v>0.7</c:v>
          </c:tx>
          <c:spPr>
            <a:solidFill>
              <a:schemeClr val="accent1">
                <a:tint val="7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Page'!$D$123:$X$123</c:f>
              <c:numCache>
                <c:formatCode>0.00</c:formatCode>
                <c:ptCount val="21"/>
                <c:pt idx="0">
                  <c:v>0.18683171077680136</c:v>
                </c:pt>
                <c:pt idx="1">
                  <c:v>0.20404445926004378</c:v>
                </c:pt>
                <c:pt idx="2">
                  <c:v>0.22566115097904449</c:v>
                </c:pt>
                <c:pt idx="3">
                  <c:v>0.25267294286519887</c:v>
                </c:pt>
                <c:pt idx="4">
                  <c:v>0.28611076066022917</c:v>
                </c:pt>
                <c:pt idx="5">
                  <c:v>0.32687111373398442</c:v>
                </c:pt>
                <c:pt idx="6">
                  <c:v>0.37542590956001803</c:v>
                </c:pt>
                <c:pt idx="7">
                  <c:v>0.43144432870552796</c:v>
                </c:pt>
                <c:pt idx="8">
                  <c:v>0.49345371053490511</c:v>
                </c:pt>
                <c:pt idx="9">
                  <c:v>0.55876159164413775</c:v>
                </c:pt>
                <c:pt idx="10">
                  <c:v>0.62383011452610049</c:v>
                </c:pt>
                <c:pt idx="11">
                  <c:v>0.68505827277539011</c:v>
                </c:pt>
                <c:pt idx="12">
                  <c:v>0.73962921836389539</c:v>
                </c:pt>
                <c:pt idx="13">
                  <c:v>0.78601263973241153</c:v>
                </c:pt>
                <c:pt idx="14">
                  <c:v>0.82396048898591401</c:v>
                </c:pt>
                <c:pt idx="15">
                  <c:v>0.85414603915567133</c:v>
                </c:pt>
                <c:pt idx="16">
                  <c:v>0.87771204718078322</c:v>
                </c:pt>
                <c:pt idx="17">
                  <c:v>0.89591273174770836</c:v>
                </c:pt>
                <c:pt idx="18">
                  <c:v>0.90990397176363036</c:v>
                </c:pt>
                <c:pt idx="19">
                  <c:v>0.92065570925939944</c:v>
                </c:pt>
                <c:pt idx="20">
                  <c:v>0.92893872523927024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3F-4768-8448-4082E61BA44F}"/>
            </c:ext>
          </c:extLst>
        </c:ser>
        <c:ser>
          <c:idx val="15"/>
          <c:order val="15"/>
          <c:tx>
            <c:v>0.75</c:v>
          </c:tx>
          <c:spPr>
            <a:solidFill>
              <a:schemeClr val="accent1">
                <a:tint val="6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Page'!$D$124:$X$124</c:f>
              <c:numCache>
                <c:formatCode>0.00</c:formatCode>
                <c:ptCount val="21"/>
                <c:pt idx="0">
                  <c:v>0.20576347007369536</c:v>
                </c:pt>
                <c:pt idx="1">
                  <c:v>0.22781560901396697</c:v>
                </c:pt>
                <c:pt idx="2">
                  <c:v>0.25535414041448279</c:v>
                </c:pt>
                <c:pt idx="3">
                  <c:v>0.28940673949740486</c:v>
                </c:pt>
                <c:pt idx="4">
                  <c:v>0.33084579301115608</c:v>
                </c:pt>
                <c:pt idx="5">
                  <c:v>0.38008816422457103</c:v>
                </c:pt>
                <c:pt idx="6">
                  <c:v>0.43671370711336388</c:v>
                </c:pt>
                <c:pt idx="7">
                  <c:v>0.49913943755749723</c:v>
                </c:pt>
                <c:pt idx="8">
                  <c:v>0.5645758786999121</c:v>
                </c:pt>
                <c:pt idx="9">
                  <c:v>0.6294440462095735</c:v>
                </c:pt>
                <c:pt idx="10">
                  <c:v>0.69018063053102208</c:v>
                </c:pt>
                <c:pt idx="11">
                  <c:v>0.74406955034132638</c:v>
                </c:pt>
                <c:pt idx="12">
                  <c:v>0.78970093465093971</c:v>
                </c:pt>
                <c:pt idx="13">
                  <c:v>0.82692583126181507</c:v>
                </c:pt>
                <c:pt idx="14">
                  <c:v>0.85647671280211735</c:v>
                </c:pt>
                <c:pt idx="15">
                  <c:v>0.87951848757155171</c:v>
                </c:pt>
                <c:pt idx="16">
                  <c:v>0.89730303576203518</c:v>
                </c:pt>
                <c:pt idx="17">
                  <c:v>0.91097191442629311</c:v>
                </c:pt>
                <c:pt idx="18">
                  <c:v>0.92147725739537856</c:v>
                </c:pt>
                <c:pt idx="19">
                  <c:v>0.9295730105121347</c:v>
                </c:pt>
                <c:pt idx="20">
                  <c:v>0.9358385355003872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D3F-4768-8448-4082E61BA44F}"/>
            </c:ext>
          </c:extLst>
        </c:ser>
        <c:ser>
          <c:idx val="16"/>
          <c:order val="16"/>
          <c:tx>
            <c:v>0.8</c:v>
          </c:tx>
          <c:spPr>
            <a:solidFill>
              <a:schemeClr val="accent1">
                <a:tint val="6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Page'!$D$125:$X$125</c:f>
              <c:numCache>
                <c:formatCode>0.00</c:formatCode>
                <c:ptCount val="21"/>
                <c:pt idx="0">
                  <c:v>0.23001288035070441</c:v>
                </c:pt>
                <c:pt idx="1">
                  <c:v>0.25808629214541207</c:v>
                </c:pt>
                <c:pt idx="2">
                  <c:v>0.29276068054241777</c:v>
                </c:pt>
                <c:pt idx="3">
                  <c:v>0.3348819475279412</c:v>
                </c:pt>
                <c:pt idx="4">
                  <c:v>0.38480884525746267</c:v>
                </c:pt>
                <c:pt idx="5">
                  <c:v>0.44202919830356024</c:v>
                </c:pt>
                <c:pt idx="6">
                  <c:v>0.50484922153827272</c:v>
                </c:pt>
                <c:pt idx="7">
                  <c:v>0.57038572128008957</c:v>
                </c:pt>
                <c:pt idx="8">
                  <c:v>0.63502513311302544</c:v>
                </c:pt>
                <c:pt idx="9">
                  <c:v>0.69524862723293979</c:v>
                </c:pt>
                <c:pt idx="10">
                  <c:v>0.74844455998695802</c:v>
                </c:pt>
                <c:pt idx="11">
                  <c:v>0.79332301478679701</c:v>
                </c:pt>
                <c:pt idx="12">
                  <c:v>0.82983098321082316</c:v>
                </c:pt>
                <c:pt idx="13">
                  <c:v>0.85875651811282783</c:v>
                </c:pt>
                <c:pt idx="14">
                  <c:v>0.88128395880810084</c:v>
                </c:pt>
                <c:pt idx="15">
                  <c:v>0.89866133099899537</c:v>
                </c:pt>
                <c:pt idx="16">
                  <c:v>0.912015285342203</c:v>
                </c:pt>
                <c:pt idx="17">
                  <c:v>0.92228010380256975</c:v>
                </c:pt>
                <c:pt idx="18">
                  <c:v>0.93019309557617758</c:v>
                </c:pt>
                <c:pt idx="19">
                  <c:v>0.93631976554734886</c:v>
                </c:pt>
                <c:pt idx="20">
                  <c:v>0.94108735079951344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3F-4768-8448-4082E61BA44F}"/>
            </c:ext>
          </c:extLst>
        </c:ser>
        <c:ser>
          <c:idx val="17"/>
          <c:order val="17"/>
          <c:tx>
            <c:v>0.85</c:v>
          </c:tx>
          <c:spPr>
            <a:solidFill>
              <a:schemeClr val="accent1">
                <a:tint val="5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Page'!$D$126:$X$126</c:f>
              <c:numCache>
                <c:formatCode>0.00</c:formatCode>
                <c:ptCount val="21"/>
                <c:pt idx="0">
                  <c:v>0.26087009070342559</c:v>
                </c:pt>
                <c:pt idx="1">
                  <c:v>0.29617307662178582</c:v>
                </c:pt>
                <c:pt idx="2">
                  <c:v>0.33897961882009325</c:v>
                </c:pt>
                <c:pt idx="3">
                  <c:v>0.38958726629891016</c:v>
                </c:pt>
                <c:pt idx="4">
                  <c:v>0.4473892263190053</c:v>
                </c:pt>
                <c:pt idx="5">
                  <c:v>0.51058072471900628</c:v>
                </c:pt>
                <c:pt idx="6">
                  <c:v>0.57618849692860308</c:v>
                </c:pt>
                <c:pt idx="7">
                  <c:v>0.64057111386895327</c:v>
                </c:pt>
                <c:pt idx="8">
                  <c:v>0.7002608488124904</c:v>
                </c:pt>
                <c:pt idx="9">
                  <c:v>0.75275379708562595</c:v>
                </c:pt>
                <c:pt idx="10">
                  <c:v>0.79687918920016954</c:v>
                </c:pt>
                <c:pt idx="11">
                  <c:v>0.83267668395827521</c:v>
                </c:pt>
                <c:pt idx="12">
                  <c:v>0.86098633680927661</c:v>
                </c:pt>
                <c:pt idx="13">
                  <c:v>0.88300930435794778</c:v>
                </c:pt>
                <c:pt idx="14">
                  <c:v>0.89998833934986711</c:v>
                </c:pt>
                <c:pt idx="15">
                  <c:v>0.91303466445352466</c:v>
                </c:pt>
                <c:pt idx="16">
                  <c:v>0.92306469761596976</c:v>
                </c:pt>
                <c:pt idx="17">
                  <c:v>0.93079932130134369</c:v>
                </c:pt>
                <c:pt idx="18">
                  <c:v>0.93679045152141782</c:v>
                </c:pt>
                <c:pt idx="19">
                  <c:v>0.94145470175280299</c:v>
                </c:pt>
                <c:pt idx="20">
                  <c:v>0.94510477421418371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D3F-4768-8448-4082E61BA44F}"/>
            </c:ext>
          </c:extLst>
        </c:ser>
        <c:ser>
          <c:idx val="18"/>
          <c:order val="18"/>
          <c:tx>
            <c:v>0.9</c:v>
          </c:tx>
          <c:spPr>
            <a:solidFill>
              <a:schemeClr val="accent1">
                <a:tint val="5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Page'!$D$127:$X$127</c:f>
              <c:numCache>
                <c:formatCode>0.00</c:formatCode>
                <c:ptCount val="21"/>
                <c:pt idx="0">
                  <c:v>0.29964439180627361</c:v>
                </c:pt>
                <c:pt idx="1">
                  <c:v>0.34313879478177101</c:v>
                </c:pt>
                <c:pt idx="2">
                  <c:v>0.39442266580765578</c:v>
                </c:pt>
                <c:pt idx="3">
                  <c:v>0.45279213744121916</c:v>
                </c:pt>
                <c:pt idx="4">
                  <c:v>0.51633156050212159</c:v>
                </c:pt>
                <c:pt idx="5">
                  <c:v>0.58198158907108999</c:v>
                </c:pt>
                <c:pt idx="6">
                  <c:v>0.64607978706195068</c:v>
                </c:pt>
                <c:pt idx="7">
                  <c:v>0.70521596742079118</c:v>
                </c:pt>
                <c:pt idx="8">
                  <c:v>0.7569968900734968</c:v>
                </c:pt>
                <c:pt idx="9">
                  <c:v>0.80036981848541844</c:v>
                </c:pt>
                <c:pt idx="10">
                  <c:v>0.8354636954142417</c:v>
                </c:pt>
                <c:pt idx="11">
                  <c:v>0.86316705289301265</c:v>
                </c:pt>
                <c:pt idx="12">
                  <c:v>0.88469535912478059</c:v>
                </c:pt>
                <c:pt idx="13">
                  <c:v>0.90128477033383247</c:v>
                </c:pt>
                <c:pt idx="14">
                  <c:v>0.91403061942138464</c:v>
                </c:pt>
                <c:pt idx="15">
                  <c:v>0.92383147743082383</c:v>
                </c:pt>
                <c:pt idx="16">
                  <c:v>0.93139202015568978</c:v>
                </c:pt>
                <c:pt idx="17">
                  <c:v>0.93725084322200591</c:v>
                </c:pt>
                <c:pt idx="18">
                  <c:v>0.94181418342750156</c:v>
                </c:pt>
                <c:pt idx="19">
                  <c:v>0.94538689367085194</c:v>
                </c:pt>
                <c:pt idx="20">
                  <c:v>0.94819780565737644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3F-4768-8448-4082E61BA44F}"/>
            </c:ext>
          </c:extLst>
        </c:ser>
        <c:ser>
          <c:idx val="19"/>
          <c:order val="19"/>
          <c:tx>
            <c:v>0.95</c:v>
          </c:tx>
          <c:spPr>
            <a:solidFill>
              <a:schemeClr val="accent1">
                <a:tint val="4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Page'!$D$128:$X$128</c:f>
              <c:numCache>
                <c:formatCode>0.00</c:formatCode>
                <c:ptCount val="21"/>
                <c:pt idx="0">
                  <c:v>0.34735940743277977</c:v>
                </c:pt>
                <c:pt idx="1">
                  <c:v>0.39931420582024524</c:v>
                </c:pt>
                <c:pt idx="2">
                  <c:v>0.45823620139393234</c:v>
                </c:pt>
                <c:pt idx="3">
                  <c:v>0.52209929751851636</c:v>
                </c:pt>
                <c:pt idx="4">
                  <c:v>0.58776239229361393</c:v>
                </c:pt>
                <c:pt idx="5">
                  <c:v>0.65154901494178563</c:v>
                </c:pt>
                <c:pt idx="6">
                  <c:v>0.71011274201528907</c:v>
                </c:pt>
                <c:pt idx="7">
                  <c:v>0.76117354414140193</c:v>
                </c:pt>
                <c:pt idx="8">
                  <c:v>0.80379531208112343</c:v>
                </c:pt>
                <c:pt idx="9">
                  <c:v>0.83819280006089258</c:v>
                </c:pt>
                <c:pt idx="10">
                  <c:v>0.86529955132194469</c:v>
                </c:pt>
                <c:pt idx="11">
                  <c:v>0.88634294887760579</c:v>
                </c:pt>
                <c:pt idx="12">
                  <c:v>0.90255132098948354</c:v>
                </c:pt>
                <c:pt idx="13">
                  <c:v>0.91500370573784118</c:v>
                </c:pt>
                <c:pt idx="14">
                  <c:v>0.92458087148760859</c:v>
                </c:pt>
                <c:pt idx="15">
                  <c:v>0.93197151639078246</c:v>
                </c:pt>
                <c:pt idx="16">
                  <c:v>0.93770118417299053</c:v>
                </c:pt>
                <c:pt idx="17">
                  <c:v>0.94216597840856375</c:v>
                </c:pt>
                <c:pt idx="18">
                  <c:v>0.94566310068879311</c:v>
                </c:pt>
                <c:pt idx="19">
                  <c:v>0.94841568618758587</c:v>
                </c:pt>
                <c:pt idx="20">
                  <c:v>0.9505919120701749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D3F-4768-8448-4082E61BA44F}"/>
            </c:ext>
          </c:extLst>
        </c:ser>
        <c:ser>
          <c:idx val="20"/>
          <c:order val="20"/>
          <c:tx>
            <c:v>1</c:v>
          </c:tx>
          <c:spPr>
            <a:solidFill>
              <a:schemeClr val="accent1">
                <a:tint val="3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Page'!$D$129:$X$129</c:f>
              <c:numCache>
                <c:formatCode>0.00</c:formatCode>
                <c:ptCount val="21"/>
                <c:pt idx="0">
                  <c:v>0.40426097087185459</c:v>
                </c:pt>
                <c:pt idx="1">
                  <c:v>0.46371961280975293</c:v>
                </c:pt>
                <c:pt idx="2">
                  <c:v>0.52788146389921442</c:v>
                </c:pt>
                <c:pt idx="3">
                  <c:v>0.59352831759349167</c:v>
                </c:pt>
                <c:pt idx="4">
                  <c:v>0.65697672689025444</c:v>
                </c:pt>
                <c:pt idx="5">
                  <c:v>0.71495001867341623</c:v>
                </c:pt>
                <c:pt idx="6">
                  <c:v>0.7652835391982078</c:v>
                </c:pt>
                <c:pt idx="7">
                  <c:v>0.80715612558388494</c:v>
                </c:pt>
                <c:pt idx="8">
                  <c:v>0.84086479881301635</c:v>
                </c:pt>
                <c:pt idx="9">
                  <c:v>0.86738471676318429</c:v>
                </c:pt>
                <c:pt idx="10">
                  <c:v>0.88795288973256192</c:v>
                </c:pt>
                <c:pt idx="11">
                  <c:v>0.90378867579418576</c:v>
                </c:pt>
                <c:pt idx="12">
                  <c:v>0.91595446684893478</c:v>
                </c:pt>
                <c:pt idx="13">
                  <c:v>0.92531329785912753</c:v>
                </c:pt>
                <c:pt idx="14">
                  <c:v>0.93253812622533638</c:v>
                </c:pt>
                <c:pt idx="15">
                  <c:v>0.93814171177757577</c:v>
                </c:pt>
                <c:pt idx="16">
                  <c:v>0.94251026470556254</c:v>
                </c:pt>
                <c:pt idx="17">
                  <c:v>0.94593352910720752</c:v>
                </c:pt>
                <c:pt idx="18">
                  <c:v>0.94862909219977998</c:v>
                </c:pt>
                <c:pt idx="19">
                  <c:v>0.95076102345227975</c:v>
                </c:pt>
                <c:pt idx="20">
                  <c:v>0.95245376913957314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D3F-4768-8448-4082E61BA44F}"/>
            </c:ext>
          </c:extLst>
        </c:ser>
        <c:bandFmts>
          <c:bandFmt>
            <c:idx val="0"/>
            <c:spPr>
              <a:solidFill>
                <a:schemeClr val="accent1">
                  <a:shade val="32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1">
                  <a:shade val="35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1">
                  <a:shade val="38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1">
                  <a:shade val="40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1">
                  <a:shade val="43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1">
                  <a:shade val="46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>
                  <a:shade val="48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1">
                  <a:shade val="51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1">
                  <a:shade val="54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1">
                  <a:shade val="56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1">
                  <a:shade val="59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1">
                  <a:shade val="6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>
                  <a:shade val="65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1">
                  <a:shade val="67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1">
                  <a:shade val="70000"/>
                </a:schemeClr>
              </a:solidFill>
              <a:ln/>
              <a:effectLst/>
              <a:sp3d prstMaterial="flat"/>
            </c:spPr>
          </c:bandFmt>
          <c:bandFmt>
            <c:idx val="15"/>
            <c:spPr>
              <a:solidFill>
                <a:schemeClr val="accent1">
                  <a:shade val="73000"/>
                </a:schemeClr>
              </a:solidFill>
              <a:ln/>
              <a:effectLst/>
              <a:sp3d prstMaterial="flat"/>
            </c:spPr>
          </c:bandFmt>
          <c:bandFmt>
            <c:idx val="16"/>
            <c:spPr>
              <a:solidFill>
                <a:schemeClr val="accent1">
                  <a:shade val="75000"/>
                </a:schemeClr>
              </a:solidFill>
              <a:ln/>
              <a:effectLst/>
              <a:sp3d prstMaterial="flat"/>
            </c:spPr>
          </c:bandFmt>
          <c:bandFmt>
            <c:idx val="17"/>
            <c:spPr>
              <a:solidFill>
                <a:schemeClr val="accent1">
                  <a:shade val="78000"/>
                </a:schemeClr>
              </a:solidFill>
              <a:ln/>
              <a:effectLst/>
              <a:sp3d prstMaterial="flat"/>
            </c:spPr>
          </c:bandFmt>
          <c:bandFmt>
            <c:idx val="18"/>
            <c:spPr>
              <a:solidFill>
                <a:schemeClr val="accent1">
                  <a:shade val="81000"/>
                </a:schemeClr>
              </a:solidFill>
              <a:ln/>
              <a:effectLst/>
              <a:sp3d prstMaterial="flat"/>
            </c:spPr>
          </c:bandFmt>
          <c:bandFmt>
            <c:idx val="19"/>
            <c:spPr>
              <a:solidFill>
                <a:schemeClr val="accent1">
                  <a:shade val="83000"/>
                </a:schemeClr>
              </a:solidFill>
              <a:ln/>
              <a:effectLst/>
              <a:sp3d prstMaterial="flat"/>
            </c:spPr>
          </c:bandFmt>
          <c:bandFmt>
            <c:idx val="20"/>
            <c:spPr>
              <a:solidFill>
                <a:schemeClr val="accent1">
                  <a:shade val="86000"/>
                </a:schemeClr>
              </a:solidFill>
              <a:ln/>
              <a:effectLst/>
              <a:sp3d prstMaterial="flat"/>
            </c:spPr>
          </c:bandFmt>
          <c:bandFmt>
            <c:idx val="21"/>
            <c:spPr>
              <a:solidFill>
                <a:schemeClr val="accent1">
                  <a:shade val="89000"/>
                </a:schemeClr>
              </a:solidFill>
              <a:ln/>
              <a:effectLst/>
              <a:sp3d prstMaterial="flat"/>
            </c:spPr>
          </c:bandFmt>
          <c:bandFmt>
            <c:idx val="22"/>
            <c:spPr>
              <a:solidFill>
                <a:schemeClr val="accent1">
                  <a:shade val="91000"/>
                </a:schemeClr>
              </a:solidFill>
              <a:ln/>
              <a:effectLst/>
              <a:sp3d prstMaterial="flat"/>
            </c:spPr>
          </c:bandFmt>
          <c:bandFmt>
            <c:idx val="23"/>
            <c:spPr>
              <a:solidFill>
                <a:schemeClr val="accent1">
                  <a:shade val="94000"/>
                </a:schemeClr>
              </a:solidFill>
              <a:ln/>
              <a:effectLst/>
              <a:sp3d prstMaterial="flat"/>
            </c:spPr>
          </c:bandFmt>
          <c:bandFmt>
            <c:idx val="24"/>
            <c:spPr>
              <a:solidFill>
                <a:schemeClr val="accent1">
                  <a:shade val="97000"/>
                </a:schemeClr>
              </a:solidFill>
              <a:ln/>
              <a:effectLst/>
              <a:sp3d prstMaterial="flat"/>
            </c:spPr>
          </c:bandFmt>
          <c:bandFmt>
            <c:idx val="25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26"/>
            <c:spPr>
              <a:solidFill>
                <a:schemeClr val="accent1">
                  <a:tint val="98000"/>
                </a:schemeClr>
              </a:solidFill>
              <a:ln/>
              <a:effectLst/>
              <a:sp3d prstMaterial="flat"/>
            </c:spPr>
          </c:bandFmt>
          <c:bandFmt>
            <c:idx val="27"/>
            <c:spPr>
              <a:solidFill>
                <a:schemeClr val="accent1">
                  <a:tint val="95000"/>
                </a:schemeClr>
              </a:solidFill>
              <a:ln/>
              <a:effectLst/>
              <a:sp3d prstMaterial="flat"/>
            </c:spPr>
          </c:bandFmt>
          <c:bandFmt>
            <c:idx val="28"/>
            <c:spPr>
              <a:solidFill>
                <a:schemeClr val="accent1">
                  <a:tint val="92000"/>
                </a:schemeClr>
              </a:solidFill>
              <a:ln/>
              <a:effectLst/>
              <a:sp3d prstMaterial="flat"/>
            </c:spPr>
          </c:bandFmt>
          <c:bandFmt>
            <c:idx val="29"/>
            <c:spPr>
              <a:solidFill>
                <a:schemeClr val="accent1">
                  <a:tint val="90000"/>
                </a:schemeClr>
              </a:solidFill>
              <a:ln/>
              <a:effectLst/>
              <a:sp3d prstMaterial="flat"/>
            </c:spPr>
          </c:bandFmt>
          <c:bandFmt>
            <c:idx val="30"/>
            <c:spPr>
              <a:solidFill>
                <a:schemeClr val="accent1">
                  <a:tint val="87000"/>
                </a:schemeClr>
              </a:solidFill>
              <a:ln/>
              <a:effectLst/>
              <a:sp3d prstMaterial="flat"/>
            </c:spPr>
          </c:bandFmt>
          <c:bandFmt>
            <c:idx val="31"/>
            <c:spPr>
              <a:solidFill>
                <a:schemeClr val="accent1">
                  <a:tint val="84000"/>
                </a:schemeClr>
              </a:solidFill>
              <a:ln/>
              <a:effectLst/>
              <a:sp3d prstMaterial="flat"/>
            </c:spPr>
          </c:bandFmt>
          <c:bandFmt>
            <c:idx val="32"/>
            <c:spPr>
              <a:solidFill>
                <a:schemeClr val="accent1">
                  <a:tint val="82000"/>
                </a:schemeClr>
              </a:solidFill>
              <a:ln/>
              <a:effectLst/>
              <a:sp3d prstMaterial="flat"/>
            </c:spPr>
          </c:bandFmt>
          <c:bandFmt>
            <c:idx val="33"/>
            <c:spPr>
              <a:solidFill>
                <a:schemeClr val="accent1">
                  <a:tint val="79000"/>
                </a:schemeClr>
              </a:solidFill>
              <a:ln/>
              <a:effectLst/>
              <a:sp3d prstMaterial="flat"/>
            </c:spPr>
          </c:bandFmt>
          <c:bandFmt>
            <c:idx val="34"/>
            <c:spPr>
              <a:solidFill>
                <a:schemeClr val="accent1">
                  <a:tint val="76000"/>
                </a:schemeClr>
              </a:solidFill>
              <a:ln/>
              <a:effectLst/>
              <a:sp3d prstMaterial="flat"/>
            </c:spPr>
          </c:bandFmt>
          <c:bandFmt>
            <c:idx val="35"/>
            <c:spPr>
              <a:solidFill>
                <a:schemeClr val="accent1">
                  <a:tint val="74000"/>
                </a:schemeClr>
              </a:solidFill>
              <a:ln/>
              <a:effectLst/>
              <a:sp3d prstMaterial="flat"/>
            </c:spPr>
          </c:bandFmt>
          <c:bandFmt>
            <c:idx val="36"/>
            <c:spPr>
              <a:solidFill>
                <a:schemeClr val="accent1">
                  <a:tint val="71000"/>
                </a:schemeClr>
              </a:solidFill>
              <a:ln/>
              <a:effectLst/>
              <a:sp3d prstMaterial="flat"/>
            </c:spPr>
          </c:bandFmt>
          <c:bandFmt>
            <c:idx val="37"/>
            <c:spPr>
              <a:solidFill>
                <a:schemeClr val="accent1">
                  <a:tint val="68000"/>
                </a:schemeClr>
              </a:solidFill>
              <a:ln/>
              <a:effectLst/>
              <a:sp3d prstMaterial="flat"/>
            </c:spPr>
          </c:bandFmt>
          <c:bandFmt>
            <c:idx val="38"/>
            <c:spPr>
              <a:solidFill>
                <a:schemeClr val="accent1">
                  <a:tint val="65000"/>
                </a:schemeClr>
              </a:solidFill>
              <a:ln/>
              <a:effectLst/>
              <a:sp3d prstMaterial="flat"/>
            </c:spPr>
          </c:bandFmt>
          <c:bandFmt>
            <c:idx val="39"/>
            <c:spPr>
              <a:solidFill>
                <a:schemeClr val="accent1">
                  <a:tint val="63000"/>
                </a:schemeClr>
              </a:solidFill>
              <a:ln/>
              <a:effectLst/>
              <a:sp3d prstMaterial="flat"/>
            </c:spPr>
          </c:bandFmt>
          <c:bandFmt>
            <c:idx val="40"/>
            <c:spPr>
              <a:solidFill>
                <a:schemeClr val="accent1">
                  <a:tint val="60000"/>
                </a:schemeClr>
              </a:solidFill>
              <a:ln/>
              <a:effectLst/>
              <a:sp3d prstMaterial="flat"/>
            </c:spPr>
          </c:bandFmt>
          <c:bandFmt>
            <c:idx val="41"/>
            <c:spPr>
              <a:solidFill>
                <a:schemeClr val="accent1">
                  <a:tint val="57000"/>
                </a:schemeClr>
              </a:solidFill>
              <a:ln/>
              <a:effectLst/>
              <a:sp3d prstMaterial="flat"/>
            </c:spPr>
          </c:bandFmt>
          <c:bandFmt>
            <c:idx val="42"/>
            <c:spPr>
              <a:solidFill>
                <a:schemeClr val="accent1">
                  <a:tint val="55000"/>
                </a:schemeClr>
              </a:solidFill>
              <a:ln/>
              <a:effectLst/>
              <a:sp3d prstMaterial="flat"/>
            </c:spPr>
          </c:bandFmt>
          <c:bandFmt>
            <c:idx val="43"/>
            <c:spPr>
              <a:solidFill>
                <a:schemeClr val="accent1">
                  <a:tint val="52000"/>
                </a:schemeClr>
              </a:solidFill>
              <a:ln/>
              <a:effectLst/>
              <a:sp3d prstMaterial="flat"/>
            </c:spPr>
          </c:bandFmt>
          <c:bandFmt>
            <c:idx val="44"/>
            <c:spPr>
              <a:solidFill>
                <a:schemeClr val="accent1">
                  <a:tint val="49000"/>
                </a:schemeClr>
              </a:solidFill>
              <a:ln/>
              <a:effectLst/>
              <a:sp3d prstMaterial="flat"/>
            </c:spPr>
          </c:bandFmt>
          <c:bandFmt>
            <c:idx val="45"/>
            <c:spPr>
              <a:solidFill>
                <a:schemeClr val="accent1">
                  <a:tint val="47000"/>
                </a:schemeClr>
              </a:solidFill>
              <a:ln/>
              <a:effectLst/>
              <a:sp3d prstMaterial="flat"/>
            </c:spPr>
          </c:bandFmt>
          <c:bandFmt>
            <c:idx val="46"/>
            <c:spPr>
              <a:solidFill>
                <a:schemeClr val="accent1">
                  <a:tint val="44000"/>
                </a:schemeClr>
              </a:solidFill>
              <a:ln/>
              <a:effectLst/>
              <a:sp3d prstMaterial="flat"/>
            </c:spPr>
          </c:bandFmt>
          <c:bandFmt>
            <c:idx val="47"/>
            <c:spPr>
              <a:solidFill>
                <a:schemeClr val="accent1">
                  <a:tint val="41000"/>
                </a:schemeClr>
              </a:solidFill>
              <a:ln/>
              <a:effectLst/>
              <a:sp3d prstMaterial="flat"/>
            </c:spPr>
          </c:bandFmt>
          <c:bandFmt>
            <c:idx val="48"/>
            <c:spPr>
              <a:solidFill>
                <a:schemeClr val="accent1">
                  <a:tint val="39000"/>
                </a:schemeClr>
              </a:solidFill>
              <a:ln/>
              <a:effectLst/>
              <a:sp3d prstMaterial="flat"/>
            </c:spPr>
          </c:bandFmt>
          <c:bandFmt>
            <c:idx val="49"/>
            <c:spPr>
              <a:solidFill>
                <a:schemeClr val="accent1">
                  <a:tint val="36000"/>
                </a:schemeClr>
              </a:solidFill>
              <a:ln/>
              <a:effectLst/>
              <a:sp3d prstMaterial="flat"/>
            </c:spPr>
          </c:bandFmt>
        </c:bandFmts>
        <c:axId val="259242624"/>
        <c:axId val="259231808"/>
        <c:axId val="146158400"/>
      </c:surfaceChart>
      <c:catAx>
        <c:axId val="25924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  <c:auto val="1"/>
        <c:lblAlgn val="ctr"/>
        <c:lblOffset val="100"/>
        <c:noMultiLvlLbl val="0"/>
      </c:catAx>
      <c:valAx>
        <c:axId val="259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42624"/>
        <c:crosses val="autoZero"/>
        <c:crossBetween val="midCat"/>
        <c:majorUnit val="2.0000000000000004E-2"/>
      </c:valAx>
      <c:serAx>
        <c:axId val="1461584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x2 </a:t>
                </a:r>
              </a:p>
            </c:rich>
          </c:tx>
          <c:layout>
            <c:manualLayout>
              <c:xMode val="edge"/>
              <c:yMode val="edge"/>
              <c:x val="0.90299194626750301"/>
              <c:y val="0.4482324094020686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5"/>
      <c:rotY val="3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1686639660913157E-2"/>
          <c:y val="9.6625275438948457E-2"/>
          <c:w val="0.85228397592545235"/>
          <c:h val="0.78334631809254918"/>
        </c:manualLayout>
      </c:layout>
      <c:surface3DChart>
        <c:wireframe val="0"/>
        <c:ser>
          <c:idx val="0"/>
          <c:order val="0"/>
          <c:spPr>
            <a:solidFill>
              <a:schemeClr val="accent4">
                <a:tint val="37000"/>
              </a:schemeClr>
            </a:solidFill>
            <a:ln/>
            <a:effectLst/>
            <a:sp3d prstMaterial="flat"/>
          </c:spPr>
          <c:val>
            <c:numRef>
              <c:f>'Main Page'!$D$109:$X$109</c:f>
              <c:numCache>
                <c:formatCode>0.00</c:formatCode>
                <c:ptCount val="21"/>
                <c:pt idx="0">
                  <c:v>0.12120753321974174</c:v>
                </c:pt>
                <c:pt idx="1">
                  <c:v>0.12180509551538976</c:v>
                </c:pt>
                <c:pt idx="2">
                  <c:v>0.1225442680004525</c:v>
                </c:pt>
                <c:pt idx="3">
                  <c:v>0.12345907883023438</c:v>
                </c:pt>
                <c:pt idx="4">
                  <c:v>0.12459196602161092</c:v>
                </c:pt>
                <c:pt idx="5">
                  <c:v>0.12599596626602858</c:v>
                </c:pt>
                <c:pt idx="6">
                  <c:v>0.12773752066105409</c:v>
                </c:pt>
                <c:pt idx="7">
                  <c:v>0.12990008692806521</c:v>
                </c:pt>
                <c:pt idx="8">
                  <c:v>0.1325888070020457</c:v>
                </c:pt>
                <c:pt idx="9">
                  <c:v>0.13593655194425511</c:v>
                </c:pt>
                <c:pt idx="10">
                  <c:v>0.14011174880966962</c:v>
                </c:pt>
                <c:pt idx="11">
                  <c:v>0.14532847097245774</c:v>
                </c:pt>
                <c:pt idx="12">
                  <c:v>0.15185930438570341</c:v>
                </c:pt>
                <c:pt idx="13">
                  <c:v>0.16005139715073616</c:v>
                </c:pt>
                <c:pt idx="14">
                  <c:v>0.1703456735563865</c:v>
                </c:pt>
                <c:pt idx="15">
                  <c:v>0.18329809697119528</c:v>
                </c:pt>
                <c:pt idx="16">
                  <c:v>0.19959950281272068</c:v>
                </c:pt>
                <c:pt idx="17">
                  <c:v>0.22008603272523045</c:v>
                </c:pt>
                <c:pt idx="18">
                  <c:v>0.24572474466594404</c:v>
                </c:pt>
                <c:pt idx="19">
                  <c:v>0.27754886568337273</c:v>
                </c:pt>
                <c:pt idx="20">
                  <c:v>0.31650860533620384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9-44E6-8147-7424CDB1CF7D}"/>
            </c:ext>
          </c:extLst>
        </c:ser>
        <c:ser>
          <c:idx val="1"/>
          <c:order val="1"/>
          <c:spPr>
            <a:solidFill>
              <a:schemeClr val="accent4">
                <a:tint val="43000"/>
              </a:schemeClr>
            </a:solidFill>
            <a:ln/>
            <a:effectLst/>
            <a:sp3d prstMaterial="flat"/>
          </c:spPr>
          <c:val>
            <c:numRef>
              <c:f>'Main Page'!$D$110:$X$110</c:f>
              <c:numCache>
                <c:formatCode>0.00</c:formatCode>
                <c:ptCount val="21"/>
                <c:pt idx="0">
                  <c:v>0.12186426283805636</c:v>
                </c:pt>
                <c:pt idx="1">
                  <c:v>0.12261747536030519</c:v>
                </c:pt>
                <c:pt idx="2">
                  <c:v>0.12354970922540934</c:v>
                </c:pt>
                <c:pt idx="3">
                  <c:v>0.12470424294798771</c:v>
                </c:pt>
                <c:pt idx="4">
                  <c:v>0.12613517438600169</c:v>
                </c:pt>
                <c:pt idx="5">
                  <c:v>0.12791028933268631</c:v>
                </c:pt>
                <c:pt idx="6">
                  <c:v>0.13011475599343933</c:v>
                </c:pt>
                <c:pt idx="7">
                  <c:v>0.13285590015120916</c:v>
                </c:pt>
                <c:pt idx="8">
                  <c:v>0.13626939000964797</c:v>
                </c:pt>
                <c:pt idx="9">
                  <c:v>0.14052724273326103</c:v>
                </c:pt>
                <c:pt idx="10">
                  <c:v>0.14584813964312196</c:v>
                </c:pt>
                <c:pt idx="11">
                  <c:v>0.15251056061284363</c:v>
                </c:pt>
                <c:pt idx="12">
                  <c:v>0.16086912402966616</c:v>
                </c:pt>
                <c:pt idx="13">
                  <c:v>0.17137405033418804</c:v>
                </c:pt>
                <c:pt idx="14">
                  <c:v>0.18459248660923852</c:v>
                </c:pt>
                <c:pt idx="15">
                  <c:v>0.20122791640569132</c:v>
                </c:pt>
                <c:pt idx="16">
                  <c:v>0.22212915524268131</c:v>
                </c:pt>
                <c:pt idx="17">
                  <c:v>0.24827269674577068</c:v>
                </c:pt>
                <c:pt idx="18">
                  <c:v>0.2806919475665054</c:v>
                </c:pt>
                <c:pt idx="19">
                  <c:v>0.32031891971716758</c:v>
                </c:pt>
                <c:pt idx="20">
                  <c:v>0.36771134875181444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59-44E6-8147-7424CDB1CF7D}"/>
            </c:ext>
          </c:extLst>
        </c:ser>
        <c:ser>
          <c:idx val="2"/>
          <c:order val="2"/>
          <c:spPr>
            <a:solidFill>
              <a:schemeClr val="accent4">
                <a:tint val="50000"/>
              </a:schemeClr>
            </a:solidFill>
            <a:ln/>
            <a:effectLst/>
            <a:sp3d prstMaterial="flat"/>
          </c:spPr>
          <c:val>
            <c:numRef>
              <c:f>'Main Page'!$D$111:$X$111</c:f>
              <c:numCache>
                <c:formatCode>0.00</c:formatCode>
                <c:ptCount val="21"/>
                <c:pt idx="0">
                  <c:v>0.12269207509624409</c:v>
                </c:pt>
                <c:pt idx="1">
                  <c:v>0.12364206850224034</c:v>
                </c:pt>
                <c:pt idx="2">
                  <c:v>0.12481866933992213</c:v>
                </c:pt>
                <c:pt idx="3">
                  <c:v>0.12627705890872221</c:v>
                </c:pt>
                <c:pt idx="4">
                  <c:v>0.12808639638234062</c:v>
                </c:pt>
                <c:pt idx="5">
                  <c:v>0.13033359752525606</c:v>
                </c:pt>
                <c:pt idx="6">
                  <c:v>0.13312821999593596</c:v>
                </c:pt>
                <c:pt idx="7">
                  <c:v>0.13660879134082748</c:v>
                </c:pt>
                <c:pt idx="8">
                  <c:v>0.14095099903846353</c:v>
                </c:pt>
                <c:pt idx="9">
                  <c:v>0.14637823463915861</c:v>
                </c:pt>
                <c:pt idx="10">
                  <c:v>0.15317499952186303</c:v>
                </c:pt>
                <c:pt idx="11">
                  <c:v>0.16170353504428228</c:v>
                </c:pt>
                <c:pt idx="12">
                  <c:v>0.17242352655921492</c:v>
                </c:pt>
                <c:pt idx="13">
                  <c:v>0.18591346163894881</c:v>
                </c:pt>
                <c:pt idx="14">
                  <c:v>0.20288955242283571</c:v>
                </c:pt>
                <c:pt idx="15">
                  <c:v>0.22421316761353513</c:v>
                </c:pt>
                <c:pt idx="16">
                  <c:v>0.25086970733425873</c:v>
                </c:pt>
                <c:pt idx="17">
                  <c:v>0.28389154236299136</c:v>
                </c:pt>
                <c:pt idx="18">
                  <c:v>0.32419035021666909</c:v>
                </c:pt>
                <c:pt idx="19">
                  <c:v>0.37227390546728389</c:v>
                </c:pt>
                <c:pt idx="20">
                  <c:v>0.42787082312376323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59-44E6-8147-7424CDB1CF7D}"/>
            </c:ext>
          </c:extLst>
        </c:ser>
        <c:ser>
          <c:idx val="3"/>
          <c:order val="3"/>
          <c:spPr>
            <a:solidFill>
              <a:schemeClr val="accent4">
                <a:tint val="56000"/>
              </a:schemeClr>
            </a:solidFill>
            <a:ln/>
            <a:effectLst/>
            <a:sp3d prstMaterial="flat"/>
          </c:spPr>
          <c:val>
            <c:numRef>
              <c:f>'Main Page'!$D$112:$X$112</c:f>
              <c:numCache>
                <c:formatCode>0.00</c:formatCode>
                <c:ptCount val="21"/>
                <c:pt idx="0">
                  <c:v>0.12373619015177324</c:v>
                </c:pt>
                <c:pt idx="1">
                  <c:v>0.12493528710729017</c:v>
                </c:pt>
                <c:pt idx="2">
                  <c:v>0.12642167241414567</c:v>
                </c:pt>
                <c:pt idx="3">
                  <c:v>0.12826590796518197</c:v>
                </c:pt>
                <c:pt idx="4">
                  <c:v>0.13055669501436709</c:v>
                </c:pt>
                <c:pt idx="5">
                  <c:v>0.13340587223609676</c:v>
                </c:pt>
                <c:pt idx="6">
                  <c:v>0.13695489014914847</c:v>
                </c:pt>
                <c:pt idx="7">
                  <c:v>0.14138318853922918</c:v>
                </c:pt>
                <c:pt idx="8">
                  <c:v>0.14691897360037423</c:v>
                </c:pt>
                <c:pt idx="9">
                  <c:v>0.15385289810821004</c:v>
                </c:pt>
                <c:pt idx="10">
                  <c:v>0.16255498104870769</c:v>
                </c:pt>
                <c:pt idx="11">
                  <c:v>0.17349454190498192</c:v>
                </c:pt>
                <c:pt idx="12">
                  <c:v>0.18726156206036984</c:v>
                </c:pt>
                <c:pt idx="13">
                  <c:v>0.20458505103782282</c:v>
                </c:pt>
                <c:pt idx="14">
                  <c:v>0.22633878357824957</c:v>
                </c:pt>
                <c:pt idx="15">
                  <c:v>0.25351648827010159</c:v>
                </c:pt>
                <c:pt idx="16">
                  <c:v>0.28714821033829269</c:v>
                </c:pt>
                <c:pt idx="17">
                  <c:v>0.32812307114271205</c:v>
                </c:pt>
                <c:pt idx="18">
                  <c:v>0.37689587805352914</c:v>
                </c:pt>
                <c:pt idx="19">
                  <c:v>0.43310782465776543</c:v>
                </c:pt>
                <c:pt idx="20">
                  <c:v>0.49525138448602735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59-44E6-8147-7424CDB1CF7D}"/>
            </c:ext>
          </c:extLst>
        </c:ser>
        <c:ser>
          <c:idx val="4"/>
          <c:order val="4"/>
          <c:spPr>
            <a:solidFill>
              <a:schemeClr val="accent4">
                <a:tint val="62000"/>
              </a:schemeClr>
            </a:solidFill>
            <a:ln/>
            <a:effectLst/>
            <a:sp3d prstMaterial="flat"/>
          </c:spPr>
          <c:val>
            <c:numRef>
              <c:f>'Main Page'!$D$113:$X$113</c:f>
              <c:numCache>
                <c:formatCode>0.00</c:formatCode>
                <c:ptCount val="21"/>
                <c:pt idx="0">
                  <c:v>0.12505413900380236</c:v>
                </c:pt>
                <c:pt idx="1">
                  <c:v>0.12656906855385183</c:v>
                </c:pt>
                <c:pt idx="2">
                  <c:v>0.12844889160249331</c:v>
                </c:pt>
                <c:pt idx="3">
                  <c:v>0.13078413369933178</c:v>
                </c:pt>
                <c:pt idx="4">
                  <c:v>0.13368896481358519</c:v>
                </c:pt>
                <c:pt idx="5">
                  <c:v>0.13730782352551552</c:v>
                </c:pt>
                <c:pt idx="6">
                  <c:v>0.14182398574218169</c:v>
                </c:pt>
                <c:pt idx="7">
                  <c:v>0.14747057887349041</c:v>
                </c:pt>
                <c:pt idx="8">
                  <c:v>0.15454453928758285</c:v>
                </c:pt>
                <c:pt idx="9">
                  <c:v>0.16342382015677737</c:v>
                </c:pt>
                <c:pt idx="10">
                  <c:v>0.17458754454400191</c:v>
                </c:pt>
                <c:pt idx="11">
                  <c:v>0.1886373369923543</c:v>
                </c:pt>
                <c:pt idx="12">
                  <c:v>0.20631506053344909</c:v>
                </c:pt>
                <c:pt idx="13">
                  <c:v>0.22850672066364489</c:v>
                </c:pt>
                <c:pt idx="14">
                  <c:v>0.25621374527691826</c:v>
                </c:pt>
                <c:pt idx="15">
                  <c:v>0.29046248824154203</c:v>
                </c:pt>
                <c:pt idx="16">
                  <c:v>0.3321172092318736</c:v>
                </c:pt>
                <c:pt idx="17">
                  <c:v>0.38157670349689254</c:v>
                </c:pt>
                <c:pt idx="18">
                  <c:v>0.43839197067482977</c:v>
                </c:pt>
                <c:pt idx="19">
                  <c:v>0.50094497907942293</c:v>
                </c:pt>
                <c:pt idx="20">
                  <c:v>0.56641620256026814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59-44E6-8147-7424CDB1CF7D}"/>
            </c:ext>
          </c:extLst>
        </c:ser>
        <c:ser>
          <c:idx val="5"/>
          <c:order val="5"/>
          <c:spPr>
            <a:solidFill>
              <a:schemeClr val="accent4">
                <a:tint val="69000"/>
              </a:schemeClr>
            </a:solidFill>
            <a:ln/>
            <a:effectLst/>
            <a:sp3d prstMaterial="flat"/>
          </c:spPr>
          <c:val>
            <c:numRef>
              <c:f>'Main Page'!$D$114:$X$114</c:f>
              <c:numCache>
                <c:formatCode>0.00</c:formatCode>
                <c:ptCount val="21"/>
                <c:pt idx="0">
                  <c:v>0.12671930207411786</c:v>
                </c:pt>
                <c:pt idx="1">
                  <c:v>0.12863541621154989</c:v>
                </c:pt>
                <c:pt idx="2">
                  <c:v>0.13101600060514187</c:v>
                </c:pt>
                <c:pt idx="3">
                  <c:v>0.13397760796241062</c:v>
                </c:pt>
                <c:pt idx="4">
                  <c:v>0.13766773150470313</c:v>
                </c:pt>
                <c:pt idx="5">
                  <c:v>0.14227356892789123</c:v>
                </c:pt>
                <c:pt idx="6">
                  <c:v>0.14803327761173909</c:v>
                </c:pt>
                <c:pt idx="7">
                  <c:v>0.15525021201113201</c:v>
                </c:pt>
                <c:pt idx="8">
                  <c:v>0.16431041786061956</c:v>
                </c:pt>
                <c:pt idx="9">
                  <c:v>0.17570299123820027</c:v>
                </c:pt>
                <c:pt idx="10">
                  <c:v>0.19004134466850456</c:v>
                </c:pt>
                <c:pt idx="11">
                  <c:v>0.20808023708321163</c:v>
                </c:pt>
                <c:pt idx="12">
                  <c:v>0.2307176995677559</c:v>
                </c:pt>
                <c:pt idx="13">
                  <c:v>0.25896217674429423</c:v>
                </c:pt>
                <c:pt idx="14">
                  <c:v>0.29383488739775598</c:v>
                </c:pt>
                <c:pt idx="15">
                  <c:v>0.33617284138028714</c:v>
                </c:pt>
                <c:pt idx="16">
                  <c:v>0.38631574602154717</c:v>
                </c:pt>
                <c:pt idx="17">
                  <c:v>0.4437217389144763</c:v>
                </c:pt>
                <c:pt idx="18">
                  <c:v>0.50666189588935773</c:v>
                </c:pt>
                <c:pt idx="19">
                  <c:v>0.57222409091403281</c:v>
                </c:pt>
                <c:pt idx="20">
                  <c:v>0.63678520222360457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59-44E6-8147-7424CDB1CF7D}"/>
            </c:ext>
          </c:extLst>
        </c:ser>
        <c:ser>
          <c:idx val="6"/>
          <c:order val="6"/>
          <c:spPr>
            <a:solidFill>
              <a:schemeClr val="accent4">
                <a:tint val="75000"/>
              </a:schemeClr>
            </a:solidFill>
            <a:ln/>
            <a:effectLst/>
            <a:sp3d prstMaterial="flat"/>
          </c:spPr>
          <c:val>
            <c:numRef>
              <c:f>'Main Page'!$D$115:$X$115</c:f>
              <c:numCache>
                <c:formatCode>0.00</c:formatCode>
                <c:ptCount val="21"/>
                <c:pt idx="0">
                  <c:v>0.12882555213618616</c:v>
                </c:pt>
                <c:pt idx="1">
                  <c:v>0.13125238458284283</c:v>
                </c:pt>
                <c:pt idx="2">
                  <c:v>0.13427191425992935</c:v>
                </c:pt>
                <c:pt idx="3">
                  <c:v>0.13803475713107188</c:v>
                </c:pt>
                <c:pt idx="4">
                  <c:v>0.14273212023374696</c:v>
                </c:pt>
                <c:pt idx="5">
                  <c:v>0.14860730187603724</c:v>
                </c:pt>
                <c:pt idx="6">
                  <c:v>0.1559702113816509</c:v>
                </c:pt>
                <c:pt idx="7">
                  <c:v>0.16521514714840135</c:v>
                </c:pt>
                <c:pt idx="8">
                  <c:v>0.17684134742430169</c:v>
                </c:pt>
                <c:pt idx="9">
                  <c:v>0.19147415241991642</c:v>
                </c:pt>
                <c:pt idx="10">
                  <c:v>0.20988124450601003</c:v>
                </c:pt>
                <c:pt idx="11">
                  <c:v>0.23297244349933305</c:v>
                </c:pt>
                <c:pt idx="12">
                  <c:v>0.26176247244775036</c:v>
                </c:pt>
                <c:pt idx="13">
                  <c:v>0.29726589174621815</c:v>
                </c:pt>
                <c:pt idx="14">
                  <c:v>0.34028999238082303</c:v>
                </c:pt>
                <c:pt idx="15">
                  <c:v>0.39111229560462996</c:v>
                </c:pt>
                <c:pt idx="16">
                  <c:v>0.4490955286816295</c:v>
                </c:pt>
                <c:pt idx="17">
                  <c:v>0.51239978126519425</c:v>
                </c:pt>
                <c:pt idx="18">
                  <c:v>0.57802408289624052</c:v>
                </c:pt>
                <c:pt idx="19">
                  <c:v>0.64231960456105075</c:v>
                </c:pt>
                <c:pt idx="20">
                  <c:v>0.7018361529855498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59-44E6-8147-7424CDB1CF7D}"/>
            </c:ext>
          </c:extLst>
        </c:ser>
        <c:ser>
          <c:idx val="7"/>
          <c:order val="7"/>
          <c:spPr>
            <a:solidFill>
              <a:schemeClr val="accent4">
                <a:tint val="81000"/>
              </a:schemeClr>
            </a:solidFill>
            <a:ln/>
            <a:effectLst/>
            <a:sp3d prstMaterial="flat"/>
          </c:spPr>
          <c:val>
            <c:numRef>
              <c:f>'Main Page'!$D$116:$X$116</c:f>
              <c:numCache>
                <c:formatCode>0.00</c:formatCode>
                <c:ptCount val="21"/>
                <c:pt idx="0">
                  <c:v>0.1314933763500718</c:v>
                </c:pt>
                <c:pt idx="1">
                  <c:v>0.13457199867923825</c:v>
                </c:pt>
                <c:pt idx="2">
                  <c:v>0.13840904652570307</c:v>
                </c:pt>
                <c:pt idx="3">
                  <c:v>0.14319982573844003</c:v>
                </c:pt>
                <c:pt idx="4">
                  <c:v>0.14919288873771838</c:v>
                </c:pt>
                <c:pt idx="5">
                  <c:v>0.15670483877065841</c:v>
                </c:pt>
                <c:pt idx="6">
                  <c:v>0.16613838862098484</c:v>
                </c:pt>
                <c:pt idx="7">
                  <c:v>0.17800308729365669</c:v>
                </c:pt>
                <c:pt idx="8">
                  <c:v>0.19293633664375273</c:v>
                </c:pt>
                <c:pt idx="9">
                  <c:v>0.21171875399249726</c:v>
                </c:pt>
                <c:pt idx="10">
                  <c:v>0.23527167747029901</c:v>
                </c:pt>
                <c:pt idx="11">
                  <c:v>0.26461531220695539</c:v>
                </c:pt>
                <c:pt idx="12">
                  <c:v>0.30075595582778847</c:v>
                </c:pt>
                <c:pt idx="13">
                  <c:v>0.34446863267503947</c:v>
                </c:pt>
                <c:pt idx="14">
                  <c:v>0.39596556663218657</c:v>
                </c:pt>
                <c:pt idx="15">
                  <c:v>0.4545116618727274</c:v>
                </c:pt>
                <c:pt idx="16">
                  <c:v>0.51815623398213673</c:v>
                </c:pt>
                <c:pt idx="17">
                  <c:v>0.58381356489627545</c:v>
                </c:pt>
                <c:pt idx="18">
                  <c:v>0.64781601534752919</c:v>
                </c:pt>
                <c:pt idx="19">
                  <c:v>0.70677292678123305</c:v>
                </c:pt>
                <c:pt idx="20">
                  <c:v>0.75832665052847337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59-44E6-8147-7424CDB1CF7D}"/>
            </c:ext>
          </c:extLst>
        </c:ser>
        <c:ser>
          <c:idx val="8"/>
          <c:order val="8"/>
          <c:spPr>
            <a:solidFill>
              <a:schemeClr val="accent4">
                <a:tint val="88000"/>
              </a:schemeClr>
            </a:solidFill>
            <a:ln/>
            <a:effectLst/>
            <a:sp3d prstMaterial="flat"/>
          </c:spPr>
          <c:val>
            <c:numRef>
              <c:f>'Main Page'!$D$117:$X$117</c:f>
              <c:numCache>
                <c:formatCode>0.00</c:formatCode>
                <c:ptCount val="21"/>
                <c:pt idx="0">
                  <c:v>0.13487797864275317</c:v>
                </c:pt>
                <c:pt idx="1">
                  <c:v>0.13879074895497315</c:v>
                </c:pt>
                <c:pt idx="2">
                  <c:v>0.14367687554806394</c:v>
                </c:pt>
                <c:pt idx="3">
                  <c:v>0.14979028038279485</c:v>
                </c:pt>
                <c:pt idx="4">
                  <c:v>0.15745440193626317</c:v>
                </c:pt>
                <c:pt idx="5">
                  <c:v>0.16708053060722075</c:v>
                </c:pt>
                <c:pt idx="6">
                  <c:v>0.17918869386593711</c:v>
                </c:pt>
                <c:pt idx="7">
                  <c:v>0.19442848275663255</c:v>
                </c:pt>
                <c:pt idx="8">
                  <c:v>0.21359344380155268</c:v>
                </c:pt>
                <c:pt idx="9">
                  <c:v>0.23761612753949141</c:v>
                </c:pt>
                <c:pt idx="10">
                  <c:v>0.26752136448167424</c:v>
                </c:pt>
                <c:pt idx="11">
                  <c:v>0.30430550272433987</c:v>
                </c:pt>
                <c:pt idx="12">
                  <c:v>0.34870867612899448</c:v>
                </c:pt>
                <c:pt idx="13">
                  <c:v>0.40087469670828302</c:v>
                </c:pt>
                <c:pt idx="14">
                  <c:v>0.45996838426222048</c:v>
                </c:pt>
                <c:pt idx="15">
                  <c:v>0.5239288093751383</c:v>
                </c:pt>
                <c:pt idx="16">
                  <c:v>0.58958993613078603</c:v>
                </c:pt>
                <c:pt idx="17">
                  <c:v>0.65327231772746086</c:v>
                </c:pt>
                <c:pt idx="18">
                  <c:v>0.71165098173398933</c:v>
                </c:pt>
                <c:pt idx="19">
                  <c:v>0.7624822169787262</c:v>
                </c:pt>
                <c:pt idx="20">
                  <c:v>0.80486650709064733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59-44E6-8147-7424CDB1CF7D}"/>
            </c:ext>
          </c:extLst>
        </c:ser>
        <c:ser>
          <c:idx val="9"/>
          <c:order val="9"/>
          <c:spPr>
            <a:solidFill>
              <a:schemeClr val="accent4">
                <a:tint val="94000"/>
              </a:schemeClr>
            </a:solidFill>
            <a:ln/>
            <a:effectLst/>
            <a:sp3d prstMaterial="flat"/>
          </c:spPr>
          <c:val>
            <c:numRef>
              <c:f>'Main Page'!$D$118:$X$118</c:f>
              <c:numCache>
                <c:formatCode>0.00</c:formatCode>
                <c:ptCount val="21"/>
                <c:pt idx="0">
                  <c:v>0.13918001690058751</c:v>
                </c:pt>
                <c:pt idx="1">
                  <c:v>0.14416346388384074</c:v>
                </c:pt>
                <c:pt idx="2">
                  <c:v>0.15039972421771891</c:v>
                </c:pt>
                <c:pt idx="3">
                  <c:v>0.15821921514169104</c:v>
                </c:pt>
                <c:pt idx="4">
                  <c:v>0.16804196927758433</c:v>
                </c:pt>
                <c:pt idx="5">
                  <c:v>0.18039865905610136</c:v>
                </c:pt>
                <c:pt idx="6">
                  <c:v>0.19595118513177134</c:v>
                </c:pt>
                <c:pt idx="7">
                  <c:v>0.21550599892531783</c:v>
                </c:pt>
                <c:pt idx="8">
                  <c:v>0.24000652000604825</c:v>
                </c:pt>
                <c:pt idx="9">
                  <c:v>0.27048128490516926</c:v>
                </c:pt>
                <c:pt idx="10">
                  <c:v>0.30791492195398062</c:v>
                </c:pt>
                <c:pt idx="11">
                  <c:v>0.3530099778425223</c:v>
                </c:pt>
                <c:pt idx="12">
                  <c:v>0.40583874562952033</c:v>
                </c:pt>
                <c:pt idx="13">
                  <c:v>0.4654638670532032</c:v>
                </c:pt>
                <c:pt idx="14">
                  <c:v>0.5297150236720245</c:v>
                </c:pt>
                <c:pt idx="15">
                  <c:v>0.59535061388078447</c:v>
                </c:pt>
                <c:pt idx="16">
                  <c:v>0.65868646302190992</c:v>
                </c:pt>
                <c:pt idx="17">
                  <c:v>0.71646919153067645</c:v>
                </c:pt>
                <c:pt idx="18">
                  <c:v>0.76657106995588209</c:v>
                </c:pt>
                <c:pt idx="19">
                  <c:v>0.80820694133676696</c:v>
                </c:pt>
                <c:pt idx="20">
                  <c:v>0.84169912850765038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59-44E6-8147-7424CDB1CF7D}"/>
            </c:ext>
          </c:extLst>
        </c:ser>
        <c:ser>
          <c:idx val="10"/>
          <c:order val="10"/>
          <c:spPr>
            <a:solidFill>
              <a:schemeClr val="accent4"/>
            </a:solidFill>
            <a:ln/>
            <a:effectLst/>
            <a:sp3d prstMaterial="flat"/>
          </c:spPr>
          <c:val>
            <c:numRef>
              <c:f>'Main Page'!$D$119:$X$119</c:f>
              <c:numCache>
                <c:formatCode>0.00</c:formatCode>
                <c:ptCount val="21"/>
                <c:pt idx="0">
                  <c:v>0.14465978917147723</c:v>
                </c:pt>
                <c:pt idx="1">
                  <c:v>0.15102147297660581</c:v>
                </c:pt>
                <c:pt idx="2">
                  <c:v>0.15899959927434565</c:v>
                </c:pt>
                <c:pt idx="3">
                  <c:v>0.16902310875584101</c:v>
                </c:pt>
                <c:pt idx="4">
                  <c:v>0.18163348373399152</c:v>
                </c:pt>
                <c:pt idx="5">
                  <c:v>0.19750504701876695</c:v>
                </c:pt>
                <c:pt idx="6">
                  <c:v>0.21745711072119758</c:v>
                </c:pt>
                <c:pt idx="7">
                  <c:v>0.24244358055084431</c:v>
                </c:pt>
                <c:pt idx="8">
                  <c:v>0.27349571475499151</c:v>
                </c:pt>
                <c:pt idx="9">
                  <c:v>0.31158456732621392</c:v>
                </c:pt>
                <c:pt idx="10">
                  <c:v>0.35737233200205942</c:v>
                </c:pt>
                <c:pt idx="11">
                  <c:v>0.41085669453697954</c:v>
                </c:pt>
                <c:pt idx="12">
                  <c:v>0.47099620869455799</c:v>
                </c:pt>
                <c:pt idx="13">
                  <c:v>0.53551235851029211</c:v>
                </c:pt>
                <c:pt idx="14">
                  <c:v>0.60109303867008168</c:v>
                </c:pt>
                <c:pt idx="15">
                  <c:v>0.66405647385439481</c:v>
                </c:pt>
                <c:pt idx="16">
                  <c:v>0.72122651698740681</c:v>
                </c:pt>
                <c:pt idx="17">
                  <c:v>0.77059308443062513</c:v>
                </c:pt>
                <c:pt idx="18">
                  <c:v>0.81148336124611775</c:v>
                </c:pt>
                <c:pt idx="19">
                  <c:v>0.84429718729419212</c:v>
                </c:pt>
                <c:pt idx="20">
                  <c:v>0.87005946166965076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59-44E6-8147-7424CDB1CF7D}"/>
            </c:ext>
          </c:extLst>
        </c:ser>
        <c:ser>
          <c:idx val="11"/>
          <c:order val="11"/>
          <c:spPr>
            <a:solidFill>
              <a:schemeClr val="accent4">
                <a:shade val="93000"/>
              </a:schemeClr>
            </a:solidFill>
            <a:ln/>
            <a:effectLst/>
            <a:sp3d prstMaterial="flat"/>
          </c:spPr>
          <c:val>
            <c:numRef>
              <c:f>'Main Page'!$D$120:$X$120</c:f>
              <c:numCache>
                <c:formatCode>0.00</c:formatCode>
                <c:ptCount val="21"/>
                <c:pt idx="0">
                  <c:v>0.15165578482987599</c:v>
                </c:pt>
                <c:pt idx="1">
                  <c:v>0.15979588196525901</c:v>
                </c:pt>
                <c:pt idx="2">
                  <c:v>0.17002436122840248</c:v>
                </c:pt>
                <c:pt idx="3">
                  <c:v>0.18289367777589133</c:v>
                </c:pt>
                <c:pt idx="4">
                  <c:v>0.19909068044487307</c:v>
                </c:pt>
                <c:pt idx="5">
                  <c:v>0.21944747650920171</c:v>
                </c:pt>
                <c:pt idx="6">
                  <c:v>0.24492803332443033</c:v>
                </c:pt>
                <c:pt idx="7">
                  <c:v>0.27656527936136144</c:v>
                </c:pt>
                <c:pt idx="8">
                  <c:v>0.31531475476167364</c:v>
                </c:pt>
                <c:pt idx="9">
                  <c:v>0.3617954697875615</c:v>
                </c:pt>
                <c:pt idx="10">
                  <c:v>0.41592744525730002</c:v>
                </c:pt>
                <c:pt idx="11">
                  <c:v>0.47656343696554959</c:v>
                </c:pt>
                <c:pt idx="12">
                  <c:v>0.54131826562063334</c:v>
                </c:pt>
                <c:pt idx="13">
                  <c:v>0.60681467936207223</c:v>
                </c:pt>
                <c:pt idx="14">
                  <c:v>0.66938044700708021</c:v>
                </c:pt>
                <c:pt idx="15">
                  <c:v>0.72592200576114796</c:v>
                </c:pt>
                <c:pt idx="16">
                  <c:v>0.77454820491466736</c:v>
                </c:pt>
                <c:pt idx="17">
                  <c:v>0.81469631911709428</c:v>
                </c:pt>
                <c:pt idx="18">
                  <c:v>0.84684005517589656</c:v>
                </c:pt>
                <c:pt idx="19">
                  <c:v>0.87203836149920799</c:v>
                </c:pt>
                <c:pt idx="20">
                  <c:v>0.89154236567405021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59-44E6-8147-7424CDB1CF7D}"/>
            </c:ext>
          </c:extLst>
        </c:ser>
        <c:ser>
          <c:idx val="12"/>
          <c:order val="12"/>
          <c:spPr>
            <a:solidFill>
              <a:schemeClr val="accent4">
                <a:shade val="87000"/>
              </a:schemeClr>
            </a:solidFill>
            <a:ln/>
            <a:effectLst/>
            <a:sp3d prstMaterial="flat"/>
          </c:spPr>
          <c:val>
            <c:numRef>
              <c:f>'Main Page'!$D$121:$X$121</c:f>
              <c:numCache>
                <c:formatCode>0.00</c:formatCode>
                <c:ptCount val="21"/>
                <c:pt idx="0">
                  <c:v>0.16060839770877747</c:v>
                </c:pt>
                <c:pt idx="1">
                  <c:v>0.17104614705101456</c:v>
                </c:pt>
                <c:pt idx="2">
                  <c:v>0.18417976010733383</c:v>
                </c:pt>
                <c:pt idx="3">
                  <c:v>0.20070870609656266</c:v>
                </c:pt>
                <c:pt idx="4">
                  <c:v>0.22147779913297067</c:v>
                </c:pt>
                <c:pt idx="5">
                  <c:v>0.24746059998000813</c:v>
                </c:pt>
                <c:pt idx="6">
                  <c:v>0.27969058645361133</c:v>
                </c:pt>
                <c:pt idx="7">
                  <c:v>0.31910576008160407</c:v>
                </c:pt>
                <c:pt idx="8">
                  <c:v>0.36627905734447341</c:v>
                </c:pt>
                <c:pt idx="9">
                  <c:v>0.42104981984419215</c:v>
                </c:pt>
                <c:pt idx="10">
                  <c:v>0.48216351132729274</c:v>
                </c:pt>
                <c:pt idx="11">
                  <c:v>0.54713017165895039</c:v>
                </c:pt>
                <c:pt idx="12">
                  <c:v>0.61251303815240954</c:v>
                </c:pt>
                <c:pt idx="13">
                  <c:v>0.67465655600015928</c:v>
                </c:pt>
                <c:pt idx="14">
                  <c:v>0.73055479181721628</c:v>
                </c:pt>
                <c:pt idx="15">
                  <c:v>0.77843644306165127</c:v>
                </c:pt>
                <c:pt idx="16">
                  <c:v>0.81784640463953184</c:v>
                </c:pt>
                <c:pt idx="17">
                  <c:v>0.84932857985869059</c:v>
                </c:pt>
                <c:pt idx="18">
                  <c:v>0.87397284606029613</c:v>
                </c:pt>
                <c:pt idx="19">
                  <c:v>0.89303314882267559</c:v>
                </c:pt>
                <c:pt idx="20">
                  <c:v>0.90769198943907958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59-44E6-8147-7424CDB1CF7D}"/>
            </c:ext>
          </c:extLst>
        </c:ser>
        <c:ser>
          <c:idx val="13"/>
          <c:order val="13"/>
          <c:spPr>
            <a:solidFill>
              <a:schemeClr val="accent4">
                <a:shade val="80000"/>
              </a:schemeClr>
            </a:solidFill>
            <a:ln/>
            <a:effectLst/>
            <a:sp3d prstMaterial="flat"/>
          </c:spPr>
          <c:val>
            <c:numRef>
              <c:f>'Main Page'!$D$122:$X$122</c:f>
              <c:numCache>
                <c:formatCode>0.00</c:formatCode>
                <c:ptCount val="21"/>
                <c:pt idx="0">
                  <c:v>0.17208889485239018</c:v>
                </c:pt>
                <c:pt idx="1">
                  <c:v>0.18549225873641162</c:v>
                </c:pt>
                <c:pt idx="2">
                  <c:v>0.2023597531801308</c:v>
                </c:pt>
                <c:pt idx="3">
                  <c:v>0.22354878648281098</c:v>
                </c:pt>
                <c:pt idx="4">
                  <c:v>0.25004199865003918</c:v>
                </c:pt>
                <c:pt idx="5">
                  <c:v>0.28287222444546178</c:v>
                </c:pt>
                <c:pt idx="6">
                  <c:v>0.3229578167727632</c:v>
                </c:pt>
                <c:pt idx="7">
                  <c:v>0.37082269383209576</c:v>
                </c:pt>
                <c:pt idx="8">
                  <c:v>0.42622256033115108</c:v>
                </c:pt>
                <c:pt idx="9">
                  <c:v>0.48779432553895069</c:v>
                </c:pt>
                <c:pt idx="10">
                  <c:v>0.55294548316742098</c:v>
                </c:pt>
                <c:pt idx="11">
                  <c:v>0.61818565543581305</c:v>
                </c:pt>
                <c:pt idx="12">
                  <c:v>0.67988305338899757</c:v>
                </c:pt>
                <c:pt idx="13">
                  <c:v>0.73512409466360096</c:v>
                </c:pt>
                <c:pt idx="14">
                  <c:v>0.78225787518876166</c:v>
                </c:pt>
                <c:pt idx="15">
                  <c:v>0.82093424232536227</c:v>
                </c:pt>
                <c:pt idx="16">
                  <c:v>0.85176361913369691</c:v>
                </c:pt>
                <c:pt idx="17">
                  <c:v>0.87586378623036176</c:v>
                </c:pt>
                <c:pt idx="18">
                  <c:v>0.89448968483090219</c:v>
                </c:pt>
                <c:pt idx="19">
                  <c:v>0.90881086503125674</c:v>
                </c:pt>
                <c:pt idx="20">
                  <c:v>0.91981499953755519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59-44E6-8147-7424CDB1CF7D}"/>
            </c:ext>
          </c:extLst>
        </c:ser>
        <c:ser>
          <c:idx val="14"/>
          <c:order val="14"/>
          <c:spPr>
            <a:solidFill>
              <a:schemeClr val="accent4">
                <a:shade val="74000"/>
              </a:schemeClr>
            </a:solidFill>
            <a:ln/>
            <a:effectLst/>
            <a:sp3d prstMaterial="flat"/>
          </c:spPr>
          <c:val>
            <c:numRef>
              <c:f>'Main Page'!$D$123:$X$123</c:f>
              <c:numCache>
                <c:formatCode>0.00</c:formatCode>
                <c:ptCount val="21"/>
                <c:pt idx="0">
                  <c:v>0.18683171077680136</c:v>
                </c:pt>
                <c:pt idx="1">
                  <c:v>0.20404445926004378</c:v>
                </c:pt>
                <c:pt idx="2">
                  <c:v>0.22566115097904449</c:v>
                </c:pt>
                <c:pt idx="3">
                  <c:v>0.25267294286519887</c:v>
                </c:pt>
                <c:pt idx="4">
                  <c:v>0.28611076066022917</c:v>
                </c:pt>
                <c:pt idx="5">
                  <c:v>0.32687111373398442</c:v>
                </c:pt>
                <c:pt idx="6">
                  <c:v>0.37542590956001803</c:v>
                </c:pt>
                <c:pt idx="7">
                  <c:v>0.43144432870552796</c:v>
                </c:pt>
                <c:pt idx="8">
                  <c:v>0.49345371053490511</c:v>
                </c:pt>
                <c:pt idx="9">
                  <c:v>0.55876159164413775</c:v>
                </c:pt>
                <c:pt idx="10">
                  <c:v>0.62383011452610049</c:v>
                </c:pt>
                <c:pt idx="11">
                  <c:v>0.68505827277539011</c:v>
                </c:pt>
                <c:pt idx="12">
                  <c:v>0.73962921836389539</c:v>
                </c:pt>
                <c:pt idx="13">
                  <c:v>0.78601263973241153</c:v>
                </c:pt>
                <c:pt idx="14">
                  <c:v>0.82396048898591401</c:v>
                </c:pt>
                <c:pt idx="15">
                  <c:v>0.85414603915567133</c:v>
                </c:pt>
                <c:pt idx="16">
                  <c:v>0.87771204718078322</c:v>
                </c:pt>
                <c:pt idx="17">
                  <c:v>0.89591273174770836</c:v>
                </c:pt>
                <c:pt idx="18">
                  <c:v>0.90990397176363036</c:v>
                </c:pt>
                <c:pt idx="19">
                  <c:v>0.92065570925939944</c:v>
                </c:pt>
                <c:pt idx="20">
                  <c:v>0.92893872523927024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59-44E6-8147-7424CDB1CF7D}"/>
            </c:ext>
          </c:extLst>
        </c:ser>
        <c:ser>
          <c:idx val="15"/>
          <c:order val="15"/>
          <c:spPr>
            <a:solidFill>
              <a:schemeClr val="accent4">
                <a:shade val="68000"/>
              </a:schemeClr>
            </a:solidFill>
            <a:ln/>
            <a:effectLst/>
            <a:sp3d prstMaterial="flat"/>
          </c:spPr>
          <c:val>
            <c:numRef>
              <c:f>'Main Page'!$D$124:$X$124</c:f>
              <c:numCache>
                <c:formatCode>0.00</c:formatCode>
                <c:ptCount val="21"/>
                <c:pt idx="0">
                  <c:v>0.20576347007369536</c:v>
                </c:pt>
                <c:pt idx="1">
                  <c:v>0.22781560901396697</c:v>
                </c:pt>
                <c:pt idx="2">
                  <c:v>0.25535414041448279</c:v>
                </c:pt>
                <c:pt idx="3">
                  <c:v>0.28940673949740486</c:v>
                </c:pt>
                <c:pt idx="4">
                  <c:v>0.33084579301115608</c:v>
                </c:pt>
                <c:pt idx="5">
                  <c:v>0.38008816422457103</c:v>
                </c:pt>
                <c:pt idx="6">
                  <c:v>0.43671370711336388</c:v>
                </c:pt>
                <c:pt idx="7">
                  <c:v>0.49913943755749723</c:v>
                </c:pt>
                <c:pt idx="8">
                  <c:v>0.5645758786999121</c:v>
                </c:pt>
                <c:pt idx="9">
                  <c:v>0.6294440462095735</c:v>
                </c:pt>
                <c:pt idx="10">
                  <c:v>0.69018063053102208</c:v>
                </c:pt>
                <c:pt idx="11">
                  <c:v>0.74406955034132638</c:v>
                </c:pt>
                <c:pt idx="12">
                  <c:v>0.78970093465093971</c:v>
                </c:pt>
                <c:pt idx="13">
                  <c:v>0.82692583126181507</c:v>
                </c:pt>
                <c:pt idx="14">
                  <c:v>0.85647671280211735</c:v>
                </c:pt>
                <c:pt idx="15">
                  <c:v>0.87951848757155171</c:v>
                </c:pt>
                <c:pt idx="16">
                  <c:v>0.89730303576203518</c:v>
                </c:pt>
                <c:pt idx="17">
                  <c:v>0.91097191442629311</c:v>
                </c:pt>
                <c:pt idx="18">
                  <c:v>0.92147725739537856</c:v>
                </c:pt>
                <c:pt idx="19">
                  <c:v>0.9295730105121347</c:v>
                </c:pt>
                <c:pt idx="20">
                  <c:v>0.9358385355003872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59-44E6-8147-7424CDB1CF7D}"/>
            </c:ext>
          </c:extLst>
        </c:ser>
        <c:ser>
          <c:idx val="16"/>
          <c:order val="16"/>
          <c:spPr>
            <a:solidFill>
              <a:schemeClr val="accent4">
                <a:shade val="61000"/>
              </a:schemeClr>
            </a:solidFill>
            <a:ln/>
            <a:effectLst/>
            <a:sp3d prstMaterial="flat"/>
          </c:spPr>
          <c:val>
            <c:numRef>
              <c:f>'Main Page'!$D$125:$X$125</c:f>
              <c:numCache>
                <c:formatCode>0.00</c:formatCode>
                <c:ptCount val="21"/>
                <c:pt idx="0">
                  <c:v>0.23001288035070441</c:v>
                </c:pt>
                <c:pt idx="1">
                  <c:v>0.25808629214541207</c:v>
                </c:pt>
                <c:pt idx="2">
                  <c:v>0.29276068054241777</c:v>
                </c:pt>
                <c:pt idx="3">
                  <c:v>0.3348819475279412</c:v>
                </c:pt>
                <c:pt idx="4">
                  <c:v>0.38480884525746267</c:v>
                </c:pt>
                <c:pt idx="5">
                  <c:v>0.44202919830356024</c:v>
                </c:pt>
                <c:pt idx="6">
                  <c:v>0.50484922153827272</c:v>
                </c:pt>
                <c:pt idx="7">
                  <c:v>0.57038572128008957</c:v>
                </c:pt>
                <c:pt idx="8">
                  <c:v>0.63502513311302544</c:v>
                </c:pt>
                <c:pt idx="9">
                  <c:v>0.69524862723293979</c:v>
                </c:pt>
                <c:pt idx="10">
                  <c:v>0.74844455998695802</c:v>
                </c:pt>
                <c:pt idx="11">
                  <c:v>0.79332301478679701</c:v>
                </c:pt>
                <c:pt idx="12">
                  <c:v>0.82983098321082316</c:v>
                </c:pt>
                <c:pt idx="13">
                  <c:v>0.85875651811282783</c:v>
                </c:pt>
                <c:pt idx="14">
                  <c:v>0.88128395880810084</c:v>
                </c:pt>
                <c:pt idx="15">
                  <c:v>0.89866133099899537</c:v>
                </c:pt>
                <c:pt idx="16">
                  <c:v>0.912015285342203</c:v>
                </c:pt>
                <c:pt idx="17">
                  <c:v>0.92228010380256975</c:v>
                </c:pt>
                <c:pt idx="18">
                  <c:v>0.93019309557617758</c:v>
                </c:pt>
                <c:pt idx="19">
                  <c:v>0.93631976554734886</c:v>
                </c:pt>
                <c:pt idx="20">
                  <c:v>0.94108735079951344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59-44E6-8147-7424CDB1CF7D}"/>
            </c:ext>
          </c:extLst>
        </c:ser>
        <c:ser>
          <c:idx val="17"/>
          <c:order val="17"/>
          <c:spPr>
            <a:solidFill>
              <a:schemeClr val="accent4">
                <a:shade val="55000"/>
              </a:schemeClr>
            </a:solidFill>
            <a:ln/>
            <a:effectLst/>
            <a:sp3d prstMaterial="flat"/>
          </c:spPr>
          <c:val>
            <c:numRef>
              <c:f>'Main Page'!$D$126:$X$126</c:f>
              <c:numCache>
                <c:formatCode>0.00</c:formatCode>
                <c:ptCount val="21"/>
                <c:pt idx="0">
                  <c:v>0.26087009070342559</c:v>
                </c:pt>
                <c:pt idx="1">
                  <c:v>0.29617307662178582</c:v>
                </c:pt>
                <c:pt idx="2">
                  <c:v>0.33897961882009325</c:v>
                </c:pt>
                <c:pt idx="3">
                  <c:v>0.38958726629891016</c:v>
                </c:pt>
                <c:pt idx="4">
                  <c:v>0.4473892263190053</c:v>
                </c:pt>
                <c:pt idx="5">
                  <c:v>0.51058072471900628</c:v>
                </c:pt>
                <c:pt idx="6">
                  <c:v>0.57618849692860308</c:v>
                </c:pt>
                <c:pt idx="7">
                  <c:v>0.64057111386895327</c:v>
                </c:pt>
                <c:pt idx="8">
                  <c:v>0.7002608488124904</c:v>
                </c:pt>
                <c:pt idx="9">
                  <c:v>0.75275379708562595</c:v>
                </c:pt>
                <c:pt idx="10">
                  <c:v>0.79687918920016954</c:v>
                </c:pt>
                <c:pt idx="11">
                  <c:v>0.83267668395827521</c:v>
                </c:pt>
                <c:pt idx="12">
                  <c:v>0.86098633680927661</c:v>
                </c:pt>
                <c:pt idx="13">
                  <c:v>0.88300930435794778</c:v>
                </c:pt>
                <c:pt idx="14">
                  <c:v>0.89998833934986711</c:v>
                </c:pt>
                <c:pt idx="15">
                  <c:v>0.91303466445352466</c:v>
                </c:pt>
                <c:pt idx="16">
                  <c:v>0.92306469761596976</c:v>
                </c:pt>
                <c:pt idx="17">
                  <c:v>0.93079932130134369</c:v>
                </c:pt>
                <c:pt idx="18">
                  <c:v>0.93679045152141782</c:v>
                </c:pt>
                <c:pt idx="19">
                  <c:v>0.94145470175280299</c:v>
                </c:pt>
                <c:pt idx="20">
                  <c:v>0.94510477421418371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59-44E6-8147-7424CDB1CF7D}"/>
            </c:ext>
          </c:extLst>
        </c:ser>
        <c:ser>
          <c:idx val="18"/>
          <c:order val="18"/>
          <c:spPr>
            <a:solidFill>
              <a:schemeClr val="accent4">
                <a:shade val="49000"/>
              </a:schemeClr>
            </a:solidFill>
            <a:ln/>
            <a:effectLst/>
            <a:sp3d prstMaterial="flat"/>
          </c:spPr>
          <c:val>
            <c:numRef>
              <c:f>'Main Page'!$D$127:$X$127</c:f>
              <c:numCache>
                <c:formatCode>0.00</c:formatCode>
                <c:ptCount val="21"/>
                <c:pt idx="0">
                  <c:v>0.29964439180627361</c:v>
                </c:pt>
                <c:pt idx="1">
                  <c:v>0.34313879478177101</c:v>
                </c:pt>
                <c:pt idx="2">
                  <c:v>0.39442266580765578</c:v>
                </c:pt>
                <c:pt idx="3">
                  <c:v>0.45279213744121916</c:v>
                </c:pt>
                <c:pt idx="4">
                  <c:v>0.51633156050212159</c:v>
                </c:pt>
                <c:pt idx="5">
                  <c:v>0.58198158907108999</c:v>
                </c:pt>
                <c:pt idx="6">
                  <c:v>0.64607978706195068</c:v>
                </c:pt>
                <c:pt idx="7">
                  <c:v>0.70521596742079118</c:v>
                </c:pt>
                <c:pt idx="8">
                  <c:v>0.7569968900734968</c:v>
                </c:pt>
                <c:pt idx="9">
                  <c:v>0.80036981848541844</c:v>
                </c:pt>
                <c:pt idx="10">
                  <c:v>0.8354636954142417</c:v>
                </c:pt>
                <c:pt idx="11">
                  <c:v>0.86316705289301265</c:v>
                </c:pt>
                <c:pt idx="12">
                  <c:v>0.88469535912478059</c:v>
                </c:pt>
                <c:pt idx="13">
                  <c:v>0.90128477033383247</c:v>
                </c:pt>
                <c:pt idx="14">
                  <c:v>0.91403061942138464</c:v>
                </c:pt>
                <c:pt idx="15">
                  <c:v>0.92383147743082383</c:v>
                </c:pt>
                <c:pt idx="16">
                  <c:v>0.93139202015568978</c:v>
                </c:pt>
                <c:pt idx="17">
                  <c:v>0.93725084322200591</c:v>
                </c:pt>
                <c:pt idx="18">
                  <c:v>0.94181418342750156</c:v>
                </c:pt>
                <c:pt idx="19">
                  <c:v>0.94538689367085194</c:v>
                </c:pt>
                <c:pt idx="20">
                  <c:v>0.94819780565737644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59-44E6-8147-7424CDB1CF7D}"/>
            </c:ext>
          </c:extLst>
        </c:ser>
        <c:ser>
          <c:idx val="19"/>
          <c:order val="19"/>
          <c:spPr>
            <a:solidFill>
              <a:schemeClr val="accent4">
                <a:shade val="42000"/>
              </a:schemeClr>
            </a:solidFill>
            <a:ln/>
            <a:effectLst/>
            <a:sp3d prstMaterial="flat"/>
          </c:spPr>
          <c:val>
            <c:numRef>
              <c:f>'Main Page'!$D$128:$X$128</c:f>
              <c:numCache>
                <c:formatCode>0.00</c:formatCode>
                <c:ptCount val="21"/>
                <c:pt idx="0">
                  <c:v>0.34735940743277977</c:v>
                </c:pt>
                <c:pt idx="1">
                  <c:v>0.39931420582024524</c:v>
                </c:pt>
                <c:pt idx="2">
                  <c:v>0.45823620139393234</c:v>
                </c:pt>
                <c:pt idx="3">
                  <c:v>0.52209929751851636</c:v>
                </c:pt>
                <c:pt idx="4">
                  <c:v>0.58776239229361393</c:v>
                </c:pt>
                <c:pt idx="5">
                  <c:v>0.65154901494178563</c:v>
                </c:pt>
                <c:pt idx="6">
                  <c:v>0.71011274201528907</c:v>
                </c:pt>
                <c:pt idx="7">
                  <c:v>0.76117354414140193</c:v>
                </c:pt>
                <c:pt idx="8">
                  <c:v>0.80379531208112343</c:v>
                </c:pt>
                <c:pt idx="9">
                  <c:v>0.83819280006089258</c:v>
                </c:pt>
                <c:pt idx="10">
                  <c:v>0.86529955132194469</c:v>
                </c:pt>
                <c:pt idx="11">
                  <c:v>0.88634294887760579</c:v>
                </c:pt>
                <c:pt idx="12">
                  <c:v>0.90255132098948354</c:v>
                </c:pt>
                <c:pt idx="13">
                  <c:v>0.91500370573784118</c:v>
                </c:pt>
                <c:pt idx="14">
                  <c:v>0.92458087148760859</c:v>
                </c:pt>
                <c:pt idx="15">
                  <c:v>0.93197151639078246</c:v>
                </c:pt>
                <c:pt idx="16">
                  <c:v>0.93770118417299053</c:v>
                </c:pt>
                <c:pt idx="17">
                  <c:v>0.94216597840856375</c:v>
                </c:pt>
                <c:pt idx="18">
                  <c:v>0.94566310068879311</c:v>
                </c:pt>
                <c:pt idx="19">
                  <c:v>0.94841568618758587</c:v>
                </c:pt>
                <c:pt idx="20">
                  <c:v>0.9505919120701749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59-44E6-8147-7424CDB1CF7D}"/>
            </c:ext>
          </c:extLst>
        </c:ser>
        <c:ser>
          <c:idx val="20"/>
          <c:order val="20"/>
          <c:spPr>
            <a:solidFill>
              <a:schemeClr val="accent4">
                <a:shade val="36000"/>
              </a:schemeClr>
            </a:solidFill>
            <a:ln/>
            <a:effectLst/>
            <a:sp3d prstMaterial="flat"/>
          </c:spPr>
          <c:val>
            <c:numRef>
              <c:f>'Main Page'!$D$129:$X$129</c:f>
              <c:numCache>
                <c:formatCode>0.00</c:formatCode>
                <c:ptCount val="21"/>
                <c:pt idx="0">
                  <c:v>0.40426097087185459</c:v>
                </c:pt>
                <c:pt idx="1">
                  <c:v>0.46371961280975293</c:v>
                </c:pt>
                <c:pt idx="2">
                  <c:v>0.52788146389921442</c:v>
                </c:pt>
                <c:pt idx="3">
                  <c:v>0.59352831759349167</c:v>
                </c:pt>
                <c:pt idx="4">
                  <c:v>0.65697672689025444</c:v>
                </c:pt>
                <c:pt idx="5">
                  <c:v>0.71495001867341623</c:v>
                </c:pt>
                <c:pt idx="6">
                  <c:v>0.7652835391982078</c:v>
                </c:pt>
                <c:pt idx="7">
                  <c:v>0.80715612558388494</c:v>
                </c:pt>
                <c:pt idx="8">
                  <c:v>0.84086479881301635</c:v>
                </c:pt>
                <c:pt idx="9">
                  <c:v>0.86738471676318429</c:v>
                </c:pt>
                <c:pt idx="10">
                  <c:v>0.88795288973256192</c:v>
                </c:pt>
                <c:pt idx="11">
                  <c:v>0.90378867579418576</c:v>
                </c:pt>
                <c:pt idx="12">
                  <c:v>0.91595446684893478</c:v>
                </c:pt>
                <c:pt idx="13">
                  <c:v>0.92531329785912753</c:v>
                </c:pt>
                <c:pt idx="14">
                  <c:v>0.93253812622533638</c:v>
                </c:pt>
                <c:pt idx="15">
                  <c:v>0.93814171177757577</c:v>
                </c:pt>
                <c:pt idx="16">
                  <c:v>0.94251026470556254</c:v>
                </c:pt>
                <c:pt idx="17">
                  <c:v>0.94593352910720752</c:v>
                </c:pt>
                <c:pt idx="18">
                  <c:v>0.94862909219977998</c:v>
                </c:pt>
                <c:pt idx="19">
                  <c:v>0.95076102345227975</c:v>
                </c:pt>
                <c:pt idx="20">
                  <c:v>0.95245376913957314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F59-44E6-8147-7424CDB1CF7D}"/>
            </c:ext>
          </c:extLst>
        </c:ser>
        <c:bandFmts>
          <c:bandFmt>
            <c:idx val="0"/>
            <c:spPr>
              <a:solidFill>
                <a:schemeClr val="accent4">
                  <a:tint val="43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4">
                  <a:tint val="56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4">
                  <a:tint val="69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4">
                  <a:tint val="81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4">
                  <a:tint val="94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4">
                  <a:shade val="93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4">
                  <a:shade val="8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4">
                  <a:shade val="68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4">
                  <a:shade val="55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</c:bandFmts>
        <c:axId val="312658688"/>
        <c:axId val="312669504"/>
        <c:axId val="2126312496"/>
      </c:surface3DChart>
      <c:catAx>
        <c:axId val="312658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  <c:auto val="1"/>
        <c:lblAlgn val="ctr"/>
        <c:lblOffset val="100"/>
        <c:noMultiLvlLbl val="0"/>
      </c:catAx>
      <c:valAx>
        <c:axId val="3126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58688"/>
        <c:crosses val="autoZero"/>
        <c:crossBetween val="midCat"/>
      </c:valAx>
      <c:serAx>
        <c:axId val="2126312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w3 weight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Data'!$C$3:$C$1000</c:f>
              <c:numCache>
                <c:formatCode>0.00</c:formatCode>
                <c:ptCount val="998"/>
                <c:pt idx="0">
                  <c:v>4.8672265056650641</c:v>
                </c:pt>
                <c:pt idx="1">
                  <c:v>4.9706269291921155</c:v>
                </c:pt>
                <c:pt idx="2">
                  <c:v>5.0702432820349745</c:v>
                </c:pt>
                <c:pt idx="3">
                  <c:v>5.1657587027824965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0.45799119722267861</c:v>
                </c:pt>
                <c:pt idx="1">
                  <c:v>0.40375870270131398</c:v>
                </c:pt>
                <c:pt idx="2">
                  <c:v>0.36489641409828033</c:v>
                </c:pt>
                <c:pt idx="3">
                  <c:v>0.33536950416891559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9-48B7-B0BB-62BB3F1A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Data'!$F$3:$F$1000</c:f>
              <c:numCache>
                <c:formatCode>0.00</c:formatCode>
                <c:ptCount val="998"/>
                <c:pt idx="0">
                  <c:v>-1.6153102425392183</c:v>
                </c:pt>
                <c:pt idx="1">
                  <c:v>-1.7762328032237278</c:v>
                </c:pt>
                <c:pt idx="2">
                  <c:v>-1.9022738270873609</c:v>
                </c:pt>
                <c:pt idx="3">
                  <c:v>-2.0050911795080713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0.45799119722267861</c:v>
                </c:pt>
                <c:pt idx="1">
                  <c:v>0.40375870270131398</c:v>
                </c:pt>
                <c:pt idx="2">
                  <c:v>0.36489641409828033</c:v>
                </c:pt>
                <c:pt idx="3">
                  <c:v>0.33536950416891559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2-4B51-B77A-F62604309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Data'!$I$3:$I$1000</c:f>
              <c:numCache>
                <c:formatCode>0.00</c:formatCode>
                <c:ptCount val="998"/>
                <c:pt idx="0">
                  <c:v>-4.5452812383343213</c:v>
                </c:pt>
                <c:pt idx="1">
                  <c:v>-4.5488425693000609</c:v>
                </c:pt>
                <c:pt idx="2">
                  <c:v>-4.5610337973512136</c:v>
                </c:pt>
                <c:pt idx="3">
                  <c:v>-4.5794351485042872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0.45799119722267861</c:v>
                </c:pt>
                <c:pt idx="1">
                  <c:v>0.40375870270131398</c:v>
                </c:pt>
                <c:pt idx="2">
                  <c:v>0.36489641409828033</c:v>
                </c:pt>
                <c:pt idx="3">
                  <c:v>0.33536950416891559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ED-42A9-88AE-EEC989D0B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Data'!$L$3:$L$1000</c:f>
              <c:numCache>
                <c:formatCode>0.00</c:formatCode>
                <c:ptCount val="998"/>
                <c:pt idx="0">
                  <c:v>-0.20638891580021543</c:v>
                </c:pt>
                <c:pt idx="1">
                  <c:v>-0.24499875620799369</c:v>
                </c:pt>
                <c:pt idx="2">
                  <c:v>-0.28487423871745998</c:v>
                </c:pt>
                <c:pt idx="3">
                  <c:v>-0.32502798837442359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0.45799119722267861</c:v>
                </c:pt>
                <c:pt idx="1">
                  <c:v>0.40375870270131398</c:v>
                </c:pt>
                <c:pt idx="2">
                  <c:v>0.36489641409828033</c:v>
                </c:pt>
                <c:pt idx="3">
                  <c:v>0.33536950416891559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4A-435F-A87E-33AAD026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Data'!$O$3:$O$1000</c:f>
              <c:numCache>
                <c:formatCode>0.00</c:formatCode>
                <c:ptCount val="998"/>
                <c:pt idx="0">
                  <c:v>3.7845167721909609</c:v>
                </c:pt>
                <c:pt idx="1">
                  <c:v>3.9475546877823966</c:v>
                </c:pt>
                <c:pt idx="2">
                  <c:v>4.086835310042888</c:v>
                </c:pt>
                <c:pt idx="3">
                  <c:v>4.207626814600709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0.45799119722267861</c:v>
                </c:pt>
                <c:pt idx="1">
                  <c:v>0.40375870270131398</c:v>
                </c:pt>
                <c:pt idx="2">
                  <c:v>0.36489641409828033</c:v>
                </c:pt>
                <c:pt idx="3">
                  <c:v>0.33536950416891559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6-4C79-B379-A56ACE3A6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Data'!$R$3:$R$1000</c:f>
              <c:numCache>
                <c:formatCode>0.00</c:formatCode>
                <c:ptCount val="998"/>
                <c:pt idx="0">
                  <c:v>-0.68564994370985188</c:v>
                </c:pt>
                <c:pt idx="1">
                  <c:v>-0.58828763158920028</c:v>
                </c:pt>
                <c:pt idx="2">
                  <c:v>-0.515586731790311</c:v>
                </c:pt>
                <c:pt idx="3">
                  <c:v>-0.4606830503293774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0.45799119722267861</c:v>
                </c:pt>
                <c:pt idx="1">
                  <c:v>0.40375870270131398</c:v>
                </c:pt>
                <c:pt idx="2">
                  <c:v>0.36489641409828033</c:v>
                </c:pt>
                <c:pt idx="3">
                  <c:v>0.33536950416891559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0-4916-872D-904AA14BF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chart" Target="../charts/chart3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chart" Target="../charts/chart2.xml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chart" Target="../charts/chart5.xml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chart" Target="../charts/chart8.xm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chart" Target="../charts/chart4.xml"/><Relationship Id="rId30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17</xdr:row>
      <xdr:rowOff>160020</xdr:rowOff>
    </xdr:from>
    <xdr:to>
      <xdr:col>2</xdr:col>
      <xdr:colOff>533400</xdr:colOff>
      <xdr:row>20</xdr:row>
      <xdr:rowOff>38100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2540" y="32689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x1</a:t>
          </a:r>
        </a:p>
      </xdr:txBody>
    </xdr:sp>
    <xdr:clientData/>
  </xdr:twoCellAnchor>
  <xdr:twoCellAnchor>
    <xdr:from>
      <xdr:col>2</xdr:col>
      <xdr:colOff>83820</xdr:colOff>
      <xdr:row>22</xdr:row>
      <xdr:rowOff>45720</xdr:rowOff>
    </xdr:from>
    <xdr:to>
      <xdr:col>2</xdr:col>
      <xdr:colOff>563880</xdr:colOff>
      <xdr:row>24</xdr:row>
      <xdr:rowOff>106680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03020" y="40690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x2</a:t>
          </a:r>
        </a:p>
      </xdr:txBody>
    </xdr:sp>
    <xdr:clientData/>
  </xdr:twoCellAnchor>
  <xdr:twoCellAnchor>
    <xdr:from>
      <xdr:col>5</xdr:col>
      <xdr:colOff>114300</xdr:colOff>
      <xdr:row>19</xdr:row>
      <xdr:rowOff>53340</xdr:rowOff>
    </xdr:from>
    <xdr:to>
      <xdr:col>5</xdr:col>
      <xdr:colOff>594360</xdr:colOff>
      <xdr:row>21</xdr:row>
      <xdr:rowOff>114300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623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a1</a:t>
          </a:r>
        </a:p>
      </xdr:txBody>
    </xdr:sp>
    <xdr:clientData/>
  </xdr:twoCellAnchor>
  <xdr:twoCellAnchor>
    <xdr:from>
      <xdr:col>8</xdr:col>
      <xdr:colOff>76200</xdr:colOff>
      <xdr:row>19</xdr:row>
      <xdr:rowOff>53340</xdr:rowOff>
    </xdr:from>
    <xdr:to>
      <xdr:col>8</xdr:col>
      <xdr:colOff>556260</xdr:colOff>
      <xdr:row>21</xdr:row>
      <xdr:rowOff>114300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a2</a:t>
          </a:r>
        </a:p>
      </xdr:txBody>
    </xdr:sp>
    <xdr:clientData/>
  </xdr:twoCellAnchor>
  <xdr:twoCellAnchor>
    <xdr:from>
      <xdr:col>3</xdr:col>
      <xdr:colOff>68580</xdr:colOff>
      <xdr:row>18</xdr:row>
      <xdr:rowOff>160020</xdr:rowOff>
    </xdr:from>
    <xdr:to>
      <xdr:col>5</xdr:col>
      <xdr:colOff>7620</xdr:colOff>
      <xdr:row>20</xdr:row>
      <xdr:rowOff>38100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897380" y="3451860"/>
          <a:ext cx="1158240" cy="243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</xdr:colOff>
      <xdr:row>21</xdr:row>
      <xdr:rowOff>22860</xdr:rowOff>
    </xdr:from>
    <xdr:to>
      <xdr:col>4</xdr:col>
      <xdr:colOff>579120</xdr:colOff>
      <xdr:row>23</xdr:row>
      <xdr:rowOff>7620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897380" y="3863340"/>
          <a:ext cx="1120140" cy="3505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91440</xdr:colOff>
      <xdr:row>20</xdr:row>
      <xdr:rowOff>60960</xdr:rowOff>
    </xdr:from>
    <xdr:to>
      <xdr:col>7</xdr:col>
      <xdr:colOff>548640</xdr:colOff>
      <xdr:row>20</xdr:row>
      <xdr:rowOff>60960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3749040" y="3718560"/>
          <a:ext cx="10668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381000</xdr:colOff>
      <xdr:row>18</xdr:row>
      <xdr:rowOff>0</xdr:rowOff>
    </xdr:from>
    <xdr:ext cx="569708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209800" y="329184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w1, b1</a:t>
          </a:r>
        </a:p>
      </xdr:txBody>
    </xdr:sp>
    <xdr:clientData/>
  </xdr:oneCellAnchor>
  <xdr:oneCellAnchor>
    <xdr:from>
      <xdr:col>3</xdr:col>
      <xdr:colOff>487680</xdr:colOff>
      <xdr:row>22</xdr:row>
      <xdr:rowOff>45720</xdr:rowOff>
    </xdr:from>
    <xdr:ext cx="569708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316480" y="406908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w2, b2</a:t>
          </a:r>
        </a:p>
      </xdr:txBody>
    </xdr:sp>
    <xdr:clientData/>
  </xdr:oneCellAnchor>
  <xdr:oneCellAnchor>
    <xdr:from>
      <xdr:col>6</xdr:col>
      <xdr:colOff>335280</xdr:colOff>
      <xdr:row>20</xdr:row>
      <xdr:rowOff>99060</xdr:rowOff>
    </xdr:from>
    <xdr:ext cx="569708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992880" y="375666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w3, b3</a:t>
          </a:r>
        </a:p>
      </xdr:txBody>
    </xdr:sp>
    <xdr:clientData/>
  </xdr:oneCellAnchor>
  <xdr:twoCellAnchor editAs="oneCell">
    <xdr:from>
      <xdr:col>0</xdr:col>
      <xdr:colOff>498477</xdr:colOff>
      <xdr:row>28</xdr:row>
      <xdr:rowOff>16934</xdr:rowOff>
    </xdr:from>
    <xdr:to>
      <xdr:col>5</xdr:col>
      <xdr:colOff>10583</xdr:colOff>
      <xdr:row>33</xdr:row>
      <xdr:rowOff>126850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477" y="5054601"/>
          <a:ext cx="2578098" cy="1006324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444501</xdr:colOff>
      <xdr:row>36</xdr:row>
      <xdr:rowOff>151343</xdr:rowOff>
    </xdr:from>
    <xdr:to>
      <xdr:col>5</xdr:col>
      <xdr:colOff>535516</xdr:colOff>
      <xdr:row>39</xdr:row>
      <xdr:rowOff>85397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501" y="6628343"/>
          <a:ext cx="3160182" cy="47697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42</xdr:row>
      <xdr:rowOff>59267</xdr:rowOff>
    </xdr:from>
    <xdr:to>
      <xdr:col>3</xdr:col>
      <xdr:colOff>515408</xdr:colOff>
      <xdr:row>45</xdr:row>
      <xdr:rowOff>45142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7615767"/>
          <a:ext cx="1785408" cy="522450"/>
        </a:xfrm>
        <a:prstGeom prst="rect">
          <a:avLst/>
        </a:prstGeom>
      </xdr:spPr>
    </xdr:pic>
    <xdr:clientData/>
  </xdr:twoCellAnchor>
  <xdr:twoCellAnchor editAs="oneCell">
    <xdr:from>
      <xdr:col>0</xdr:col>
      <xdr:colOff>469900</xdr:colOff>
      <xdr:row>52</xdr:row>
      <xdr:rowOff>14817</xdr:rowOff>
    </xdr:from>
    <xdr:to>
      <xdr:col>9</xdr:col>
      <xdr:colOff>106891</xdr:colOff>
      <xdr:row>55</xdr:row>
      <xdr:rowOff>30612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900" y="9370484"/>
          <a:ext cx="5164666" cy="552370"/>
        </a:xfrm>
        <a:prstGeom prst="rect">
          <a:avLst/>
        </a:prstGeom>
      </xdr:spPr>
    </xdr:pic>
    <xdr:clientData/>
  </xdr:twoCellAnchor>
  <xdr:twoCellAnchor editAs="oneCell">
    <xdr:from>
      <xdr:col>22</xdr:col>
      <xdr:colOff>701675</xdr:colOff>
      <xdr:row>25</xdr:row>
      <xdr:rowOff>123825</xdr:rowOff>
    </xdr:from>
    <xdr:to>
      <xdr:col>27</xdr:col>
      <xdr:colOff>288924</xdr:colOff>
      <xdr:row>29</xdr:row>
      <xdr:rowOff>67144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407092" y="4621742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22</xdr:col>
      <xdr:colOff>716492</xdr:colOff>
      <xdr:row>30</xdr:row>
      <xdr:rowOff>46568</xdr:rowOff>
    </xdr:from>
    <xdr:to>
      <xdr:col>26</xdr:col>
      <xdr:colOff>201084</xdr:colOff>
      <xdr:row>34</xdr:row>
      <xdr:rowOff>66159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21909" y="5444068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23</xdr:col>
      <xdr:colOff>2</xdr:colOff>
      <xdr:row>15</xdr:row>
      <xdr:rowOff>67733</xdr:rowOff>
    </xdr:from>
    <xdr:to>
      <xdr:col>27</xdr:col>
      <xdr:colOff>131235</xdr:colOff>
      <xdr:row>19</xdr:row>
      <xdr:rowOff>75677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435669" y="2766483"/>
          <a:ext cx="2586566" cy="727611"/>
        </a:xfrm>
        <a:prstGeom prst="rect">
          <a:avLst/>
        </a:prstGeom>
      </xdr:spPr>
    </xdr:pic>
    <xdr:clientData/>
  </xdr:twoCellAnchor>
  <xdr:twoCellAnchor editAs="oneCell">
    <xdr:from>
      <xdr:col>22</xdr:col>
      <xdr:colOff>694266</xdr:colOff>
      <xdr:row>20</xdr:row>
      <xdr:rowOff>110068</xdr:rowOff>
    </xdr:from>
    <xdr:to>
      <xdr:col>24</xdr:col>
      <xdr:colOff>582105</xdr:colOff>
      <xdr:row>24</xdr:row>
      <xdr:rowOff>67735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399683" y="3708401"/>
          <a:ext cx="1228747" cy="680508"/>
        </a:xfrm>
        <a:prstGeom prst="rect">
          <a:avLst/>
        </a:prstGeom>
      </xdr:spPr>
    </xdr:pic>
    <xdr:clientData/>
  </xdr:twoCellAnchor>
  <xdr:twoCellAnchor editAs="oneCell">
    <xdr:from>
      <xdr:col>28</xdr:col>
      <xdr:colOff>56092</xdr:colOff>
      <xdr:row>25</xdr:row>
      <xdr:rowOff>99483</xdr:rowOff>
    </xdr:from>
    <xdr:to>
      <xdr:col>32</xdr:col>
      <xdr:colOff>370415</xdr:colOff>
      <xdr:row>29</xdr:row>
      <xdr:rowOff>45977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60925" y="4597400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28</xdr:col>
      <xdr:colOff>70909</xdr:colOff>
      <xdr:row>30</xdr:row>
      <xdr:rowOff>28576</xdr:rowOff>
    </xdr:from>
    <xdr:to>
      <xdr:col>31</xdr:col>
      <xdr:colOff>285751</xdr:colOff>
      <xdr:row>34</xdr:row>
      <xdr:rowOff>44992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575742" y="5426076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28</xdr:col>
      <xdr:colOff>27516</xdr:colOff>
      <xdr:row>15</xdr:row>
      <xdr:rowOff>83040</xdr:rowOff>
    </xdr:from>
    <xdr:to>
      <xdr:col>32</xdr:col>
      <xdr:colOff>86783</xdr:colOff>
      <xdr:row>19</xdr:row>
      <xdr:rowOff>69753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532349" y="2781790"/>
          <a:ext cx="2508251" cy="706380"/>
        </a:xfrm>
        <a:prstGeom prst="rect">
          <a:avLst/>
        </a:prstGeom>
      </xdr:spPr>
    </xdr:pic>
    <xdr:clientData/>
  </xdr:twoCellAnchor>
  <xdr:twoCellAnchor editAs="oneCell">
    <xdr:from>
      <xdr:col>28</xdr:col>
      <xdr:colOff>42333</xdr:colOff>
      <xdr:row>20</xdr:row>
      <xdr:rowOff>88899</xdr:rowOff>
    </xdr:from>
    <xdr:to>
      <xdr:col>29</xdr:col>
      <xdr:colOff>543374</xdr:colOff>
      <xdr:row>24</xdr:row>
      <xdr:rowOff>92076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547166" y="3687232"/>
          <a:ext cx="1108525" cy="722843"/>
        </a:xfrm>
        <a:prstGeom prst="rect">
          <a:avLst/>
        </a:prstGeom>
      </xdr:spPr>
    </xdr:pic>
    <xdr:clientData/>
  </xdr:twoCellAnchor>
  <xdr:twoCellAnchor editAs="oneCell">
    <xdr:from>
      <xdr:col>34</xdr:col>
      <xdr:colOff>42333</xdr:colOff>
      <xdr:row>15</xdr:row>
      <xdr:rowOff>11642</xdr:rowOff>
    </xdr:from>
    <xdr:to>
      <xdr:col>40</xdr:col>
      <xdr:colOff>125942</xdr:colOff>
      <xdr:row>19</xdr:row>
      <xdr:rowOff>49765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616333" y="2710392"/>
          <a:ext cx="3760259" cy="757790"/>
        </a:xfrm>
        <a:prstGeom prst="rect">
          <a:avLst/>
        </a:prstGeom>
      </xdr:spPr>
    </xdr:pic>
    <xdr:clientData/>
  </xdr:twoCellAnchor>
  <xdr:twoCellAnchor editAs="oneCell">
    <xdr:from>
      <xdr:col>41</xdr:col>
      <xdr:colOff>1</xdr:colOff>
      <xdr:row>15</xdr:row>
      <xdr:rowOff>7408</xdr:rowOff>
    </xdr:from>
    <xdr:to>
      <xdr:col>47</xdr:col>
      <xdr:colOff>95250</xdr:colOff>
      <xdr:row>19</xdr:row>
      <xdr:rowOff>28767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870834" y="2706158"/>
          <a:ext cx="3778249" cy="744201"/>
        </a:xfrm>
        <a:prstGeom prst="rect">
          <a:avLst/>
        </a:prstGeom>
      </xdr:spPr>
    </xdr:pic>
    <xdr:clientData/>
  </xdr:twoCellAnchor>
  <xdr:twoCellAnchor editAs="oneCell">
    <xdr:from>
      <xdr:col>47</xdr:col>
      <xdr:colOff>600075</xdr:colOff>
      <xdr:row>15</xdr:row>
      <xdr:rowOff>17263</xdr:rowOff>
    </xdr:from>
    <xdr:to>
      <xdr:col>54</xdr:col>
      <xdr:colOff>95251</xdr:colOff>
      <xdr:row>19</xdr:row>
      <xdr:rowOff>29291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3908" y="2716013"/>
          <a:ext cx="3792009" cy="725345"/>
        </a:xfrm>
        <a:prstGeom prst="rect">
          <a:avLst/>
        </a:prstGeom>
      </xdr:spPr>
    </xdr:pic>
    <xdr:clientData/>
  </xdr:twoCellAnchor>
  <xdr:twoCellAnchor editAs="oneCell">
    <xdr:from>
      <xdr:col>54</xdr:col>
      <xdr:colOff>560917</xdr:colOff>
      <xdr:row>15</xdr:row>
      <xdr:rowOff>52917</xdr:rowOff>
    </xdr:from>
    <xdr:to>
      <xdr:col>60</xdr:col>
      <xdr:colOff>539750</xdr:colOff>
      <xdr:row>18</xdr:row>
      <xdr:rowOff>116683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3411584" y="2751667"/>
          <a:ext cx="3665008" cy="603516"/>
        </a:xfrm>
        <a:prstGeom prst="rect">
          <a:avLst/>
        </a:prstGeom>
      </xdr:spPr>
    </xdr:pic>
    <xdr:clientData/>
  </xdr:twoCellAnchor>
  <xdr:twoCellAnchor editAs="oneCell">
    <xdr:from>
      <xdr:col>0</xdr:col>
      <xdr:colOff>391584</xdr:colOff>
      <xdr:row>56</xdr:row>
      <xdr:rowOff>158750</xdr:rowOff>
    </xdr:from>
    <xdr:to>
      <xdr:col>3</xdr:col>
      <xdr:colOff>264583</xdr:colOff>
      <xdr:row>59</xdr:row>
      <xdr:rowOff>130175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91584" y="10234083"/>
          <a:ext cx="1714499" cy="511175"/>
        </a:xfrm>
        <a:prstGeom prst="rect">
          <a:avLst/>
        </a:prstGeom>
      </xdr:spPr>
    </xdr:pic>
    <xdr:clientData/>
  </xdr:twoCellAnchor>
  <xdr:twoCellAnchor editAs="oneCell">
    <xdr:from>
      <xdr:col>0</xdr:col>
      <xdr:colOff>564093</xdr:colOff>
      <xdr:row>47</xdr:row>
      <xdr:rowOff>0</xdr:rowOff>
    </xdr:from>
    <xdr:to>
      <xdr:col>4</xdr:col>
      <xdr:colOff>427568</xdr:colOff>
      <xdr:row>51</xdr:row>
      <xdr:rowOff>37999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64093" y="8456083"/>
          <a:ext cx="2325158" cy="7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476249</xdr:colOff>
      <xdr:row>60</xdr:row>
      <xdr:rowOff>63500</xdr:rowOff>
    </xdr:from>
    <xdr:to>
      <xdr:col>4</xdr:col>
      <xdr:colOff>401993</xdr:colOff>
      <xdr:row>64</xdr:row>
      <xdr:rowOff>87841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76249" y="10858500"/>
          <a:ext cx="2381077" cy="740833"/>
        </a:xfrm>
        <a:prstGeom prst="rect">
          <a:avLst/>
        </a:prstGeom>
      </xdr:spPr>
    </xdr:pic>
    <xdr:clientData/>
  </xdr:twoCellAnchor>
  <xdr:twoCellAnchor editAs="oneCell">
    <xdr:from>
      <xdr:col>34</xdr:col>
      <xdr:colOff>354542</xdr:colOff>
      <xdr:row>40</xdr:row>
      <xdr:rowOff>25400</xdr:rowOff>
    </xdr:from>
    <xdr:to>
      <xdr:col>37</xdr:col>
      <xdr:colOff>582084</xdr:colOff>
      <xdr:row>44</xdr:row>
      <xdr:rowOff>48166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28542" y="7222067"/>
          <a:ext cx="2065867" cy="739258"/>
        </a:xfrm>
        <a:prstGeom prst="rect">
          <a:avLst/>
        </a:prstGeom>
      </xdr:spPr>
    </xdr:pic>
    <xdr:clientData/>
  </xdr:twoCellAnchor>
  <xdr:twoCellAnchor editAs="oneCell">
    <xdr:from>
      <xdr:col>34</xdr:col>
      <xdr:colOff>359833</xdr:colOff>
      <xdr:row>35</xdr:row>
      <xdr:rowOff>113243</xdr:rowOff>
    </xdr:from>
    <xdr:to>
      <xdr:col>39</xdr:col>
      <xdr:colOff>69848</xdr:colOff>
      <xdr:row>39</xdr:row>
      <xdr:rowOff>66088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933833" y="6410326"/>
          <a:ext cx="2776007" cy="669336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30</xdr:row>
      <xdr:rowOff>101601</xdr:rowOff>
    </xdr:from>
    <xdr:to>
      <xdr:col>36</xdr:col>
      <xdr:colOff>477309</xdr:colOff>
      <xdr:row>34</xdr:row>
      <xdr:rowOff>149323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912668" y="5499101"/>
          <a:ext cx="1366308" cy="767389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285751</xdr:colOff>
      <xdr:row>25</xdr:row>
      <xdr:rowOff>46568</xdr:rowOff>
    </xdr:from>
    <xdr:to>
      <xdr:col>39</xdr:col>
      <xdr:colOff>275168</xdr:colOff>
      <xdr:row>29</xdr:row>
      <xdr:rowOff>66314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859751" y="4544485"/>
          <a:ext cx="3061759" cy="742588"/>
        </a:xfrm>
        <a:prstGeom prst="rect">
          <a:avLst/>
        </a:prstGeom>
      </xdr:spPr>
    </xdr:pic>
    <xdr:clientData/>
  </xdr:twoCellAnchor>
  <xdr:twoCellAnchor editAs="oneCell">
    <xdr:from>
      <xdr:col>41</xdr:col>
      <xdr:colOff>322792</xdr:colOff>
      <xdr:row>39</xdr:row>
      <xdr:rowOff>176742</xdr:rowOff>
    </xdr:from>
    <xdr:to>
      <xdr:col>44</xdr:col>
      <xdr:colOff>550334</xdr:colOff>
      <xdr:row>44</xdr:row>
      <xdr:rowOff>10066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93625" y="7193492"/>
          <a:ext cx="2069042" cy="736083"/>
        </a:xfrm>
        <a:prstGeom prst="rect">
          <a:avLst/>
        </a:prstGeom>
      </xdr:spPr>
    </xdr:pic>
    <xdr:clientData/>
  </xdr:twoCellAnchor>
  <xdr:twoCellAnchor editAs="oneCell">
    <xdr:from>
      <xdr:col>41</xdr:col>
      <xdr:colOff>328083</xdr:colOff>
      <xdr:row>35</xdr:row>
      <xdr:rowOff>75143</xdr:rowOff>
    </xdr:from>
    <xdr:to>
      <xdr:col>46</xdr:col>
      <xdr:colOff>31749</xdr:colOff>
      <xdr:row>39</xdr:row>
      <xdr:rowOff>31163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198916" y="6372226"/>
          <a:ext cx="2776007" cy="672511"/>
        </a:xfrm>
        <a:prstGeom prst="rect">
          <a:avLst/>
        </a:prstGeom>
      </xdr:spPr>
    </xdr:pic>
    <xdr:clientData/>
  </xdr:twoCellAnchor>
  <xdr:twoCellAnchor editAs="oneCell">
    <xdr:from>
      <xdr:col>41</xdr:col>
      <xdr:colOff>300568</xdr:colOff>
      <xdr:row>30</xdr:row>
      <xdr:rowOff>73026</xdr:rowOff>
    </xdr:from>
    <xdr:to>
      <xdr:col>43</xdr:col>
      <xdr:colOff>445560</xdr:colOff>
      <xdr:row>34</xdr:row>
      <xdr:rowOff>120748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71401" y="5470526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41</xdr:col>
      <xdr:colOff>254001</xdr:colOff>
      <xdr:row>25</xdr:row>
      <xdr:rowOff>17993</xdr:rowOff>
    </xdr:from>
    <xdr:to>
      <xdr:col>46</xdr:col>
      <xdr:colOff>246594</xdr:colOff>
      <xdr:row>29</xdr:row>
      <xdr:rowOff>37739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124834" y="4515910"/>
          <a:ext cx="3061759" cy="739413"/>
        </a:xfrm>
        <a:prstGeom prst="rect">
          <a:avLst/>
        </a:prstGeom>
      </xdr:spPr>
    </xdr:pic>
    <xdr:clientData/>
  </xdr:twoCellAnchor>
  <xdr:twoCellAnchor editAs="oneCell">
    <xdr:from>
      <xdr:col>48</xdr:col>
      <xdr:colOff>147108</xdr:colOff>
      <xdr:row>40</xdr:row>
      <xdr:rowOff>10583</xdr:rowOff>
    </xdr:from>
    <xdr:to>
      <xdr:col>51</xdr:col>
      <xdr:colOff>371475</xdr:colOff>
      <xdr:row>44</xdr:row>
      <xdr:rowOff>26999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314775" y="7207250"/>
          <a:ext cx="2069042" cy="739258"/>
        </a:xfrm>
        <a:prstGeom prst="rect">
          <a:avLst/>
        </a:prstGeom>
      </xdr:spPr>
    </xdr:pic>
    <xdr:clientData/>
  </xdr:twoCellAnchor>
  <xdr:twoCellAnchor editAs="oneCell">
    <xdr:from>
      <xdr:col>48</xdr:col>
      <xdr:colOff>161924</xdr:colOff>
      <xdr:row>35</xdr:row>
      <xdr:rowOff>95251</xdr:rowOff>
    </xdr:from>
    <xdr:to>
      <xdr:col>52</xdr:col>
      <xdr:colOff>488948</xdr:colOff>
      <xdr:row>39</xdr:row>
      <xdr:rowOff>44921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329591" y="6392334"/>
          <a:ext cx="2779182" cy="672511"/>
        </a:xfrm>
        <a:prstGeom prst="rect">
          <a:avLst/>
        </a:prstGeom>
      </xdr:spPr>
    </xdr:pic>
    <xdr:clientData/>
  </xdr:twoCellAnchor>
  <xdr:twoCellAnchor editAs="oneCell">
    <xdr:from>
      <xdr:col>48</xdr:col>
      <xdr:colOff>134409</xdr:colOff>
      <xdr:row>30</xdr:row>
      <xdr:rowOff>83609</xdr:rowOff>
    </xdr:from>
    <xdr:to>
      <xdr:col>50</xdr:col>
      <xdr:colOff>276225</xdr:colOff>
      <xdr:row>34</xdr:row>
      <xdr:rowOff>131331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02076" y="5481109"/>
          <a:ext cx="1372658" cy="767389"/>
        </a:xfrm>
        <a:prstGeom prst="rect">
          <a:avLst/>
        </a:prstGeom>
      </xdr:spPr>
    </xdr:pic>
    <xdr:clientData/>
  </xdr:twoCellAnchor>
  <xdr:twoCellAnchor editAs="oneCell">
    <xdr:from>
      <xdr:col>48</xdr:col>
      <xdr:colOff>87842</xdr:colOff>
      <xdr:row>25</xdr:row>
      <xdr:rowOff>28576</xdr:rowOff>
    </xdr:from>
    <xdr:to>
      <xdr:col>53</xdr:col>
      <xdr:colOff>77259</xdr:colOff>
      <xdr:row>29</xdr:row>
      <xdr:rowOff>45147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55509" y="4526493"/>
          <a:ext cx="3058584" cy="733063"/>
        </a:xfrm>
        <a:prstGeom prst="rect">
          <a:avLst/>
        </a:prstGeom>
      </xdr:spPr>
    </xdr:pic>
    <xdr:clientData/>
  </xdr:twoCellAnchor>
  <xdr:twoCellAnchor editAs="oneCell">
    <xdr:from>
      <xdr:col>55</xdr:col>
      <xdr:colOff>164042</xdr:colOff>
      <xdr:row>40</xdr:row>
      <xdr:rowOff>10583</xdr:rowOff>
    </xdr:from>
    <xdr:to>
      <xdr:col>58</xdr:col>
      <xdr:colOff>397934</xdr:colOff>
      <xdr:row>44</xdr:row>
      <xdr:rowOff>30174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8542" y="7207250"/>
          <a:ext cx="2075392" cy="736083"/>
        </a:xfrm>
        <a:prstGeom prst="rect">
          <a:avLst/>
        </a:prstGeom>
      </xdr:spPr>
    </xdr:pic>
    <xdr:clientData/>
  </xdr:twoCellAnchor>
  <xdr:twoCellAnchor editAs="oneCell">
    <xdr:from>
      <xdr:col>55</xdr:col>
      <xdr:colOff>175683</xdr:colOff>
      <xdr:row>35</xdr:row>
      <xdr:rowOff>92076</xdr:rowOff>
    </xdr:from>
    <xdr:to>
      <xdr:col>59</xdr:col>
      <xdr:colOff>496356</xdr:colOff>
      <xdr:row>39</xdr:row>
      <xdr:rowOff>44921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40183" y="6389159"/>
          <a:ext cx="2776007" cy="675686"/>
        </a:xfrm>
        <a:prstGeom prst="rect">
          <a:avLst/>
        </a:prstGeom>
      </xdr:spPr>
    </xdr:pic>
    <xdr:clientData/>
  </xdr:twoCellAnchor>
  <xdr:twoCellAnchor editAs="oneCell">
    <xdr:from>
      <xdr:col>55</xdr:col>
      <xdr:colOff>151343</xdr:colOff>
      <xdr:row>30</xdr:row>
      <xdr:rowOff>86784</xdr:rowOff>
    </xdr:from>
    <xdr:to>
      <xdr:col>57</xdr:col>
      <xdr:colOff>296334</xdr:colOff>
      <xdr:row>34</xdr:row>
      <xdr:rowOff>131331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3615843" y="5484284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55</xdr:col>
      <xdr:colOff>95251</xdr:colOff>
      <xdr:row>25</xdr:row>
      <xdr:rowOff>25401</xdr:rowOff>
    </xdr:from>
    <xdr:to>
      <xdr:col>60</xdr:col>
      <xdr:colOff>87843</xdr:colOff>
      <xdr:row>29</xdr:row>
      <xdr:rowOff>48322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559751" y="4523318"/>
          <a:ext cx="3058584" cy="739413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20</xdr:row>
      <xdr:rowOff>148168</xdr:rowOff>
    </xdr:from>
    <xdr:to>
      <xdr:col>36</xdr:col>
      <xdr:colOff>419984</xdr:colOff>
      <xdr:row>24</xdr:row>
      <xdr:rowOff>102660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912668" y="3746501"/>
          <a:ext cx="1308983" cy="674158"/>
        </a:xfrm>
        <a:prstGeom prst="rect">
          <a:avLst/>
        </a:prstGeom>
      </xdr:spPr>
    </xdr:pic>
    <xdr:clientData/>
  </xdr:twoCellAnchor>
  <xdr:twoCellAnchor editAs="oneCell">
    <xdr:from>
      <xdr:col>41</xdr:col>
      <xdr:colOff>258234</xdr:colOff>
      <xdr:row>20</xdr:row>
      <xdr:rowOff>60326</xdr:rowOff>
    </xdr:from>
    <xdr:to>
      <xdr:col>43</xdr:col>
      <xdr:colOff>201085</xdr:colOff>
      <xdr:row>24</xdr:row>
      <xdr:rowOff>104303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129067" y="3658659"/>
          <a:ext cx="1173692" cy="760468"/>
        </a:xfrm>
        <a:prstGeom prst="rect">
          <a:avLst/>
        </a:prstGeom>
      </xdr:spPr>
    </xdr:pic>
    <xdr:clientData/>
  </xdr:twoCellAnchor>
  <xdr:twoCellAnchor editAs="oneCell">
    <xdr:from>
      <xdr:col>55</xdr:col>
      <xdr:colOff>296334</xdr:colOff>
      <xdr:row>20</xdr:row>
      <xdr:rowOff>137585</xdr:rowOff>
    </xdr:from>
    <xdr:to>
      <xdr:col>57</xdr:col>
      <xdr:colOff>34926</xdr:colOff>
      <xdr:row>24</xdr:row>
      <xdr:rowOff>7634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3760834" y="3735918"/>
          <a:ext cx="966259" cy="589715"/>
        </a:xfrm>
        <a:prstGeom prst="rect">
          <a:avLst/>
        </a:prstGeom>
      </xdr:spPr>
    </xdr:pic>
    <xdr:clientData/>
  </xdr:twoCellAnchor>
  <xdr:twoCellAnchor editAs="oneCell">
    <xdr:from>
      <xdr:col>48</xdr:col>
      <xdr:colOff>127000</xdr:colOff>
      <xdr:row>20</xdr:row>
      <xdr:rowOff>63501</xdr:rowOff>
    </xdr:from>
    <xdr:to>
      <xdr:col>50</xdr:col>
      <xdr:colOff>353483</xdr:colOff>
      <xdr:row>24</xdr:row>
      <xdr:rowOff>97444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294667" y="3661834"/>
          <a:ext cx="1457325" cy="753609"/>
        </a:xfrm>
        <a:prstGeom prst="rect">
          <a:avLst/>
        </a:prstGeom>
      </xdr:spPr>
    </xdr:pic>
    <xdr:clientData/>
  </xdr:twoCellAnchor>
  <xdr:twoCellAnchor>
    <xdr:from>
      <xdr:col>22</xdr:col>
      <xdr:colOff>600075</xdr:colOff>
      <xdr:row>25</xdr:row>
      <xdr:rowOff>28575</xdr:rowOff>
    </xdr:from>
    <xdr:to>
      <xdr:col>32</xdr:col>
      <xdr:colOff>539750</xdr:colOff>
      <xdr:row>34</xdr:row>
      <xdr:rowOff>74083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4305492" y="4526492"/>
          <a:ext cx="6194425" cy="1664758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246590</xdr:colOff>
      <xdr:row>1</xdr:row>
      <xdr:rowOff>169333</xdr:rowOff>
    </xdr:from>
    <xdr:to>
      <xdr:col>33</xdr:col>
      <xdr:colOff>257173</xdr:colOff>
      <xdr:row>46</xdr:row>
      <xdr:rowOff>28575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>
          <a:off x="20820590" y="349250"/>
          <a:ext cx="10583" cy="7955492"/>
        </a:xfrm>
        <a:prstGeom prst="line">
          <a:avLst/>
        </a:prstGeom>
        <a:ln w="15875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42334</xdr:colOff>
      <xdr:row>25</xdr:row>
      <xdr:rowOff>21166</xdr:rowOff>
    </xdr:from>
    <xdr:to>
      <xdr:col>61</xdr:col>
      <xdr:colOff>21167</xdr:colOff>
      <xdr:row>45</xdr:row>
      <xdr:rowOff>74083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1230167" y="4519083"/>
          <a:ext cx="16552333" cy="365125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582069</xdr:colOff>
      <xdr:row>16</xdr:row>
      <xdr:rowOff>74083</xdr:rowOff>
    </xdr:from>
    <xdr:to>
      <xdr:col>20</xdr:col>
      <xdr:colOff>136441</xdr:colOff>
      <xdr:row>47</xdr:row>
      <xdr:rowOff>7770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396094</xdr:colOff>
      <xdr:row>65</xdr:row>
      <xdr:rowOff>131354</xdr:rowOff>
    </xdr:from>
    <xdr:to>
      <xdr:col>10</xdr:col>
      <xdr:colOff>658528</xdr:colOff>
      <xdr:row>92</xdr:row>
      <xdr:rowOff>58123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25</xdr:row>
          <xdr:rowOff>107950</xdr:rowOff>
        </xdr:from>
        <xdr:to>
          <xdr:col>9</xdr:col>
          <xdr:colOff>330200</xdr:colOff>
          <xdr:row>28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Single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29</xdr:row>
          <xdr:rowOff>139700</xdr:rowOff>
        </xdr:from>
        <xdr:to>
          <xdr:col>9</xdr:col>
          <xdr:colOff>336550</xdr:colOff>
          <xdr:row>32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Iteration History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495208</xdr:colOff>
      <xdr:row>35</xdr:row>
      <xdr:rowOff>174201</xdr:rowOff>
    </xdr:from>
    <xdr:to>
      <xdr:col>27</xdr:col>
      <xdr:colOff>214527</xdr:colOff>
      <xdr:row>48</xdr:row>
      <xdr:rowOff>85811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27</xdr:col>
      <xdr:colOff>540607</xdr:colOff>
      <xdr:row>36</xdr:row>
      <xdr:rowOff>17163</xdr:rowOff>
    </xdr:from>
    <xdr:to>
      <xdr:col>32</xdr:col>
      <xdr:colOff>380062</xdr:colOff>
      <xdr:row>48</xdr:row>
      <xdr:rowOff>108976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34</xdr:col>
      <xdr:colOff>94392</xdr:colOff>
      <xdr:row>46</xdr:row>
      <xdr:rowOff>94391</xdr:rowOff>
    </xdr:from>
    <xdr:to>
      <xdr:col>38</xdr:col>
      <xdr:colOff>543103</xdr:colOff>
      <xdr:row>59</xdr:row>
      <xdr:rowOff>6001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41</xdr:col>
      <xdr:colOff>51487</xdr:colOff>
      <xdr:row>46</xdr:row>
      <xdr:rowOff>77229</xdr:rowOff>
    </xdr:from>
    <xdr:to>
      <xdr:col>45</xdr:col>
      <xdr:colOff>500198</xdr:colOff>
      <xdr:row>58</xdr:row>
      <xdr:rowOff>169042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47</xdr:col>
      <xdr:colOff>566351</xdr:colOff>
      <xdr:row>46</xdr:row>
      <xdr:rowOff>51486</xdr:rowOff>
    </xdr:from>
    <xdr:to>
      <xdr:col>52</xdr:col>
      <xdr:colOff>405805</xdr:colOff>
      <xdr:row>58</xdr:row>
      <xdr:rowOff>143299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55</xdr:col>
      <xdr:colOff>102972</xdr:colOff>
      <xdr:row>46</xdr:row>
      <xdr:rowOff>85810</xdr:rowOff>
    </xdr:from>
    <xdr:to>
      <xdr:col>59</xdr:col>
      <xdr:colOff>551683</xdr:colOff>
      <xdr:row>58</xdr:row>
      <xdr:rowOff>177623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425450</xdr:colOff>
          <xdr:row>33</xdr:row>
          <xdr:rowOff>127000</xdr:rowOff>
        </xdr:from>
        <xdr:to>
          <xdr:col>9</xdr:col>
          <xdr:colOff>330200</xdr:colOff>
          <xdr:row>36</xdr:row>
          <xdr:rowOff>82550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Instantiate Weights - Random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D379-7A15-4C38-8A8E-23B32B128455}">
  <sheetPr codeName="Sheet1"/>
  <dimension ref="B2:BI209"/>
  <sheetViews>
    <sheetView tabSelected="1" zoomScale="60" zoomScaleNormal="60" workbookViewId="0"/>
  </sheetViews>
  <sheetFormatPr defaultRowHeight="14.5" x14ac:dyDescent="0.35"/>
  <cols>
    <col min="11" max="11" width="10.54296875" customWidth="1"/>
    <col min="13" max="13" width="9.90625" customWidth="1"/>
    <col min="23" max="23" width="10.453125" customWidth="1"/>
  </cols>
  <sheetData>
    <row r="2" spans="3:61" ht="15" thickBot="1" x14ac:dyDescent="0.4"/>
    <row r="3" spans="3:61" x14ac:dyDescent="0.35">
      <c r="C3" s="62" t="s">
        <v>5</v>
      </c>
      <c r="D3" s="62"/>
      <c r="E3" s="62"/>
      <c r="G3" s="62" t="s">
        <v>7</v>
      </c>
      <c r="H3" s="62"/>
      <c r="I3" s="62"/>
      <c r="X3" s="57" t="s">
        <v>10</v>
      </c>
      <c r="Y3" s="58"/>
      <c r="Z3" s="58"/>
      <c r="AA3" s="59"/>
      <c r="AC3" s="57" t="s">
        <v>13</v>
      </c>
      <c r="AD3" s="58"/>
      <c r="AE3" s="58"/>
      <c r="AF3" s="59"/>
      <c r="AG3" s="4"/>
      <c r="AI3" s="57" t="s">
        <v>9</v>
      </c>
      <c r="AJ3" s="58"/>
      <c r="AK3" s="58"/>
      <c r="AL3" s="58"/>
      <c r="AM3" s="58"/>
      <c r="AN3" s="59"/>
      <c r="AP3" s="57" t="s">
        <v>12</v>
      </c>
      <c r="AQ3" s="58"/>
      <c r="AR3" s="58"/>
      <c r="AS3" s="58"/>
      <c r="AT3" s="58"/>
      <c r="AU3" s="59"/>
      <c r="AW3" s="57" t="s">
        <v>8</v>
      </c>
      <c r="AX3" s="60"/>
      <c r="AY3" s="60"/>
      <c r="AZ3" s="60"/>
      <c r="BA3" s="60"/>
      <c r="BB3" s="61"/>
      <c r="BD3" s="57" t="s">
        <v>11</v>
      </c>
      <c r="BE3" s="60"/>
      <c r="BF3" s="60"/>
      <c r="BG3" s="60"/>
      <c r="BH3" s="60"/>
      <c r="BI3" s="61"/>
    </row>
    <row r="4" spans="3:61" ht="15" thickBot="1" x14ac:dyDescent="0.4">
      <c r="C4" s="1" t="s">
        <v>3</v>
      </c>
      <c r="D4" s="1" t="s">
        <v>6</v>
      </c>
      <c r="E4" s="1" t="s">
        <v>4</v>
      </c>
      <c r="G4" s="1" t="s">
        <v>3</v>
      </c>
      <c r="H4" s="1" t="s">
        <v>6</v>
      </c>
      <c r="I4" s="1" t="s">
        <v>4</v>
      </c>
      <c r="K4" s="2" t="s">
        <v>18</v>
      </c>
      <c r="M4" s="4" t="s">
        <v>21</v>
      </c>
      <c r="R4" t="s">
        <v>15</v>
      </c>
      <c r="S4" t="s">
        <v>16</v>
      </c>
      <c r="T4" t="s">
        <v>14</v>
      </c>
      <c r="U4" t="s">
        <v>17</v>
      </c>
      <c r="X4" s="8" t="s">
        <v>19</v>
      </c>
      <c r="Y4" s="9" t="s">
        <v>31</v>
      </c>
      <c r="Z4" s="9" t="s">
        <v>20</v>
      </c>
      <c r="AA4" s="10" t="s">
        <v>53</v>
      </c>
      <c r="AC4" s="8" t="s">
        <v>22</v>
      </c>
      <c r="AD4" s="9" t="s">
        <v>23</v>
      </c>
      <c r="AE4" s="9" t="s">
        <v>20</v>
      </c>
      <c r="AF4" s="10" t="s">
        <v>53</v>
      </c>
      <c r="AI4" s="8" t="s">
        <v>52</v>
      </c>
      <c r="AJ4" s="9" t="s">
        <v>51</v>
      </c>
      <c r="AK4" s="9" t="s">
        <v>50</v>
      </c>
      <c r="AL4" s="9" t="s">
        <v>49</v>
      </c>
      <c r="AM4" s="9" t="s">
        <v>20</v>
      </c>
      <c r="AN4" s="10" t="s">
        <v>53</v>
      </c>
      <c r="AP4" s="8" t="s">
        <v>55</v>
      </c>
      <c r="AQ4" s="9" t="s">
        <v>54</v>
      </c>
      <c r="AR4" s="9" t="s">
        <v>50</v>
      </c>
      <c r="AS4" s="9" t="s">
        <v>49</v>
      </c>
      <c r="AT4" s="9" t="s">
        <v>20</v>
      </c>
      <c r="AU4" s="10" t="s">
        <v>53</v>
      </c>
      <c r="AW4" s="8" t="s">
        <v>57</v>
      </c>
      <c r="AX4" s="9" t="s">
        <v>56</v>
      </c>
      <c r="AY4" s="9" t="s">
        <v>50</v>
      </c>
      <c r="AZ4" s="9" t="s">
        <v>49</v>
      </c>
      <c r="BA4" s="9" t="s">
        <v>20</v>
      </c>
      <c r="BB4" s="10" t="s">
        <v>53</v>
      </c>
      <c r="BD4" s="8" t="s">
        <v>59</v>
      </c>
      <c r="BE4" s="9" t="s">
        <v>58</v>
      </c>
      <c r="BF4" s="9" t="s">
        <v>50</v>
      </c>
      <c r="BG4" s="9" t="s">
        <v>49</v>
      </c>
      <c r="BH4" s="9" t="s">
        <v>20</v>
      </c>
      <c r="BI4" s="10" t="s">
        <v>53</v>
      </c>
    </row>
    <row r="5" spans="3:61" x14ac:dyDescent="0.35">
      <c r="C5" s="1">
        <v>22</v>
      </c>
      <c r="D5" s="1">
        <v>55</v>
      </c>
      <c r="E5" s="1">
        <v>0</v>
      </c>
      <c r="G5" s="3">
        <f>C5/MAX($C$5:$C$12)</f>
        <v>0.33333333333333331</v>
      </c>
      <c r="H5" s="3">
        <f>D5/MAX($D$5:$D$12)</f>
        <v>1</v>
      </c>
      <c r="I5">
        <f>E5</f>
        <v>0</v>
      </c>
      <c r="K5" s="6">
        <f>T5</f>
        <v>0.12912646797644667</v>
      </c>
      <c r="M5" s="6">
        <f>(K5-I5)^2</f>
        <v>1.6673644732072307E-2</v>
      </c>
      <c r="O5" s="19" t="s">
        <v>8</v>
      </c>
      <c r="P5" s="47">
        <v>4.207626814600709</v>
      </c>
      <c r="R5" s="6">
        <f>(U5*$P$7) + $P$10</f>
        <v>-1.9087044716935075</v>
      </c>
      <c r="S5" s="6">
        <f>(G5 * $P$5) + $P$8 + (H5 * $P$6) + $P$9</f>
        <v>-3.9626039156745185</v>
      </c>
      <c r="T5" s="6">
        <f>1/(1+ EXP(-R5))</f>
        <v>0.12912646797644667</v>
      </c>
      <c r="U5" s="6">
        <f>1/(1+ EXP(-S5))</f>
        <v>1.8658770833148992E-2</v>
      </c>
      <c r="W5" s="6"/>
      <c r="X5" s="11">
        <f>Y5*Z5*AA5</f>
        <v>5.418744344553426E-4</v>
      </c>
      <c r="Y5" s="12">
        <f>U5</f>
        <v>1.8658770833148992E-2</v>
      </c>
      <c r="Z5" s="12">
        <f>$T5 * (1 - $T5)</f>
        <v>0.11245282324437436</v>
      </c>
      <c r="AA5" s="13">
        <f>2 * ($T5 - $I5)</f>
        <v>0.25825293595289334</v>
      </c>
      <c r="AC5" s="11">
        <f>AD5*AE5*AF5</f>
        <v>2.9041271759051447E-2</v>
      </c>
      <c r="AD5" s="12">
        <v>1</v>
      </c>
      <c r="AE5" s="12">
        <f>$T5 * (1 - $T5)</f>
        <v>0.11245282324437436</v>
      </c>
      <c r="AF5" s="13">
        <f>2 * ($T5 - $I5)</f>
        <v>0.25825293595289334</v>
      </c>
      <c r="AG5" s="6"/>
      <c r="AI5" s="11">
        <f>AJ5*AK5*AL5*AM5*AN5</f>
        <v>2.7469630828170009E-3</v>
      </c>
      <c r="AJ5" s="12">
        <f>H5</f>
        <v>1</v>
      </c>
      <c r="AK5" s="12">
        <f>$U5 * (1 - $U5)</f>
        <v>1.8310621104145022E-2</v>
      </c>
      <c r="AL5" s="12">
        <f>$P$7</f>
        <v>5.1657587027824965</v>
      </c>
      <c r="AM5" s="12">
        <f>$T5 * (1 - $T5)</f>
        <v>0.11245282324437436</v>
      </c>
      <c r="AN5" s="13">
        <f>2 * ($T5 - $I5)</f>
        <v>0.25825293595289334</v>
      </c>
      <c r="AP5" s="11">
        <f>AQ5*AR5*AS5*AT5*AU5</f>
        <v>2.7469630828170009E-3</v>
      </c>
      <c r="AQ5" s="12">
        <v>1</v>
      </c>
      <c r="AR5" s="12">
        <f>$U5 * (1 - $U5)</f>
        <v>1.8310621104145022E-2</v>
      </c>
      <c r="AS5" s="12">
        <f>$P$7</f>
        <v>5.1657587027824965</v>
      </c>
      <c r="AT5" s="12">
        <f>$T5 * (1 - $T5)</f>
        <v>0.11245282324437436</v>
      </c>
      <c r="AU5" s="13">
        <f>2 * ($T5 - $I5)</f>
        <v>0.25825293595289334</v>
      </c>
      <c r="AW5" s="11">
        <f>AX5*AY5*AZ5*BA5*BB5</f>
        <v>9.1565436093900027E-4</v>
      </c>
      <c r="AX5" s="12">
        <f>G5</f>
        <v>0.33333333333333331</v>
      </c>
      <c r="AY5" s="12">
        <f>$U5 * (1 - $U5)</f>
        <v>1.8310621104145022E-2</v>
      </c>
      <c r="AZ5" s="12">
        <f>$P$7</f>
        <v>5.1657587027824965</v>
      </c>
      <c r="BA5" s="12">
        <f>$T5 * (1 - $T5)</f>
        <v>0.11245282324437436</v>
      </c>
      <c r="BB5" s="13">
        <f>2 * ($T5 - $I5)</f>
        <v>0.25825293595289334</v>
      </c>
      <c r="BD5" s="11">
        <f>BE5*BF5*BG5*BH5*BI5</f>
        <v>2.7469630828170009E-3</v>
      </c>
      <c r="BE5" s="12">
        <f>1</f>
        <v>1</v>
      </c>
      <c r="BF5" s="12">
        <f>$U5 * (1 - $U5)</f>
        <v>1.8310621104145022E-2</v>
      </c>
      <c r="BG5" s="12">
        <f>$P$7</f>
        <v>5.1657587027824965</v>
      </c>
      <c r="BH5" s="12">
        <f>$T5 * (1 - $T5)</f>
        <v>0.11245282324437436</v>
      </c>
      <c r="BI5" s="13">
        <f>2 * ($T5 - $I5)</f>
        <v>0.25825293595289334</v>
      </c>
    </row>
    <row r="6" spans="3:61" x14ac:dyDescent="0.35">
      <c r="C6" s="1">
        <v>34</v>
      </c>
      <c r="D6" s="1">
        <v>34</v>
      </c>
      <c r="E6" s="1">
        <v>0</v>
      </c>
      <c r="G6" s="3">
        <f t="shared" ref="G6:G12" si="0">C6/MAX($C$5:$C$12)</f>
        <v>0.51515151515151514</v>
      </c>
      <c r="H6" s="3">
        <f t="shared" ref="H6:H12" si="1">D6/MAX($D$5:$D$12)</f>
        <v>0.61818181818181817</v>
      </c>
      <c r="I6">
        <f t="shared" ref="I6:I12" si="2">E6</f>
        <v>0</v>
      </c>
      <c r="K6" s="6">
        <f>T6</f>
        <v>0.26447286675475673</v>
      </c>
      <c r="M6" s="6">
        <f t="shared" ref="M6:M12" si="3">(K6-I6)^2</f>
        <v>6.9945897249479305E-2</v>
      </c>
      <c r="O6" s="20" t="s">
        <v>9</v>
      </c>
      <c r="P6" s="49">
        <v>-4.5794351485042872</v>
      </c>
      <c r="R6" s="6">
        <f>(U6*$P$7) + $P$10</f>
        <v>-1.0228487673666011</v>
      </c>
      <c r="S6" s="6">
        <f t="shared" ref="S6:S12" si="4">(G6 * $P$5) + $P$8 + (H6 * $P$6) + $P$9</f>
        <v>-1.4490692563182073</v>
      </c>
      <c r="T6" s="6">
        <f>1/(1+ EXP(-R6))</f>
        <v>0.26447286675475673</v>
      </c>
      <c r="U6" s="6">
        <f>1/(1+ EXP(-S6))</f>
        <v>0.19014484970279247</v>
      </c>
      <c r="W6" s="6"/>
      <c r="X6" s="11">
        <f t="shared" ref="X6:X12" si="5">Y6*Z6*AA6</f>
        <v>1.9564804204567299E-2</v>
      </c>
      <c r="Y6" s="12">
        <f t="shared" ref="Y6:Y12" si="6">U6</f>
        <v>0.19014484970279247</v>
      </c>
      <c r="Z6" s="12">
        <f t="shared" ref="Z6:Z12" si="7">$T6 * (1 - $T6)</f>
        <v>0.19452696950527743</v>
      </c>
      <c r="AA6" s="13">
        <f t="shared" ref="AA6:AA12" si="8">2 * ($T6 - $I6)</f>
        <v>0.52894573350951346</v>
      </c>
      <c r="AC6" s="11">
        <f t="shared" ref="AC6:AC12" si="9">AD6*AE6*AF6</f>
        <v>0.10289421057235172</v>
      </c>
      <c r="AD6" s="12">
        <v>1</v>
      </c>
      <c r="AE6" s="12">
        <f t="shared" ref="AE6:AE12" si="10">$T6 * (1 - $T6)</f>
        <v>0.19452696950527743</v>
      </c>
      <c r="AF6" s="13">
        <f t="shared" ref="AF6:AF12" si="11">2 * ($T6 - $I6)</f>
        <v>0.52894573350951346</v>
      </c>
      <c r="AG6" s="6"/>
      <c r="AI6" s="11">
        <f t="shared" ref="AI6:AI12" si="12">AJ6*AK6*AL6*AM6*AN6</f>
        <v>5.059798221531487E-2</v>
      </c>
      <c r="AJ6" s="12">
        <f t="shared" ref="AJ6:AJ12" si="13">H6</f>
        <v>0.61818181818181817</v>
      </c>
      <c r="AK6" s="12">
        <f>$U6 * (1 - $U6)</f>
        <v>0.15398978583429493</v>
      </c>
      <c r="AL6" s="12">
        <f t="shared" ref="AL6:AL12" si="14">$P$7</f>
        <v>5.1657587027824965</v>
      </c>
      <c r="AM6" s="12">
        <f t="shared" ref="AM6:AM12" si="15">$T6 * (1 - $T6)</f>
        <v>0.19452696950527743</v>
      </c>
      <c r="AN6" s="13">
        <f t="shared" ref="AN6:AN12" si="16">2 * ($T6 - $I6)</f>
        <v>0.52894573350951346</v>
      </c>
      <c r="AP6" s="11">
        <f t="shared" ref="AP6:AP12" si="17">AQ6*AR6*AS6*AT6*AU6</f>
        <v>8.1849677113009348E-2</v>
      </c>
      <c r="AQ6" s="12">
        <v>1</v>
      </c>
      <c r="AR6" s="12">
        <f>$U6 * (1 - $U6)</f>
        <v>0.15398978583429493</v>
      </c>
      <c r="AS6" s="12">
        <f t="shared" ref="AS6:AS12" si="18">$P$7</f>
        <v>5.1657587027824965</v>
      </c>
      <c r="AT6" s="12">
        <f t="shared" ref="AT6:AT12" si="19">$T6 * (1 - $T6)</f>
        <v>0.19452696950527743</v>
      </c>
      <c r="AU6" s="13">
        <f t="shared" ref="AU6:AU12" si="20">2 * ($T6 - $I6)</f>
        <v>0.52894573350951346</v>
      </c>
      <c r="AW6" s="11">
        <f t="shared" ref="AW6:AW12" si="21">AX6*AY6*AZ6*BA6*BB6</f>
        <v>4.2164985179429057E-2</v>
      </c>
      <c r="AX6" s="12">
        <f t="shared" ref="AX6:AX12" si="22">G6</f>
        <v>0.51515151515151514</v>
      </c>
      <c r="AY6" s="12">
        <f>$U6 * (1 - $U6)</f>
        <v>0.15398978583429493</v>
      </c>
      <c r="AZ6" s="12">
        <f t="shared" ref="AZ6:AZ12" si="23">$P$7</f>
        <v>5.1657587027824965</v>
      </c>
      <c r="BA6" s="12">
        <f t="shared" ref="BA6:BA12" si="24">$T6 * (1 - $T6)</f>
        <v>0.19452696950527743</v>
      </c>
      <c r="BB6" s="13">
        <f t="shared" ref="BB6:BB12" si="25">2 * ($T6 - $I6)</f>
        <v>0.52894573350951346</v>
      </c>
      <c r="BD6" s="11">
        <f t="shared" ref="BD6:BD12" si="26">BE6*BF6*BG6*BH6*BI6</f>
        <v>8.1849677113009348E-2</v>
      </c>
      <c r="BE6" s="12">
        <f>1</f>
        <v>1</v>
      </c>
      <c r="BF6" s="12">
        <f>$U6 * (1 - $U6)</f>
        <v>0.15398978583429493</v>
      </c>
      <c r="BG6" s="12">
        <f t="shared" ref="BG6:BG12" si="27">$P$7</f>
        <v>5.1657587027824965</v>
      </c>
      <c r="BH6" s="12">
        <f t="shared" ref="BH6:BH12" si="28">$T6 * (1 - $T6)</f>
        <v>0.19452696950527743</v>
      </c>
      <c r="BI6" s="13">
        <f t="shared" ref="BI6:BI12" si="29">2 * ($T6 - $I6)</f>
        <v>0.52894573350951346</v>
      </c>
    </row>
    <row r="7" spans="3:61" x14ac:dyDescent="0.35">
      <c r="C7" s="1">
        <v>21</v>
      </c>
      <c r="D7" s="1">
        <v>24</v>
      </c>
      <c r="E7" s="1">
        <v>0</v>
      </c>
      <c r="G7" s="3">
        <f t="shared" si="0"/>
        <v>0.31818181818181818</v>
      </c>
      <c r="H7" s="3">
        <f t="shared" si="1"/>
        <v>0.43636363636363634</v>
      </c>
      <c r="I7">
        <f t="shared" si="2"/>
        <v>0</v>
      </c>
      <c r="K7" s="6">
        <f>T7</f>
        <v>0.26506969854141221</v>
      </c>
      <c r="M7" s="6">
        <f t="shared" si="3"/>
        <v>7.0261945084835145E-2</v>
      </c>
      <c r="O7" s="20" t="s">
        <v>10</v>
      </c>
      <c r="P7" s="49">
        <v>5.1657587027824965</v>
      </c>
      <c r="R7" s="6">
        <f t="shared" ref="R7:R12" si="30">(U7*$P$7) + $P$10</f>
        <v>-1.0197828620007923</v>
      </c>
      <c r="S7" s="6">
        <f t="shared" si="4"/>
        <v>-1.4452196624963554</v>
      </c>
      <c r="T7" s="6">
        <f t="shared" ref="T7:T11" si="31">1/(1+ EXP(-R7))</f>
        <v>0.26506969854141221</v>
      </c>
      <c r="U7" s="6">
        <f t="shared" ref="U7:U11" si="32">1/(1+ EXP(-S7))</f>
        <v>0.19073835504096431</v>
      </c>
      <c r="W7" s="6"/>
      <c r="X7" s="11">
        <f>Y7*Z7*AA7</f>
        <v>1.9698554155754045E-2</v>
      </c>
      <c r="Y7" s="12">
        <f t="shared" si="6"/>
        <v>0.19073835504096431</v>
      </c>
      <c r="Z7" s="12">
        <f t="shared" si="7"/>
        <v>0.19480775345657705</v>
      </c>
      <c r="AA7" s="13">
        <f t="shared" si="8"/>
        <v>0.53013939708282443</v>
      </c>
      <c r="AC7" s="11">
        <f t="shared" si="9"/>
        <v>0.10327526496452927</v>
      </c>
      <c r="AD7" s="12">
        <v>1</v>
      </c>
      <c r="AE7" s="12">
        <f t="shared" si="10"/>
        <v>0.19480775345657705</v>
      </c>
      <c r="AF7" s="13">
        <f t="shared" si="11"/>
        <v>0.53013939708282443</v>
      </c>
      <c r="AG7" s="6"/>
      <c r="AI7" s="11">
        <f t="shared" si="12"/>
        <v>3.5934034171543304E-2</v>
      </c>
      <c r="AJ7" s="12">
        <f t="shared" si="13"/>
        <v>0.43636363636363634</v>
      </c>
      <c r="AK7" s="12">
        <f t="shared" ref="AK7:AK12" si="33">$U7 * (1 - $U7)</f>
        <v>0.15435723495723136</v>
      </c>
      <c r="AL7" s="12">
        <f t="shared" si="14"/>
        <v>5.1657587027824965</v>
      </c>
      <c r="AM7" s="12">
        <f t="shared" si="15"/>
        <v>0.19480775345657705</v>
      </c>
      <c r="AN7" s="13">
        <f t="shared" si="16"/>
        <v>0.53013939708282443</v>
      </c>
      <c r="AP7" s="11">
        <f t="shared" si="17"/>
        <v>8.2348828309786723E-2</v>
      </c>
      <c r="AQ7" s="12">
        <v>1</v>
      </c>
      <c r="AR7" s="12">
        <f t="shared" ref="AR7:AR12" si="34">$U7 * (1 - $U7)</f>
        <v>0.15435723495723136</v>
      </c>
      <c r="AS7" s="12">
        <f t="shared" si="18"/>
        <v>5.1657587027824965</v>
      </c>
      <c r="AT7" s="12">
        <f t="shared" si="19"/>
        <v>0.19480775345657705</v>
      </c>
      <c r="AU7" s="13">
        <f t="shared" si="20"/>
        <v>0.53013939708282443</v>
      </c>
      <c r="AW7" s="11">
        <f t="shared" si="21"/>
        <v>2.6201899916750326E-2</v>
      </c>
      <c r="AX7" s="12">
        <f t="shared" si="22"/>
        <v>0.31818181818181818</v>
      </c>
      <c r="AY7" s="12">
        <f t="shared" ref="AY7:AY12" si="35">$U7 * (1 - $U7)</f>
        <v>0.15435723495723136</v>
      </c>
      <c r="AZ7" s="12">
        <f t="shared" si="23"/>
        <v>5.1657587027824965</v>
      </c>
      <c r="BA7" s="12">
        <f t="shared" si="24"/>
        <v>0.19480775345657705</v>
      </c>
      <c r="BB7" s="13">
        <f t="shared" si="25"/>
        <v>0.53013939708282443</v>
      </c>
      <c r="BD7" s="11">
        <f t="shared" si="26"/>
        <v>8.2348828309786723E-2</v>
      </c>
      <c r="BE7" s="12">
        <f>1</f>
        <v>1</v>
      </c>
      <c r="BF7" s="12">
        <f t="shared" ref="BF7:BF12" si="36">$U7 * (1 - $U7)</f>
        <v>0.15435723495723136</v>
      </c>
      <c r="BG7" s="12">
        <f t="shared" si="27"/>
        <v>5.1657587027824965</v>
      </c>
      <c r="BH7" s="12">
        <f t="shared" si="28"/>
        <v>0.19480775345657705</v>
      </c>
      <c r="BI7" s="13">
        <f t="shared" si="29"/>
        <v>0.53013939708282443</v>
      </c>
    </row>
    <row r="8" spans="3:61" x14ac:dyDescent="0.35">
      <c r="C8" s="1">
        <v>23</v>
      </c>
      <c r="D8" s="1">
        <v>45</v>
      </c>
      <c r="E8" s="1">
        <v>0</v>
      </c>
      <c r="G8" s="3">
        <f t="shared" si="0"/>
        <v>0.34848484848484851</v>
      </c>
      <c r="H8" s="3">
        <f t="shared" si="1"/>
        <v>0.81818181818181823</v>
      </c>
      <c r="I8">
        <f t="shared" si="2"/>
        <v>0</v>
      </c>
      <c r="K8" s="6">
        <f t="shared" ref="K8:K12" si="37">T8</f>
        <v>0.1449091061942972</v>
      </c>
      <c r="M8" s="6">
        <f t="shared" si="3"/>
        <v>2.0998649058030103E-2</v>
      </c>
      <c r="O8" s="20" t="s">
        <v>11</v>
      </c>
      <c r="P8" s="49">
        <v>-0.4606830503293774</v>
      </c>
      <c r="R8" s="6">
        <f t="shared" si="30"/>
        <v>-1.7751010797979565</v>
      </c>
      <c r="S8" s="6">
        <f t="shared" si="4"/>
        <v>-3.0662274217858498</v>
      </c>
      <c r="T8" s="6">
        <f>1/(1+ EXP(-R8))</f>
        <v>0.1449091061942972</v>
      </c>
      <c r="U8" s="6">
        <f t="shared" si="32"/>
        <v>4.452203692484364E-2</v>
      </c>
      <c r="W8" s="6"/>
      <c r="X8" s="11">
        <f t="shared" si="5"/>
        <v>1.5988534488499727E-3</v>
      </c>
      <c r="Y8" s="12">
        <f t="shared" si="6"/>
        <v>4.452203692484364E-2</v>
      </c>
      <c r="Z8" s="12">
        <f t="shared" si="7"/>
        <v>0.1239104571362671</v>
      </c>
      <c r="AA8" s="13">
        <f t="shared" si="8"/>
        <v>0.2898182123885944</v>
      </c>
      <c r="AC8" s="11">
        <f t="shared" si="9"/>
        <v>3.5911507183486478E-2</v>
      </c>
      <c r="AD8" s="12">
        <v>1</v>
      </c>
      <c r="AE8" s="12">
        <f t="shared" si="10"/>
        <v>0.1239104571362671</v>
      </c>
      <c r="AF8" s="13">
        <f t="shared" si="11"/>
        <v>0.2898182123885944</v>
      </c>
      <c r="AG8" s="6"/>
      <c r="AI8" s="11">
        <f t="shared" si="12"/>
        <v>6.4567396257935632E-3</v>
      </c>
      <c r="AJ8" s="12">
        <f t="shared" si="13"/>
        <v>0.81818181818181823</v>
      </c>
      <c r="AK8" s="12">
        <f t="shared" si="33"/>
        <v>4.2539825152906496E-2</v>
      </c>
      <c r="AL8" s="12">
        <f t="shared" si="14"/>
        <v>5.1657587027824965</v>
      </c>
      <c r="AM8" s="12">
        <f t="shared" si="15"/>
        <v>0.1239104571362671</v>
      </c>
      <c r="AN8" s="13">
        <f t="shared" si="16"/>
        <v>0.2898182123885944</v>
      </c>
      <c r="AP8" s="11">
        <f t="shared" si="17"/>
        <v>7.8915706537476885E-3</v>
      </c>
      <c r="AQ8" s="12">
        <v>1</v>
      </c>
      <c r="AR8" s="12">
        <f t="shared" si="34"/>
        <v>4.2539825152906496E-2</v>
      </c>
      <c r="AS8" s="12">
        <f t="shared" si="18"/>
        <v>5.1657587027824965</v>
      </c>
      <c r="AT8" s="12">
        <f t="shared" si="19"/>
        <v>0.1239104571362671</v>
      </c>
      <c r="AU8" s="13">
        <f t="shared" si="20"/>
        <v>0.2898182123885944</v>
      </c>
      <c r="AW8" s="11">
        <f t="shared" si="21"/>
        <v>2.75009280357874E-3</v>
      </c>
      <c r="AX8" s="12">
        <f t="shared" si="22"/>
        <v>0.34848484848484851</v>
      </c>
      <c r="AY8" s="12">
        <f t="shared" si="35"/>
        <v>4.2539825152906496E-2</v>
      </c>
      <c r="AZ8" s="12">
        <f t="shared" si="23"/>
        <v>5.1657587027824965</v>
      </c>
      <c r="BA8" s="12">
        <f t="shared" si="24"/>
        <v>0.1239104571362671</v>
      </c>
      <c r="BB8" s="13">
        <f t="shared" si="25"/>
        <v>0.2898182123885944</v>
      </c>
      <c r="BD8" s="11">
        <f t="shared" si="26"/>
        <v>7.8915706537476885E-3</v>
      </c>
      <c r="BE8" s="12">
        <f>1</f>
        <v>1</v>
      </c>
      <c r="BF8" s="12">
        <f t="shared" si="36"/>
        <v>4.2539825152906496E-2</v>
      </c>
      <c r="BG8" s="12">
        <f t="shared" si="27"/>
        <v>5.1657587027824965</v>
      </c>
      <c r="BH8" s="12">
        <f t="shared" si="28"/>
        <v>0.1239104571362671</v>
      </c>
      <c r="BI8" s="13">
        <f t="shared" si="29"/>
        <v>0.2898182123885944</v>
      </c>
    </row>
    <row r="9" spans="3:61" x14ac:dyDescent="0.35">
      <c r="C9" s="1">
        <v>44</v>
      </c>
      <c r="D9" s="1">
        <v>11</v>
      </c>
      <c r="E9" s="1">
        <v>1</v>
      </c>
      <c r="G9" s="3">
        <f t="shared" si="0"/>
        <v>0.66666666666666663</v>
      </c>
      <c r="H9" s="3">
        <f t="shared" si="1"/>
        <v>0.2</v>
      </c>
      <c r="I9">
        <f t="shared" si="2"/>
        <v>1</v>
      </c>
      <c r="K9" s="6">
        <f t="shared" si="37"/>
        <v>0.86691387157602018</v>
      </c>
      <c r="M9" s="6">
        <f t="shared" si="3"/>
        <v>1.7711917578884049E-2</v>
      </c>
      <c r="O9" s="20" t="s">
        <v>12</v>
      </c>
      <c r="P9" s="49">
        <v>-0.32502798837442359</v>
      </c>
      <c r="R9" s="6">
        <f t="shared" si="30"/>
        <v>1.8739431303370462</v>
      </c>
      <c r="S9" s="6">
        <f t="shared" si="4"/>
        <v>1.1034864746624806</v>
      </c>
      <c r="T9" s="6">
        <f t="shared" si="31"/>
        <v>0.86691387157602018</v>
      </c>
      <c r="U9" s="6">
        <f t="shared" si="32"/>
        <v>0.75091279578268055</v>
      </c>
      <c r="W9" s="6"/>
      <c r="X9" s="11">
        <f t="shared" si="5"/>
        <v>-2.3060091985681885E-2</v>
      </c>
      <c r="Y9" s="12">
        <f t="shared" si="6"/>
        <v>0.75091279578268055</v>
      </c>
      <c r="Z9" s="12">
        <f t="shared" si="7"/>
        <v>0.11537421084509578</v>
      </c>
      <c r="AA9" s="13">
        <f t="shared" si="8"/>
        <v>-0.26617225684795964</v>
      </c>
      <c r="AC9" s="11">
        <f t="shared" si="9"/>
        <v>-3.0709414082691483E-2</v>
      </c>
      <c r="AD9" s="12">
        <v>1</v>
      </c>
      <c r="AE9" s="12">
        <f t="shared" si="10"/>
        <v>0.11537421084509578</v>
      </c>
      <c r="AF9" s="13">
        <f t="shared" si="11"/>
        <v>-0.26617225684795964</v>
      </c>
      <c r="AG9" s="6"/>
      <c r="AI9" s="11">
        <f t="shared" si="12"/>
        <v>-5.9343965722713282E-3</v>
      </c>
      <c r="AJ9" s="12">
        <f t="shared" si="13"/>
        <v>0.2</v>
      </c>
      <c r="AK9" s="12">
        <f t="shared" si="33"/>
        <v>0.18704276891251884</v>
      </c>
      <c r="AL9" s="12">
        <f t="shared" si="14"/>
        <v>5.1657587027824965</v>
      </c>
      <c r="AM9" s="12">
        <f t="shared" si="15"/>
        <v>0.11537421084509578</v>
      </c>
      <c r="AN9" s="13">
        <f t="shared" si="16"/>
        <v>-0.26617225684795964</v>
      </c>
      <c r="AP9" s="11">
        <f t="shared" si="17"/>
        <v>-2.9671982861356638E-2</v>
      </c>
      <c r="AQ9" s="12">
        <v>1</v>
      </c>
      <c r="AR9" s="12">
        <f t="shared" si="34"/>
        <v>0.18704276891251884</v>
      </c>
      <c r="AS9" s="12">
        <f t="shared" si="18"/>
        <v>5.1657587027824965</v>
      </c>
      <c r="AT9" s="12">
        <f t="shared" si="19"/>
        <v>0.11537421084509578</v>
      </c>
      <c r="AU9" s="13">
        <f t="shared" si="20"/>
        <v>-0.26617225684795964</v>
      </c>
      <c r="AW9" s="11">
        <f t="shared" si="21"/>
        <v>-1.9781321907571089E-2</v>
      </c>
      <c r="AX9" s="12">
        <f t="shared" si="22"/>
        <v>0.66666666666666663</v>
      </c>
      <c r="AY9" s="12">
        <f t="shared" si="35"/>
        <v>0.18704276891251884</v>
      </c>
      <c r="AZ9" s="12">
        <f t="shared" si="23"/>
        <v>5.1657587027824965</v>
      </c>
      <c r="BA9" s="12">
        <f t="shared" si="24"/>
        <v>0.11537421084509578</v>
      </c>
      <c r="BB9" s="13">
        <f t="shared" si="25"/>
        <v>-0.26617225684795964</v>
      </c>
      <c r="BD9" s="11">
        <f t="shared" si="26"/>
        <v>-2.9671982861356638E-2</v>
      </c>
      <c r="BE9" s="12">
        <f>1</f>
        <v>1</v>
      </c>
      <c r="BF9" s="12">
        <f t="shared" si="36"/>
        <v>0.18704276891251884</v>
      </c>
      <c r="BG9" s="12">
        <f t="shared" si="27"/>
        <v>5.1657587027824965</v>
      </c>
      <c r="BH9" s="12">
        <f t="shared" si="28"/>
        <v>0.11537421084509578</v>
      </c>
      <c r="BI9" s="13">
        <f t="shared" si="29"/>
        <v>-0.26617225684795964</v>
      </c>
    </row>
    <row r="10" spans="3:61" ht="15" thickBot="1" x14ac:dyDescent="0.4">
      <c r="C10" s="1">
        <v>66</v>
      </c>
      <c r="D10" s="1">
        <v>21</v>
      </c>
      <c r="E10" s="1">
        <v>1</v>
      </c>
      <c r="G10" s="3">
        <f t="shared" si="0"/>
        <v>1</v>
      </c>
      <c r="H10" s="3">
        <f t="shared" si="1"/>
        <v>0.38181818181818183</v>
      </c>
      <c r="I10">
        <f t="shared" si="2"/>
        <v>1</v>
      </c>
      <c r="K10" s="6">
        <f t="shared" si="37"/>
        <v>0.91250630592896731</v>
      </c>
      <c r="M10" s="6">
        <f t="shared" si="3"/>
        <v>7.6551465021954613E-3</v>
      </c>
      <c r="O10" s="21" t="s">
        <v>13</v>
      </c>
      <c r="P10" s="48">
        <v>-2.0050911795080713</v>
      </c>
      <c r="R10" s="6">
        <f t="shared" si="30"/>
        <v>2.3446282730329187</v>
      </c>
      <c r="S10" s="6">
        <f t="shared" si="4"/>
        <v>1.6734041737407255</v>
      </c>
      <c r="T10" s="6">
        <f t="shared" si="31"/>
        <v>0.91250630592896731</v>
      </c>
      <c r="U10" s="6">
        <f t="shared" si="32"/>
        <v>0.84202915831086866</v>
      </c>
      <c r="W10" s="6"/>
      <c r="X10" s="11">
        <f t="shared" si="5"/>
        <v>-1.1763769527159089E-2</v>
      </c>
      <c r="Y10" s="12">
        <f t="shared" si="6"/>
        <v>0.84202915831086866</v>
      </c>
      <c r="Z10" s="12">
        <f t="shared" si="7"/>
        <v>7.9838547568837223E-2</v>
      </c>
      <c r="AA10" s="13">
        <f t="shared" si="8"/>
        <v>-0.17498738814206538</v>
      </c>
      <c r="AC10" s="11">
        <f t="shared" si="9"/>
        <v>-1.3970738912126869E-2</v>
      </c>
      <c r="AD10" s="12">
        <v>1</v>
      </c>
      <c r="AE10" s="12">
        <f t="shared" si="10"/>
        <v>7.9838547568837223E-2</v>
      </c>
      <c r="AF10" s="13">
        <f t="shared" si="11"/>
        <v>-0.17498738814206538</v>
      </c>
      <c r="AG10" s="6"/>
      <c r="AI10" s="11">
        <f t="shared" si="12"/>
        <v>-3.6653391084380438E-3</v>
      </c>
      <c r="AJ10" s="12">
        <f t="shared" si="13"/>
        <v>0.38181818181818183</v>
      </c>
      <c r="AK10" s="12">
        <f t="shared" si="33"/>
        <v>0.13301605486515874</v>
      </c>
      <c r="AL10" s="12">
        <f t="shared" si="14"/>
        <v>5.1657587027824965</v>
      </c>
      <c r="AM10" s="12">
        <f t="shared" si="15"/>
        <v>7.9838547568837223E-2</v>
      </c>
      <c r="AN10" s="13">
        <f t="shared" si="16"/>
        <v>-0.17498738814206538</v>
      </c>
      <c r="AP10" s="11">
        <f t="shared" si="17"/>
        <v>-9.5996976649567814E-3</v>
      </c>
      <c r="AQ10" s="12">
        <v>1</v>
      </c>
      <c r="AR10" s="12">
        <f t="shared" si="34"/>
        <v>0.13301605486515874</v>
      </c>
      <c r="AS10" s="12">
        <f t="shared" si="18"/>
        <v>5.1657587027824965</v>
      </c>
      <c r="AT10" s="12">
        <f t="shared" si="19"/>
        <v>7.9838547568837223E-2</v>
      </c>
      <c r="AU10" s="13">
        <f t="shared" si="20"/>
        <v>-0.17498738814206538</v>
      </c>
      <c r="AW10" s="11">
        <f t="shared" si="21"/>
        <v>-9.5996976649567814E-3</v>
      </c>
      <c r="AX10" s="12">
        <f t="shared" si="22"/>
        <v>1</v>
      </c>
      <c r="AY10" s="12">
        <f t="shared" si="35"/>
        <v>0.13301605486515874</v>
      </c>
      <c r="AZ10" s="12">
        <f t="shared" si="23"/>
        <v>5.1657587027824965</v>
      </c>
      <c r="BA10" s="12">
        <f t="shared" si="24"/>
        <v>7.9838547568837223E-2</v>
      </c>
      <c r="BB10" s="13">
        <f t="shared" si="25"/>
        <v>-0.17498738814206538</v>
      </c>
      <c r="BD10" s="11">
        <f t="shared" si="26"/>
        <v>-9.5996976649567814E-3</v>
      </c>
      <c r="BE10" s="12">
        <f>1</f>
        <v>1</v>
      </c>
      <c r="BF10" s="12">
        <f t="shared" si="36"/>
        <v>0.13301605486515874</v>
      </c>
      <c r="BG10" s="12">
        <f t="shared" si="27"/>
        <v>5.1657587027824965</v>
      </c>
      <c r="BH10" s="12">
        <f t="shared" si="28"/>
        <v>7.9838547568837223E-2</v>
      </c>
      <c r="BI10" s="13">
        <f t="shared" si="29"/>
        <v>-0.17498738814206538</v>
      </c>
    </row>
    <row r="11" spans="3:61" x14ac:dyDescent="0.35">
      <c r="C11" s="1">
        <v>45</v>
      </c>
      <c r="D11" s="1">
        <v>23</v>
      </c>
      <c r="E11" s="1">
        <v>1</v>
      </c>
      <c r="G11" s="3">
        <f t="shared" si="0"/>
        <v>0.68181818181818177</v>
      </c>
      <c r="H11" s="3">
        <f t="shared" si="1"/>
        <v>0.41818181818181815</v>
      </c>
      <c r="I11">
        <f t="shared" si="2"/>
        <v>1</v>
      </c>
      <c r="K11" s="6">
        <f t="shared" si="37"/>
        <v>0.68876570918734348</v>
      </c>
      <c r="M11" s="6">
        <f t="shared" si="3"/>
        <v>9.6866783777657256E-2</v>
      </c>
      <c r="R11" s="6">
        <f t="shared" si="30"/>
        <v>0.79435519324394432</v>
      </c>
      <c r="S11" s="6">
        <f t="shared" si="4"/>
        <v>0.16808890914943508</v>
      </c>
      <c r="T11" s="6">
        <f t="shared" si="31"/>
        <v>0.68876570918734348</v>
      </c>
      <c r="U11" s="6">
        <f t="shared" si="32"/>
        <v>0.54192356511815298</v>
      </c>
      <c r="W11" s="6"/>
      <c r="X11" s="11">
        <f t="shared" si="5"/>
        <v>-7.2312675379204217E-2</v>
      </c>
      <c r="Y11" s="12">
        <f t="shared" si="6"/>
        <v>0.54192356511815298</v>
      </c>
      <c r="Z11" s="12">
        <f t="shared" si="7"/>
        <v>0.21436750703499927</v>
      </c>
      <c r="AA11" s="13">
        <f t="shared" si="8"/>
        <v>-0.62246858162531304</v>
      </c>
      <c r="AC11" s="11">
        <f t="shared" si="9"/>
        <v>-0.13343703805063031</v>
      </c>
      <c r="AD11" s="12">
        <v>1</v>
      </c>
      <c r="AE11" s="12">
        <f t="shared" si="10"/>
        <v>0.21436750703499927</v>
      </c>
      <c r="AF11" s="13">
        <f t="shared" si="11"/>
        <v>-0.62246858162531304</v>
      </c>
      <c r="AG11" s="6"/>
      <c r="AI11" s="11">
        <f t="shared" si="12"/>
        <v>-7.155692060814467E-2</v>
      </c>
      <c r="AJ11" s="12">
        <f t="shared" si="13"/>
        <v>0.41818181818181815</v>
      </c>
      <c r="AK11" s="12">
        <f t="shared" si="33"/>
        <v>0.24824241468778399</v>
      </c>
      <c r="AL11" s="12">
        <f t="shared" si="14"/>
        <v>5.1657587027824965</v>
      </c>
      <c r="AM11" s="12">
        <f t="shared" si="15"/>
        <v>0.21436750703499927</v>
      </c>
      <c r="AN11" s="13">
        <f t="shared" si="16"/>
        <v>-0.62246858162531304</v>
      </c>
      <c r="AP11" s="11">
        <f t="shared" si="17"/>
        <v>-0.17111437536730248</v>
      </c>
      <c r="AQ11" s="12">
        <v>1</v>
      </c>
      <c r="AR11" s="12">
        <f t="shared" si="34"/>
        <v>0.24824241468778399</v>
      </c>
      <c r="AS11" s="12">
        <f t="shared" si="18"/>
        <v>5.1657587027824965</v>
      </c>
      <c r="AT11" s="12">
        <f t="shared" si="19"/>
        <v>0.21436750703499927</v>
      </c>
      <c r="AU11" s="13">
        <f t="shared" si="20"/>
        <v>-0.62246858162531304</v>
      </c>
      <c r="AW11" s="11">
        <f t="shared" si="21"/>
        <v>-0.11666889229588806</v>
      </c>
      <c r="AX11" s="12">
        <f t="shared" si="22"/>
        <v>0.68181818181818177</v>
      </c>
      <c r="AY11" s="12">
        <f t="shared" si="35"/>
        <v>0.24824241468778399</v>
      </c>
      <c r="AZ11" s="12">
        <f t="shared" si="23"/>
        <v>5.1657587027824965</v>
      </c>
      <c r="BA11" s="12">
        <f t="shared" si="24"/>
        <v>0.21436750703499927</v>
      </c>
      <c r="BB11" s="13">
        <f t="shared" si="25"/>
        <v>-0.62246858162531304</v>
      </c>
      <c r="BD11" s="11">
        <f t="shared" si="26"/>
        <v>-0.17111437536730248</v>
      </c>
      <c r="BE11" s="12">
        <f>1</f>
        <v>1</v>
      </c>
      <c r="BF11" s="12">
        <f t="shared" si="36"/>
        <v>0.24824241468778399</v>
      </c>
      <c r="BG11" s="12">
        <f t="shared" si="27"/>
        <v>5.1657587027824965</v>
      </c>
      <c r="BH11" s="12">
        <f t="shared" si="28"/>
        <v>0.21436750703499927</v>
      </c>
      <c r="BI11" s="13">
        <f t="shared" si="29"/>
        <v>-0.62246858162531304</v>
      </c>
    </row>
    <row r="12" spans="3:61" x14ac:dyDescent="0.35">
      <c r="C12" s="1">
        <v>34</v>
      </c>
      <c r="D12" s="1">
        <v>8</v>
      </c>
      <c r="E12" s="1">
        <v>1</v>
      </c>
      <c r="G12" s="3">
        <f t="shared" si="0"/>
        <v>0.51515151515151514</v>
      </c>
      <c r="H12" s="3">
        <f t="shared" si="1"/>
        <v>0.14545454545454545</v>
      </c>
      <c r="I12">
        <f t="shared" si="2"/>
        <v>1</v>
      </c>
      <c r="K12" s="6">
        <f t="shared" si="37"/>
        <v>0.8122354661131076</v>
      </c>
      <c r="M12" s="6">
        <f t="shared" si="3"/>
        <v>3.5255520185761967E-2</v>
      </c>
      <c r="O12" s="23" t="s">
        <v>62</v>
      </c>
      <c r="P12" s="22">
        <v>1</v>
      </c>
      <c r="R12" s="6">
        <f t="shared" si="30"/>
        <v>1.4646015825255398</v>
      </c>
      <c r="S12" s="6">
        <f t="shared" si="4"/>
        <v>0.71575463206563761</v>
      </c>
      <c r="T12" s="6">
        <f t="shared" ref="T12" si="38">1/(1+ EXP(-R12))</f>
        <v>0.8122354661131076</v>
      </c>
      <c r="U12" s="6">
        <f t="shared" ref="U12" si="39">1/(1+ EXP(-S12))</f>
        <v>0.67167147396270899</v>
      </c>
      <c r="W12" s="6"/>
      <c r="X12" s="11">
        <f t="shared" si="5"/>
        <v>-3.8467678321615628E-2</v>
      </c>
      <c r="Y12" s="12">
        <f t="shared" si="6"/>
        <v>0.67167147396270899</v>
      </c>
      <c r="Z12" s="12">
        <f t="shared" si="7"/>
        <v>0.15250901370113043</v>
      </c>
      <c r="AA12" s="13">
        <f t="shared" si="8"/>
        <v>-0.37552906777378481</v>
      </c>
      <c r="AC12" s="11">
        <f t="shared" si="9"/>
        <v>-5.7271567742284882E-2</v>
      </c>
      <c r="AD12" s="12">
        <v>1</v>
      </c>
      <c r="AE12" s="12">
        <f t="shared" si="10"/>
        <v>0.15250901370113043</v>
      </c>
      <c r="AF12" s="13">
        <f t="shared" si="11"/>
        <v>-0.37552906777378481</v>
      </c>
      <c r="AG12" s="6"/>
      <c r="AI12" s="11">
        <f t="shared" si="12"/>
        <v>-9.489995493960221E-3</v>
      </c>
      <c r="AJ12" s="12">
        <f t="shared" si="13"/>
        <v>0.14545454545454545</v>
      </c>
      <c r="AK12" s="12">
        <f t="shared" si="33"/>
        <v>0.22052890502747094</v>
      </c>
      <c r="AL12" s="12">
        <f t="shared" si="14"/>
        <v>5.1657587027824965</v>
      </c>
      <c r="AM12" s="12">
        <f t="shared" si="15"/>
        <v>0.15250901370113043</v>
      </c>
      <c r="AN12" s="13">
        <f t="shared" si="16"/>
        <v>-0.37552906777378481</v>
      </c>
      <c r="AP12" s="11">
        <f t="shared" si="17"/>
        <v>-6.5243719020976518E-2</v>
      </c>
      <c r="AQ12" s="12">
        <v>1</v>
      </c>
      <c r="AR12" s="12">
        <f t="shared" si="34"/>
        <v>0.22052890502747094</v>
      </c>
      <c r="AS12" s="12">
        <f t="shared" si="18"/>
        <v>5.1657587027824965</v>
      </c>
      <c r="AT12" s="12">
        <f t="shared" si="19"/>
        <v>0.15250901370113043</v>
      </c>
      <c r="AU12" s="13">
        <f t="shared" si="20"/>
        <v>-0.37552906777378481</v>
      </c>
      <c r="AW12" s="11">
        <f t="shared" si="21"/>
        <v>-3.3610400707775788E-2</v>
      </c>
      <c r="AX12" s="12">
        <f t="shared" si="22"/>
        <v>0.51515151515151514</v>
      </c>
      <c r="AY12" s="12">
        <f t="shared" si="35"/>
        <v>0.22052890502747094</v>
      </c>
      <c r="AZ12" s="12">
        <f t="shared" si="23"/>
        <v>5.1657587027824965</v>
      </c>
      <c r="BA12" s="12">
        <f t="shared" si="24"/>
        <v>0.15250901370113043</v>
      </c>
      <c r="BB12" s="13">
        <f t="shared" si="25"/>
        <v>-0.37552906777378481</v>
      </c>
      <c r="BD12" s="11">
        <f t="shared" si="26"/>
        <v>-6.5243719020976518E-2</v>
      </c>
      <c r="BE12" s="12">
        <f>1</f>
        <v>1</v>
      </c>
      <c r="BF12" s="12">
        <f t="shared" si="36"/>
        <v>0.22052890502747094</v>
      </c>
      <c r="BG12" s="12">
        <f t="shared" si="27"/>
        <v>5.1657587027824965</v>
      </c>
      <c r="BH12" s="12">
        <f t="shared" si="28"/>
        <v>0.15250901370113043</v>
      </c>
      <c r="BI12" s="13">
        <f t="shared" si="29"/>
        <v>-0.37552906777378481</v>
      </c>
    </row>
    <row r="13" spans="3:61" x14ac:dyDescent="0.35">
      <c r="M13" s="6"/>
      <c r="X13" s="8"/>
      <c r="Y13" s="9"/>
      <c r="Z13" s="9"/>
      <c r="AA13" s="10"/>
      <c r="AC13" s="8"/>
      <c r="AD13" s="9"/>
      <c r="AE13" s="9"/>
      <c r="AF13" s="10"/>
      <c r="AI13" s="8"/>
      <c r="AJ13" s="9"/>
      <c r="AK13" s="9"/>
      <c r="AL13" s="9"/>
      <c r="AM13" s="9"/>
      <c r="AN13" s="10"/>
      <c r="AP13" s="8"/>
      <c r="AQ13" s="9"/>
      <c r="AR13" s="9"/>
      <c r="AS13" s="9"/>
      <c r="AT13" s="9"/>
      <c r="AU13" s="10"/>
      <c r="AW13" s="8"/>
      <c r="AX13" s="9"/>
      <c r="AY13" s="9"/>
      <c r="AZ13" s="9"/>
      <c r="BA13" s="9"/>
      <c r="BB13" s="10"/>
      <c r="BD13" s="8"/>
      <c r="BE13" s="9"/>
      <c r="BF13" s="9"/>
      <c r="BG13" s="9"/>
      <c r="BH13" s="9"/>
      <c r="BI13" s="10"/>
    </row>
    <row r="14" spans="3:61" ht="15" thickBot="1" x14ac:dyDescent="0.4">
      <c r="M14" s="6">
        <f>SUM(M5:M12)</f>
        <v>0.33536950416891559</v>
      </c>
      <c r="W14" s="6" t="s">
        <v>61</v>
      </c>
      <c r="X14" s="14" t="s">
        <v>60</v>
      </c>
      <c r="Y14" s="16">
        <f>SUM(X5:X12)</f>
        <v>-0.10420012897003415</v>
      </c>
      <c r="Z14" s="17"/>
      <c r="AA14" s="48">
        <f>P7-(Y14*P12)</f>
        <v>5.2699588317525308</v>
      </c>
      <c r="AB14" s="7"/>
      <c r="AC14" s="14" t="s">
        <v>60</v>
      </c>
      <c r="AD14" s="18">
        <f>SUM(AC5:AC12)</f>
        <v>3.5733495691685366E-2</v>
      </c>
      <c r="AE14" s="17"/>
      <c r="AF14" s="48">
        <f>P10-(AD14*P12)</f>
        <v>-2.0408246751997567</v>
      </c>
      <c r="AG14" s="7"/>
      <c r="AH14" s="7"/>
      <c r="AI14" s="14" t="s">
        <v>60</v>
      </c>
      <c r="AJ14" s="18">
        <f>SUM(AI5:AI12)</f>
        <v>5.0890673126544744E-3</v>
      </c>
      <c r="AK14" s="17"/>
      <c r="AL14" s="17"/>
      <c r="AM14" s="17"/>
      <c r="AN14" s="48">
        <f>P6-(AJ14*P12)</f>
        <v>-4.5845242158169421</v>
      </c>
      <c r="AO14" s="7"/>
      <c r="AP14" s="14" t="s">
        <v>60</v>
      </c>
      <c r="AQ14" s="18">
        <f>SUM(AP5:AP12)</f>
        <v>-0.10079273575523166</v>
      </c>
      <c r="AR14" s="17"/>
      <c r="AS14" s="17"/>
      <c r="AT14" s="17"/>
      <c r="AU14" s="48">
        <f>P9-(P12*AJ14)</f>
        <v>-0.33011705568707805</v>
      </c>
      <c r="AV14" s="7"/>
      <c r="AW14" s="14" t="s">
        <v>60</v>
      </c>
      <c r="AX14" s="18">
        <f>SUM(AW5:AW12)</f>
        <v>-0.10762768031549461</v>
      </c>
      <c r="AY14" s="17"/>
      <c r="AZ14" s="17"/>
      <c r="BA14" s="17"/>
      <c r="BB14" s="48">
        <f>P5-(P12*AX14)</f>
        <v>4.3152544949162035</v>
      </c>
      <c r="BC14" s="7"/>
      <c r="BD14" s="14" t="s">
        <v>60</v>
      </c>
      <c r="BE14" s="18">
        <f>SUM(BD5:BD12)</f>
        <v>-0.10079273575523166</v>
      </c>
      <c r="BF14" s="15"/>
      <c r="BG14" s="15"/>
      <c r="BH14" s="15"/>
      <c r="BI14" s="48">
        <f>P8-(P12*BE14)</f>
        <v>-0.35989031457414572</v>
      </c>
    </row>
    <row r="16" spans="3:61" x14ac:dyDescent="0.35">
      <c r="C16" t="s">
        <v>0</v>
      </c>
      <c r="F16" t="s">
        <v>1</v>
      </c>
      <c r="I16" t="s">
        <v>2</v>
      </c>
      <c r="M16" s="5"/>
    </row>
    <row r="17" spans="2:58" x14ac:dyDescent="0.35">
      <c r="M17" s="5"/>
      <c r="X17" t="s">
        <v>32</v>
      </c>
      <c r="Y17" t="s">
        <v>25</v>
      </c>
      <c r="AC17" t="s">
        <v>34</v>
      </c>
      <c r="AD17" t="s">
        <v>25</v>
      </c>
      <c r="AW17" t="s">
        <v>38</v>
      </c>
      <c r="AX17" t="s">
        <v>25</v>
      </c>
    </row>
    <row r="18" spans="2:58" x14ac:dyDescent="0.35">
      <c r="AI18" t="s">
        <v>36</v>
      </c>
      <c r="AJ18" t="s">
        <v>25</v>
      </c>
      <c r="AP18" t="s">
        <v>37</v>
      </c>
      <c r="AQ18" t="s">
        <v>25</v>
      </c>
      <c r="BD18" t="s">
        <v>39</v>
      </c>
      <c r="BE18" t="s">
        <v>25</v>
      </c>
    </row>
    <row r="19" spans="2:58" x14ac:dyDescent="0.35">
      <c r="M19" s="5"/>
    </row>
    <row r="20" spans="2:58" x14ac:dyDescent="0.35">
      <c r="M20" s="5"/>
    </row>
    <row r="21" spans="2:58" x14ac:dyDescent="0.35">
      <c r="M21" s="5"/>
    </row>
    <row r="22" spans="2:58" x14ac:dyDescent="0.35">
      <c r="M22" s="5"/>
      <c r="X22" t="s">
        <v>33</v>
      </c>
      <c r="Y22" t="s">
        <v>25</v>
      </c>
    </row>
    <row r="23" spans="2:58" x14ac:dyDescent="0.35">
      <c r="M23" s="5"/>
      <c r="AC23" t="s">
        <v>35</v>
      </c>
      <c r="AD23" t="s">
        <v>25</v>
      </c>
      <c r="AJ23" t="s">
        <v>45</v>
      </c>
      <c r="AK23" t="s">
        <v>25</v>
      </c>
      <c r="AQ23" t="s">
        <v>46</v>
      </c>
      <c r="AR23" t="s">
        <v>25</v>
      </c>
      <c r="AX23" t="s">
        <v>48</v>
      </c>
      <c r="AY23" t="s">
        <v>25</v>
      </c>
      <c r="BE23" t="s">
        <v>47</v>
      </c>
      <c r="BF23" t="s">
        <v>25</v>
      </c>
    </row>
    <row r="24" spans="2:58" x14ac:dyDescent="0.35">
      <c r="M24" s="5"/>
    </row>
    <row r="26" spans="2:58" x14ac:dyDescent="0.35">
      <c r="M26" s="5"/>
    </row>
    <row r="27" spans="2:58" x14ac:dyDescent="0.35">
      <c r="M27" s="5"/>
      <c r="X27" t="s">
        <v>29</v>
      </c>
      <c r="Y27" t="s">
        <v>25</v>
      </c>
    </row>
    <row r="28" spans="2:58" x14ac:dyDescent="0.35">
      <c r="AJ28" t="s">
        <v>44</v>
      </c>
      <c r="AK28" t="s">
        <v>25</v>
      </c>
    </row>
    <row r="29" spans="2:58" x14ac:dyDescent="0.35">
      <c r="M29" s="5"/>
    </row>
    <row r="30" spans="2:58" x14ac:dyDescent="0.35">
      <c r="M30" s="5"/>
    </row>
    <row r="32" spans="2:58" x14ac:dyDescent="0.35">
      <c r="B32" t="s">
        <v>24</v>
      </c>
      <c r="C32" t="s">
        <v>25</v>
      </c>
      <c r="X32" t="s">
        <v>30</v>
      </c>
      <c r="Y32" t="s">
        <v>25</v>
      </c>
    </row>
    <row r="33" spans="2:37" x14ac:dyDescent="0.35">
      <c r="AJ33" t="s">
        <v>43</v>
      </c>
      <c r="AK33" t="s">
        <v>25</v>
      </c>
    </row>
    <row r="39" spans="2:37" x14ac:dyDescent="0.35">
      <c r="B39" t="s">
        <v>26</v>
      </c>
      <c r="C39" t="s">
        <v>25</v>
      </c>
    </row>
    <row r="44" spans="2:37" x14ac:dyDescent="0.35">
      <c r="B44" t="s">
        <v>27</v>
      </c>
      <c r="C44" t="s">
        <v>25</v>
      </c>
    </row>
    <row r="47" spans="2:37" x14ac:dyDescent="0.35">
      <c r="X47" s="6"/>
    </row>
    <row r="49" spans="2:61" x14ac:dyDescent="0.35">
      <c r="B49" t="s">
        <v>41</v>
      </c>
      <c r="C49" t="s">
        <v>25</v>
      </c>
    </row>
    <row r="50" spans="2:61" x14ac:dyDescent="0.35">
      <c r="X50" s="50"/>
      <c r="Y50" s="50"/>
      <c r="Z50" s="50"/>
      <c r="AA50" s="50"/>
      <c r="AC50" s="50"/>
      <c r="AD50" s="50"/>
      <c r="AE50" s="50"/>
      <c r="AF50" s="50"/>
      <c r="AI50" s="50"/>
      <c r="AJ50" s="50"/>
      <c r="AK50" s="50"/>
      <c r="AL50" s="50"/>
      <c r="AM50" s="50"/>
      <c r="AN50" s="50"/>
      <c r="AP50" s="50"/>
      <c r="AQ50" s="50"/>
      <c r="AR50" s="50"/>
      <c r="AS50" s="50"/>
      <c r="AT50" s="50"/>
      <c r="AU50" s="50"/>
      <c r="AW50" s="50"/>
      <c r="AX50" s="50"/>
      <c r="AY50" s="50"/>
      <c r="AZ50" s="50"/>
      <c r="BA50" s="50"/>
      <c r="BB50" s="50"/>
      <c r="BD50" s="50"/>
      <c r="BE50" s="50"/>
      <c r="BF50" s="50"/>
      <c r="BG50" s="50"/>
      <c r="BH50" s="50"/>
      <c r="BI50" s="50"/>
    </row>
    <row r="54" spans="2:61" x14ac:dyDescent="0.35">
      <c r="B54" t="s">
        <v>28</v>
      </c>
      <c r="C54" t="s">
        <v>25</v>
      </c>
    </row>
    <row r="59" spans="2:61" x14ac:dyDescent="0.35">
      <c r="B59" t="s">
        <v>40</v>
      </c>
      <c r="C59" t="s">
        <v>25</v>
      </c>
    </row>
    <row r="62" spans="2:61" x14ac:dyDescent="0.35">
      <c r="B62" t="s">
        <v>42</v>
      </c>
    </row>
    <row r="96" ht="15" thickBot="1" x14ac:dyDescent="0.4"/>
    <row r="97" spans="2:24" x14ac:dyDescent="0.35">
      <c r="B97" s="54" t="s">
        <v>75</v>
      </c>
      <c r="C97" s="55"/>
      <c r="D97" s="56"/>
    </row>
    <row r="98" spans="2:24" x14ac:dyDescent="0.35">
      <c r="B98" s="51" t="s">
        <v>76</v>
      </c>
      <c r="C98" s="9"/>
      <c r="D98" s="13">
        <f ca="1">RAND()*($B$102-$B$99)+$B$99</f>
        <v>-0.63134218305555212</v>
      </c>
    </row>
    <row r="99" spans="2:24" x14ac:dyDescent="0.35">
      <c r="B99" s="51">
        <v>-2</v>
      </c>
      <c r="C99" s="9"/>
      <c r="D99" s="13">
        <f t="shared" ref="D99:D103" ca="1" si="40">RAND()*($B$102-$B$99)+$B$99</f>
        <v>0.26742031498343533</v>
      </c>
    </row>
    <row r="100" spans="2:24" x14ac:dyDescent="0.35">
      <c r="B100" s="51"/>
      <c r="C100" s="9"/>
      <c r="D100" s="13">
        <f t="shared" ca="1" si="40"/>
        <v>-0.8684577113143912</v>
      </c>
    </row>
    <row r="101" spans="2:24" x14ac:dyDescent="0.35">
      <c r="B101" s="51" t="s">
        <v>77</v>
      </c>
      <c r="C101" s="9"/>
      <c r="D101" s="13">
        <f t="shared" ca="1" si="40"/>
        <v>1.79958502877802</v>
      </c>
    </row>
    <row r="102" spans="2:24" x14ac:dyDescent="0.35">
      <c r="B102" s="51">
        <f>2</f>
        <v>2</v>
      </c>
      <c r="C102" s="9"/>
      <c r="D102" s="13">
        <f t="shared" ca="1" si="40"/>
        <v>-1.2236650798724567</v>
      </c>
    </row>
    <row r="103" spans="2:24" ht="15" thickBot="1" x14ac:dyDescent="0.4">
      <c r="B103" s="52"/>
      <c r="C103" s="15"/>
      <c r="D103" s="53">
        <f t="shared" ca="1" si="40"/>
        <v>1.1878200644348218</v>
      </c>
    </row>
    <row r="107" spans="2:24" ht="15" thickBot="1" x14ac:dyDescent="0.4"/>
    <row r="108" spans="2:24" ht="21.5" thickBot="1" x14ac:dyDescent="0.55000000000000004">
      <c r="B108" s="66" t="s">
        <v>63</v>
      </c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8"/>
    </row>
    <row r="109" spans="2:24" x14ac:dyDescent="0.35">
      <c r="B109" s="69" t="s">
        <v>6</v>
      </c>
      <c r="C109" s="27">
        <v>1</v>
      </c>
      <c r="D109" s="40">
        <f>1/(1+EXP(-D135))</f>
        <v>0.12120753321974174</v>
      </c>
      <c r="E109" s="39">
        <f t="shared" ref="E109:W110" si="41">1/(1+EXP(-E135))</f>
        <v>0.12180509551538976</v>
      </c>
      <c r="F109" s="39">
        <f t="shared" si="41"/>
        <v>0.1225442680004525</v>
      </c>
      <c r="G109" s="39">
        <f t="shared" si="41"/>
        <v>0.12345907883023438</v>
      </c>
      <c r="H109" s="39">
        <f t="shared" si="41"/>
        <v>0.12459196602161092</v>
      </c>
      <c r="I109" s="39">
        <f t="shared" si="41"/>
        <v>0.12599596626602858</v>
      </c>
      <c r="J109" s="39">
        <f t="shared" si="41"/>
        <v>0.12773752066105409</v>
      </c>
      <c r="K109" s="39">
        <f t="shared" si="41"/>
        <v>0.12990008692806521</v>
      </c>
      <c r="L109" s="39">
        <f t="shared" si="41"/>
        <v>0.1325888070020457</v>
      </c>
      <c r="M109" s="39">
        <f t="shared" si="41"/>
        <v>0.13593655194425511</v>
      </c>
      <c r="N109" s="39">
        <f t="shared" si="41"/>
        <v>0.14011174880966962</v>
      </c>
      <c r="O109" s="39">
        <f t="shared" si="41"/>
        <v>0.14532847097245774</v>
      </c>
      <c r="P109" s="39">
        <f t="shared" si="41"/>
        <v>0.15185930438570341</v>
      </c>
      <c r="Q109" s="39">
        <f t="shared" si="41"/>
        <v>0.16005139715073616</v>
      </c>
      <c r="R109" s="39">
        <f t="shared" si="41"/>
        <v>0.1703456735563865</v>
      </c>
      <c r="S109" s="39">
        <f t="shared" si="41"/>
        <v>0.18329809697119528</v>
      </c>
      <c r="T109" s="39">
        <f t="shared" si="41"/>
        <v>0.19959950281272068</v>
      </c>
      <c r="U109" s="39">
        <f t="shared" si="41"/>
        <v>0.22008603272523045</v>
      </c>
      <c r="V109" s="39">
        <f t="shared" si="41"/>
        <v>0.24572474466594404</v>
      </c>
      <c r="W109" s="39">
        <f t="shared" si="41"/>
        <v>0.27754886568337273</v>
      </c>
      <c r="X109" s="41">
        <f>1/(1+EXP(-X135))</f>
        <v>0.31650860533620384</v>
      </c>
    </row>
    <row r="110" spans="2:24" x14ac:dyDescent="0.35">
      <c r="B110" s="70"/>
      <c r="C110" s="24">
        <v>0.95</v>
      </c>
      <c r="D110" s="42">
        <f>1/(1+EXP(-D136))</f>
        <v>0.12186426283805636</v>
      </c>
      <c r="E110" s="38">
        <f t="shared" si="41"/>
        <v>0.12261747536030519</v>
      </c>
      <c r="F110" s="38">
        <f t="shared" si="41"/>
        <v>0.12354970922540934</v>
      </c>
      <c r="G110" s="38">
        <f t="shared" si="41"/>
        <v>0.12470424294798771</v>
      </c>
      <c r="H110" s="38">
        <f t="shared" si="41"/>
        <v>0.12613517438600169</v>
      </c>
      <c r="I110" s="38">
        <f t="shared" si="41"/>
        <v>0.12791028933268631</v>
      </c>
      <c r="J110" s="38">
        <f t="shared" si="41"/>
        <v>0.13011475599343933</v>
      </c>
      <c r="K110" s="38">
        <f t="shared" si="41"/>
        <v>0.13285590015120916</v>
      </c>
      <c r="L110" s="38">
        <f t="shared" si="41"/>
        <v>0.13626939000964797</v>
      </c>
      <c r="M110" s="38">
        <f t="shared" si="41"/>
        <v>0.14052724273326103</v>
      </c>
      <c r="N110" s="38">
        <f t="shared" si="41"/>
        <v>0.14584813964312196</v>
      </c>
      <c r="O110" s="38">
        <f t="shared" si="41"/>
        <v>0.15251056061284363</v>
      </c>
      <c r="P110" s="38">
        <f t="shared" si="41"/>
        <v>0.16086912402966616</v>
      </c>
      <c r="Q110" s="38">
        <f t="shared" si="41"/>
        <v>0.17137405033418804</v>
      </c>
      <c r="R110" s="38">
        <f t="shared" si="41"/>
        <v>0.18459248660923852</v>
      </c>
      <c r="S110" s="38">
        <f t="shared" si="41"/>
        <v>0.20122791640569132</v>
      </c>
      <c r="T110" s="38">
        <f t="shared" si="41"/>
        <v>0.22212915524268131</v>
      </c>
      <c r="U110" s="38">
        <f t="shared" si="41"/>
        <v>0.24827269674577068</v>
      </c>
      <c r="V110" s="38">
        <f t="shared" si="41"/>
        <v>0.2806919475665054</v>
      </c>
      <c r="W110" s="38">
        <f t="shared" si="41"/>
        <v>0.32031891971716758</v>
      </c>
      <c r="X110" s="43">
        <f>1/(1+EXP(-X136))</f>
        <v>0.36771134875181444</v>
      </c>
    </row>
    <row r="111" spans="2:24" x14ac:dyDescent="0.35">
      <c r="B111" s="70"/>
      <c r="C111" s="24">
        <v>0.9</v>
      </c>
      <c r="D111" s="42">
        <f t="shared" ref="D111:X111" si="42">1/(1+EXP(-D137))</f>
        <v>0.12269207509624409</v>
      </c>
      <c r="E111" s="38">
        <f t="shared" si="42"/>
        <v>0.12364206850224034</v>
      </c>
      <c r="F111" s="38">
        <f t="shared" si="42"/>
        <v>0.12481866933992213</v>
      </c>
      <c r="G111" s="38">
        <f t="shared" si="42"/>
        <v>0.12627705890872221</v>
      </c>
      <c r="H111" s="38">
        <f t="shared" si="42"/>
        <v>0.12808639638234062</v>
      </c>
      <c r="I111" s="38">
        <f t="shared" si="42"/>
        <v>0.13033359752525606</v>
      </c>
      <c r="J111" s="38">
        <f t="shared" si="42"/>
        <v>0.13312821999593596</v>
      </c>
      <c r="K111" s="38">
        <f t="shared" si="42"/>
        <v>0.13660879134082748</v>
      </c>
      <c r="L111" s="38">
        <f t="shared" si="42"/>
        <v>0.14095099903846353</v>
      </c>
      <c r="M111" s="38">
        <f t="shared" si="42"/>
        <v>0.14637823463915861</v>
      </c>
      <c r="N111" s="38">
        <f t="shared" si="42"/>
        <v>0.15317499952186303</v>
      </c>
      <c r="O111" s="38">
        <f t="shared" si="42"/>
        <v>0.16170353504428228</v>
      </c>
      <c r="P111" s="38">
        <f t="shared" si="42"/>
        <v>0.17242352655921492</v>
      </c>
      <c r="Q111" s="38">
        <f t="shared" si="42"/>
        <v>0.18591346163894881</v>
      </c>
      <c r="R111" s="38">
        <f t="shared" si="42"/>
        <v>0.20288955242283571</v>
      </c>
      <c r="S111" s="38">
        <f t="shared" si="42"/>
        <v>0.22421316761353513</v>
      </c>
      <c r="T111" s="38">
        <f t="shared" si="42"/>
        <v>0.25086970733425873</v>
      </c>
      <c r="U111" s="38">
        <f t="shared" si="42"/>
        <v>0.28389154236299136</v>
      </c>
      <c r="V111" s="38">
        <f t="shared" si="42"/>
        <v>0.32419035021666909</v>
      </c>
      <c r="W111" s="38">
        <f t="shared" si="42"/>
        <v>0.37227390546728389</v>
      </c>
      <c r="X111" s="43">
        <f t="shared" si="42"/>
        <v>0.42787082312376323</v>
      </c>
    </row>
    <row r="112" spans="2:24" x14ac:dyDescent="0.35">
      <c r="B112" s="70"/>
      <c r="C112" s="24">
        <v>0.85</v>
      </c>
      <c r="D112" s="42">
        <f t="shared" ref="D112:X112" si="43">1/(1+EXP(-D138))</f>
        <v>0.12373619015177324</v>
      </c>
      <c r="E112" s="38">
        <f t="shared" si="43"/>
        <v>0.12493528710729017</v>
      </c>
      <c r="F112" s="38">
        <f t="shared" si="43"/>
        <v>0.12642167241414567</v>
      </c>
      <c r="G112" s="38">
        <f t="shared" si="43"/>
        <v>0.12826590796518197</v>
      </c>
      <c r="H112" s="38">
        <f t="shared" si="43"/>
        <v>0.13055669501436709</v>
      </c>
      <c r="I112" s="38">
        <f t="shared" si="43"/>
        <v>0.13340587223609676</v>
      </c>
      <c r="J112" s="38">
        <f t="shared" si="43"/>
        <v>0.13695489014914847</v>
      </c>
      <c r="K112" s="38">
        <f t="shared" si="43"/>
        <v>0.14138318853922918</v>
      </c>
      <c r="L112" s="38">
        <f t="shared" si="43"/>
        <v>0.14691897360037423</v>
      </c>
      <c r="M112" s="38">
        <f t="shared" si="43"/>
        <v>0.15385289810821004</v>
      </c>
      <c r="N112" s="38">
        <f t="shared" si="43"/>
        <v>0.16255498104870769</v>
      </c>
      <c r="O112" s="38">
        <f t="shared" si="43"/>
        <v>0.17349454190498192</v>
      </c>
      <c r="P112" s="38">
        <f t="shared" si="43"/>
        <v>0.18726156206036984</v>
      </c>
      <c r="Q112" s="38">
        <f t="shared" si="43"/>
        <v>0.20458505103782282</v>
      </c>
      <c r="R112" s="38">
        <f t="shared" si="43"/>
        <v>0.22633878357824957</v>
      </c>
      <c r="S112" s="38">
        <f t="shared" si="43"/>
        <v>0.25351648827010159</v>
      </c>
      <c r="T112" s="38">
        <f t="shared" si="43"/>
        <v>0.28714821033829269</v>
      </c>
      <c r="U112" s="38">
        <f t="shared" si="43"/>
        <v>0.32812307114271205</v>
      </c>
      <c r="V112" s="38">
        <f t="shared" si="43"/>
        <v>0.37689587805352914</v>
      </c>
      <c r="W112" s="38">
        <f t="shared" si="43"/>
        <v>0.43310782465776543</v>
      </c>
      <c r="X112" s="43">
        <f t="shared" si="43"/>
        <v>0.49525138448602735</v>
      </c>
    </row>
    <row r="113" spans="2:24" x14ac:dyDescent="0.35">
      <c r="B113" s="70"/>
      <c r="C113" s="24">
        <v>0.8</v>
      </c>
      <c r="D113" s="42">
        <f t="shared" ref="D113:X113" si="44">1/(1+EXP(-D139))</f>
        <v>0.12505413900380236</v>
      </c>
      <c r="E113" s="38">
        <f t="shared" si="44"/>
        <v>0.12656906855385183</v>
      </c>
      <c r="F113" s="38">
        <f t="shared" si="44"/>
        <v>0.12844889160249331</v>
      </c>
      <c r="G113" s="38">
        <f t="shared" si="44"/>
        <v>0.13078413369933178</v>
      </c>
      <c r="H113" s="38">
        <f t="shared" si="44"/>
        <v>0.13368896481358519</v>
      </c>
      <c r="I113" s="38">
        <f t="shared" si="44"/>
        <v>0.13730782352551552</v>
      </c>
      <c r="J113" s="38">
        <f t="shared" si="44"/>
        <v>0.14182398574218169</v>
      </c>
      <c r="K113" s="38">
        <f t="shared" si="44"/>
        <v>0.14747057887349041</v>
      </c>
      <c r="L113" s="38">
        <f t="shared" si="44"/>
        <v>0.15454453928758285</v>
      </c>
      <c r="M113" s="38">
        <f t="shared" si="44"/>
        <v>0.16342382015677737</v>
      </c>
      <c r="N113" s="38">
        <f t="shared" si="44"/>
        <v>0.17458754454400191</v>
      </c>
      <c r="O113" s="38">
        <f t="shared" si="44"/>
        <v>0.1886373369923543</v>
      </c>
      <c r="P113" s="38">
        <f t="shared" si="44"/>
        <v>0.20631506053344909</v>
      </c>
      <c r="Q113" s="38">
        <f t="shared" si="44"/>
        <v>0.22850672066364489</v>
      </c>
      <c r="R113" s="38">
        <f t="shared" si="44"/>
        <v>0.25621374527691826</v>
      </c>
      <c r="S113" s="38">
        <f t="shared" si="44"/>
        <v>0.29046248824154203</v>
      </c>
      <c r="T113" s="38">
        <f t="shared" si="44"/>
        <v>0.3321172092318736</v>
      </c>
      <c r="U113" s="38">
        <f t="shared" si="44"/>
        <v>0.38157670349689254</v>
      </c>
      <c r="V113" s="38">
        <f t="shared" si="44"/>
        <v>0.43839197067482977</v>
      </c>
      <c r="W113" s="38">
        <f t="shared" si="44"/>
        <v>0.50094497907942293</v>
      </c>
      <c r="X113" s="43">
        <f t="shared" si="44"/>
        <v>0.56641620256026814</v>
      </c>
    </row>
    <row r="114" spans="2:24" x14ac:dyDescent="0.35">
      <c r="B114" s="70"/>
      <c r="C114" s="24">
        <v>0.75</v>
      </c>
      <c r="D114" s="42">
        <f t="shared" ref="D114:X114" si="45">1/(1+EXP(-D140))</f>
        <v>0.12671930207411786</v>
      </c>
      <c r="E114" s="38">
        <f t="shared" si="45"/>
        <v>0.12863541621154989</v>
      </c>
      <c r="F114" s="38">
        <f t="shared" si="45"/>
        <v>0.13101600060514187</v>
      </c>
      <c r="G114" s="38">
        <f t="shared" si="45"/>
        <v>0.13397760796241062</v>
      </c>
      <c r="H114" s="38">
        <f t="shared" si="45"/>
        <v>0.13766773150470313</v>
      </c>
      <c r="I114" s="38">
        <f t="shared" si="45"/>
        <v>0.14227356892789123</v>
      </c>
      <c r="J114" s="38">
        <f t="shared" si="45"/>
        <v>0.14803327761173909</v>
      </c>
      <c r="K114" s="38">
        <f t="shared" si="45"/>
        <v>0.15525021201113201</v>
      </c>
      <c r="L114" s="38">
        <f t="shared" si="45"/>
        <v>0.16431041786061956</v>
      </c>
      <c r="M114" s="38">
        <f t="shared" si="45"/>
        <v>0.17570299123820027</v>
      </c>
      <c r="N114" s="38">
        <f t="shared" si="45"/>
        <v>0.19004134466850456</v>
      </c>
      <c r="O114" s="38">
        <f t="shared" si="45"/>
        <v>0.20808023708321163</v>
      </c>
      <c r="P114" s="38">
        <f t="shared" si="45"/>
        <v>0.2307176995677559</v>
      </c>
      <c r="Q114" s="38">
        <f t="shared" si="45"/>
        <v>0.25896217674429423</v>
      </c>
      <c r="R114" s="38">
        <f t="shared" si="45"/>
        <v>0.29383488739775598</v>
      </c>
      <c r="S114" s="38">
        <f t="shared" si="45"/>
        <v>0.33617284138028714</v>
      </c>
      <c r="T114" s="38">
        <f t="shared" si="45"/>
        <v>0.38631574602154717</v>
      </c>
      <c r="U114" s="38">
        <f t="shared" si="45"/>
        <v>0.4437217389144763</v>
      </c>
      <c r="V114" s="38">
        <f t="shared" si="45"/>
        <v>0.50666189588935773</v>
      </c>
      <c r="W114" s="38">
        <f t="shared" si="45"/>
        <v>0.57222409091403281</v>
      </c>
      <c r="X114" s="43">
        <f t="shared" si="45"/>
        <v>0.63678520222360457</v>
      </c>
    </row>
    <row r="115" spans="2:24" x14ac:dyDescent="0.35">
      <c r="B115" s="70"/>
      <c r="C115" s="24">
        <v>0.7</v>
      </c>
      <c r="D115" s="42">
        <f t="shared" ref="D115:X115" si="46">1/(1+EXP(-D141))</f>
        <v>0.12882555213618616</v>
      </c>
      <c r="E115" s="38">
        <f t="shared" si="46"/>
        <v>0.13125238458284283</v>
      </c>
      <c r="F115" s="38">
        <f t="shared" si="46"/>
        <v>0.13427191425992935</v>
      </c>
      <c r="G115" s="38">
        <f t="shared" si="46"/>
        <v>0.13803475713107188</v>
      </c>
      <c r="H115" s="38">
        <f t="shared" si="46"/>
        <v>0.14273212023374696</v>
      </c>
      <c r="I115" s="38">
        <f t="shared" si="46"/>
        <v>0.14860730187603724</v>
      </c>
      <c r="J115" s="38">
        <f t="shared" si="46"/>
        <v>0.1559702113816509</v>
      </c>
      <c r="K115" s="38">
        <f t="shared" si="46"/>
        <v>0.16521514714840135</v>
      </c>
      <c r="L115" s="38">
        <f t="shared" si="46"/>
        <v>0.17684134742430169</v>
      </c>
      <c r="M115" s="38">
        <f t="shared" si="46"/>
        <v>0.19147415241991642</v>
      </c>
      <c r="N115" s="38">
        <f t="shared" si="46"/>
        <v>0.20988124450601003</v>
      </c>
      <c r="O115" s="38">
        <f t="shared" si="46"/>
        <v>0.23297244349933305</v>
      </c>
      <c r="P115" s="38">
        <f t="shared" si="46"/>
        <v>0.26176247244775036</v>
      </c>
      <c r="Q115" s="38">
        <f t="shared" si="46"/>
        <v>0.29726589174621815</v>
      </c>
      <c r="R115" s="38">
        <f t="shared" si="46"/>
        <v>0.34028999238082303</v>
      </c>
      <c r="S115" s="38">
        <f t="shared" si="46"/>
        <v>0.39111229560462996</v>
      </c>
      <c r="T115" s="38">
        <f t="shared" si="46"/>
        <v>0.4490955286816295</v>
      </c>
      <c r="U115" s="38">
        <f t="shared" si="46"/>
        <v>0.51239978126519425</v>
      </c>
      <c r="V115" s="38">
        <f t="shared" si="46"/>
        <v>0.57802408289624052</v>
      </c>
      <c r="W115" s="38">
        <f t="shared" si="46"/>
        <v>0.64231960456105075</v>
      </c>
      <c r="X115" s="43">
        <f t="shared" si="46"/>
        <v>0.7018361529855498</v>
      </c>
    </row>
    <row r="116" spans="2:24" x14ac:dyDescent="0.35">
      <c r="B116" s="70"/>
      <c r="C116" s="24">
        <v>0.65</v>
      </c>
      <c r="D116" s="42">
        <f t="shared" ref="D116:X116" si="47">1/(1+EXP(-D142))</f>
        <v>0.1314933763500718</v>
      </c>
      <c r="E116" s="38">
        <f t="shared" si="47"/>
        <v>0.13457199867923825</v>
      </c>
      <c r="F116" s="38">
        <f t="shared" si="47"/>
        <v>0.13840904652570307</v>
      </c>
      <c r="G116" s="38">
        <f t="shared" si="47"/>
        <v>0.14319982573844003</v>
      </c>
      <c r="H116" s="38">
        <f t="shared" si="47"/>
        <v>0.14919288873771838</v>
      </c>
      <c r="I116" s="38">
        <f t="shared" si="47"/>
        <v>0.15670483877065841</v>
      </c>
      <c r="J116" s="38">
        <f t="shared" si="47"/>
        <v>0.16613838862098484</v>
      </c>
      <c r="K116" s="38">
        <f t="shared" si="47"/>
        <v>0.17800308729365669</v>
      </c>
      <c r="L116" s="38">
        <f t="shared" si="47"/>
        <v>0.19293633664375273</v>
      </c>
      <c r="M116" s="38">
        <f t="shared" si="47"/>
        <v>0.21171875399249726</v>
      </c>
      <c r="N116" s="38">
        <f t="shared" si="47"/>
        <v>0.23527167747029901</v>
      </c>
      <c r="O116" s="38">
        <f t="shared" si="47"/>
        <v>0.26461531220695539</v>
      </c>
      <c r="P116" s="38">
        <f t="shared" si="47"/>
        <v>0.30075595582778847</v>
      </c>
      <c r="Q116" s="38">
        <f t="shared" si="47"/>
        <v>0.34446863267503947</v>
      </c>
      <c r="R116" s="38">
        <f t="shared" si="47"/>
        <v>0.39596556663218657</v>
      </c>
      <c r="S116" s="38">
        <f t="shared" si="47"/>
        <v>0.4545116618727274</v>
      </c>
      <c r="T116" s="38">
        <f t="shared" si="47"/>
        <v>0.51815623398213673</v>
      </c>
      <c r="U116" s="38">
        <f t="shared" si="47"/>
        <v>0.58381356489627545</v>
      </c>
      <c r="V116" s="38">
        <f t="shared" si="47"/>
        <v>0.64781601534752919</v>
      </c>
      <c r="W116" s="38">
        <f t="shared" si="47"/>
        <v>0.70677292678123305</v>
      </c>
      <c r="X116" s="43">
        <f t="shared" si="47"/>
        <v>0.75832665052847337</v>
      </c>
    </row>
    <row r="117" spans="2:24" x14ac:dyDescent="0.35">
      <c r="B117" s="70"/>
      <c r="C117" s="24">
        <v>0.6</v>
      </c>
      <c r="D117" s="42">
        <f t="shared" ref="D117:X117" si="48">1/(1+EXP(-D143))</f>
        <v>0.13487797864275317</v>
      </c>
      <c r="E117" s="38">
        <f t="shared" si="48"/>
        <v>0.13879074895497315</v>
      </c>
      <c r="F117" s="38">
        <f t="shared" si="48"/>
        <v>0.14367687554806394</v>
      </c>
      <c r="G117" s="38">
        <f t="shared" si="48"/>
        <v>0.14979028038279485</v>
      </c>
      <c r="H117" s="38">
        <f t="shared" si="48"/>
        <v>0.15745440193626317</v>
      </c>
      <c r="I117" s="38">
        <f t="shared" si="48"/>
        <v>0.16708053060722075</v>
      </c>
      <c r="J117" s="38">
        <f t="shared" si="48"/>
        <v>0.17918869386593711</v>
      </c>
      <c r="K117" s="38">
        <f t="shared" si="48"/>
        <v>0.19442848275663255</v>
      </c>
      <c r="L117" s="38">
        <f t="shared" si="48"/>
        <v>0.21359344380155268</v>
      </c>
      <c r="M117" s="38">
        <f t="shared" si="48"/>
        <v>0.23761612753949141</v>
      </c>
      <c r="N117" s="38">
        <f t="shared" si="48"/>
        <v>0.26752136448167424</v>
      </c>
      <c r="O117" s="38">
        <f t="shared" si="48"/>
        <v>0.30430550272433987</v>
      </c>
      <c r="P117" s="38">
        <f t="shared" si="48"/>
        <v>0.34870867612899448</v>
      </c>
      <c r="Q117" s="38">
        <f t="shared" si="48"/>
        <v>0.40087469670828302</v>
      </c>
      <c r="R117" s="38">
        <f t="shared" si="48"/>
        <v>0.45996838426222048</v>
      </c>
      <c r="S117" s="38">
        <f t="shared" si="48"/>
        <v>0.5239288093751383</v>
      </c>
      <c r="T117" s="38">
        <f t="shared" si="48"/>
        <v>0.58958993613078603</v>
      </c>
      <c r="U117" s="38">
        <f t="shared" si="48"/>
        <v>0.65327231772746086</v>
      </c>
      <c r="V117" s="38">
        <f t="shared" si="48"/>
        <v>0.71165098173398933</v>
      </c>
      <c r="W117" s="38">
        <f t="shared" si="48"/>
        <v>0.7624822169787262</v>
      </c>
      <c r="X117" s="43">
        <f t="shared" si="48"/>
        <v>0.80486650709064733</v>
      </c>
    </row>
    <row r="118" spans="2:24" x14ac:dyDescent="0.35">
      <c r="B118" s="70"/>
      <c r="C118" s="24">
        <v>0.55000000000000004</v>
      </c>
      <c r="D118" s="42">
        <f t="shared" ref="D118:X118" si="49">1/(1+EXP(-D144))</f>
        <v>0.13918001690058751</v>
      </c>
      <c r="E118" s="38">
        <f t="shared" si="49"/>
        <v>0.14416346388384074</v>
      </c>
      <c r="F118" s="38">
        <f t="shared" si="49"/>
        <v>0.15039972421771891</v>
      </c>
      <c r="G118" s="38">
        <f t="shared" si="49"/>
        <v>0.15821921514169104</v>
      </c>
      <c r="H118" s="38">
        <f t="shared" si="49"/>
        <v>0.16804196927758433</v>
      </c>
      <c r="I118" s="38">
        <f t="shared" si="49"/>
        <v>0.18039865905610136</v>
      </c>
      <c r="J118" s="38">
        <f t="shared" si="49"/>
        <v>0.19595118513177134</v>
      </c>
      <c r="K118" s="38">
        <f t="shared" si="49"/>
        <v>0.21550599892531783</v>
      </c>
      <c r="L118" s="38">
        <f t="shared" si="49"/>
        <v>0.24000652000604825</v>
      </c>
      <c r="M118" s="38">
        <f t="shared" si="49"/>
        <v>0.27048128490516926</v>
      </c>
      <c r="N118" s="38">
        <f t="shared" si="49"/>
        <v>0.30791492195398062</v>
      </c>
      <c r="O118" s="38">
        <f t="shared" si="49"/>
        <v>0.3530099778425223</v>
      </c>
      <c r="P118" s="38">
        <f t="shared" si="49"/>
        <v>0.40583874562952033</v>
      </c>
      <c r="Q118" s="38">
        <f t="shared" si="49"/>
        <v>0.4654638670532032</v>
      </c>
      <c r="R118" s="38">
        <f t="shared" si="49"/>
        <v>0.5297150236720245</v>
      </c>
      <c r="S118" s="38">
        <f t="shared" si="49"/>
        <v>0.59535061388078447</v>
      </c>
      <c r="T118" s="38">
        <f t="shared" si="49"/>
        <v>0.65868646302190992</v>
      </c>
      <c r="U118" s="38">
        <f t="shared" si="49"/>
        <v>0.71646919153067645</v>
      </c>
      <c r="V118" s="38">
        <f t="shared" si="49"/>
        <v>0.76657106995588209</v>
      </c>
      <c r="W118" s="38">
        <f t="shared" si="49"/>
        <v>0.80820694133676696</v>
      </c>
      <c r="X118" s="43">
        <f t="shared" si="49"/>
        <v>0.84169912850765038</v>
      </c>
    </row>
    <row r="119" spans="2:24" x14ac:dyDescent="0.35">
      <c r="B119" s="70"/>
      <c r="C119" s="24">
        <v>0.5</v>
      </c>
      <c r="D119" s="42">
        <f t="shared" ref="D119:X119" si="50">1/(1+EXP(-D145))</f>
        <v>0.14465978917147723</v>
      </c>
      <c r="E119" s="38">
        <f t="shared" si="50"/>
        <v>0.15102147297660581</v>
      </c>
      <c r="F119" s="38">
        <f t="shared" si="50"/>
        <v>0.15899959927434565</v>
      </c>
      <c r="G119" s="38">
        <f t="shared" si="50"/>
        <v>0.16902310875584101</v>
      </c>
      <c r="H119" s="38">
        <f t="shared" si="50"/>
        <v>0.18163348373399152</v>
      </c>
      <c r="I119" s="38">
        <f t="shared" si="50"/>
        <v>0.19750504701876695</v>
      </c>
      <c r="J119" s="38">
        <f t="shared" si="50"/>
        <v>0.21745711072119758</v>
      </c>
      <c r="K119" s="38">
        <f t="shared" si="50"/>
        <v>0.24244358055084431</v>
      </c>
      <c r="L119" s="38">
        <f t="shared" si="50"/>
        <v>0.27349571475499151</v>
      </c>
      <c r="M119" s="38">
        <f t="shared" si="50"/>
        <v>0.31158456732621392</v>
      </c>
      <c r="N119" s="38">
        <f t="shared" si="50"/>
        <v>0.35737233200205942</v>
      </c>
      <c r="O119" s="38">
        <f t="shared" si="50"/>
        <v>0.41085669453697954</v>
      </c>
      <c r="P119" s="38">
        <f t="shared" si="50"/>
        <v>0.47099620869455799</v>
      </c>
      <c r="Q119" s="38">
        <f t="shared" si="50"/>
        <v>0.53551235851029211</v>
      </c>
      <c r="R119" s="38">
        <f t="shared" si="50"/>
        <v>0.60109303867008168</v>
      </c>
      <c r="S119" s="38">
        <f t="shared" si="50"/>
        <v>0.66405647385439481</v>
      </c>
      <c r="T119" s="38">
        <f t="shared" si="50"/>
        <v>0.72122651698740681</v>
      </c>
      <c r="U119" s="38">
        <f t="shared" si="50"/>
        <v>0.77059308443062513</v>
      </c>
      <c r="V119" s="38">
        <f t="shared" si="50"/>
        <v>0.81148336124611775</v>
      </c>
      <c r="W119" s="38">
        <f t="shared" si="50"/>
        <v>0.84429718729419212</v>
      </c>
      <c r="X119" s="43">
        <f t="shared" si="50"/>
        <v>0.87005946166965076</v>
      </c>
    </row>
    <row r="120" spans="2:24" x14ac:dyDescent="0.35">
      <c r="B120" s="70"/>
      <c r="C120" s="24">
        <v>0.45</v>
      </c>
      <c r="D120" s="42">
        <f t="shared" ref="D120:X120" si="51">1/(1+EXP(-D146))</f>
        <v>0.15165578482987599</v>
      </c>
      <c r="E120" s="38">
        <f t="shared" si="51"/>
        <v>0.15979588196525901</v>
      </c>
      <c r="F120" s="38">
        <f t="shared" si="51"/>
        <v>0.17002436122840248</v>
      </c>
      <c r="G120" s="38">
        <f t="shared" si="51"/>
        <v>0.18289367777589133</v>
      </c>
      <c r="H120" s="38">
        <f t="shared" si="51"/>
        <v>0.19909068044487307</v>
      </c>
      <c r="I120" s="38">
        <f t="shared" si="51"/>
        <v>0.21944747650920171</v>
      </c>
      <c r="J120" s="38">
        <f t="shared" si="51"/>
        <v>0.24492803332443033</v>
      </c>
      <c r="K120" s="38">
        <f t="shared" si="51"/>
        <v>0.27656527936136144</v>
      </c>
      <c r="L120" s="38">
        <f t="shared" si="51"/>
        <v>0.31531475476167364</v>
      </c>
      <c r="M120" s="38">
        <f t="shared" si="51"/>
        <v>0.3617954697875615</v>
      </c>
      <c r="N120" s="38">
        <f t="shared" si="51"/>
        <v>0.41592744525730002</v>
      </c>
      <c r="O120" s="38">
        <f t="shared" si="51"/>
        <v>0.47656343696554959</v>
      </c>
      <c r="P120" s="38">
        <f t="shared" si="51"/>
        <v>0.54131826562063334</v>
      </c>
      <c r="Q120" s="38">
        <f t="shared" si="51"/>
        <v>0.60681467936207223</v>
      </c>
      <c r="R120" s="38">
        <f t="shared" si="51"/>
        <v>0.66938044700708021</v>
      </c>
      <c r="S120" s="38">
        <f t="shared" si="51"/>
        <v>0.72592200576114796</v>
      </c>
      <c r="T120" s="38">
        <f t="shared" si="51"/>
        <v>0.77454820491466736</v>
      </c>
      <c r="U120" s="38">
        <f t="shared" si="51"/>
        <v>0.81469631911709428</v>
      </c>
      <c r="V120" s="38">
        <f t="shared" si="51"/>
        <v>0.84684005517589656</v>
      </c>
      <c r="W120" s="38">
        <f t="shared" si="51"/>
        <v>0.87203836149920799</v>
      </c>
      <c r="X120" s="43">
        <f t="shared" si="51"/>
        <v>0.89154236567405021</v>
      </c>
    </row>
    <row r="121" spans="2:24" x14ac:dyDescent="0.35">
      <c r="B121" s="70"/>
      <c r="C121" s="24">
        <v>0.4</v>
      </c>
      <c r="D121" s="42">
        <f t="shared" ref="D121:X121" si="52">1/(1+EXP(-D147))</f>
        <v>0.16060839770877747</v>
      </c>
      <c r="E121" s="38">
        <f t="shared" si="52"/>
        <v>0.17104614705101456</v>
      </c>
      <c r="F121" s="38">
        <f t="shared" si="52"/>
        <v>0.18417976010733383</v>
      </c>
      <c r="G121" s="38">
        <f t="shared" si="52"/>
        <v>0.20070870609656266</v>
      </c>
      <c r="H121" s="38">
        <f t="shared" si="52"/>
        <v>0.22147779913297067</v>
      </c>
      <c r="I121" s="38">
        <f t="shared" si="52"/>
        <v>0.24746059998000813</v>
      </c>
      <c r="J121" s="38">
        <f t="shared" si="52"/>
        <v>0.27969058645361133</v>
      </c>
      <c r="K121" s="38">
        <f t="shared" si="52"/>
        <v>0.31910576008160407</v>
      </c>
      <c r="L121" s="38">
        <f t="shared" si="52"/>
        <v>0.36627905734447341</v>
      </c>
      <c r="M121" s="38">
        <f t="shared" si="52"/>
        <v>0.42104981984419215</v>
      </c>
      <c r="N121" s="38">
        <f t="shared" si="52"/>
        <v>0.48216351132729274</v>
      </c>
      <c r="O121" s="38">
        <f t="shared" si="52"/>
        <v>0.54713017165895039</v>
      </c>
      <c r="P121" s="38">
        <f t="shared" si="52"/>
        <v>0.61251303815240954</v>
      </c>
      <c r="Q121" s="38">
        <f t="shared" si="52"/>
        <v>0.67465655600015928</v>
      </c>
      <c r="R121" s="38">
        <f t="shared" si="52"/>
        <v>0.73055479181721628</v>
      </c>
      <c r="S121" s="38">
        <f t="shared" si="52"/>
        <v>0.77843644306165127</v>
      </c>
      <c r="T121" s="38">
        <f t="shared" si="52"/>
        <v>0.81784640463953184</v>
      </c>
      <c r="U121" s="38">
        <f t="shared" si="52"/>
        <v>0.84932857985869059</v>
      </c>
      <c r="V121" s="38">
        <f t="shared" si="52"/>
        <v>0.87397284606029613</v>
      </c>
      <c r="W121" s="38">
        <f t="shared" si="52"/>
        <v>0.89303314882267559</v>
      </c>
      <c r="X121" s="43">
        <f t="shared" si="52"/>
        <v>0.90769198943907958</v>
      </c>
    </row>
    <row r="122" spans="2:24" x14ac:dyDescent="0.35">
      <c r="B122" s="70"/>
      <c r="C122" s="24">
        <v>0.35</v>
      </c>
      <c r="D122" s="42">
        <f t="shared" ref="D122:X122" si="53">1/(1+EXP(-D148))</f>
        <v>0.17208889485239018</v>
      </c>
      <c r="E122" s="38">
        <f t="shared" si="53"/>
        <v>0.18549225873641162</v>
      </c>
      <c r="F122" s="38">
        <f t="shared" si="53"/>
        <v>0.2023597531801308</v>
      </c>
      <c r="G122" s="38">
        <f t="shared" si="53"/>
        <v>0.22354878648281098</v>
      </c>
      <c r="H122" s="38">
        <f t="shared" si="53"/>
        <v>0.25004199865003918</v>
      </c>
      <c r="I122" s="38">
        <f t="shared" si="53"/>
        <v>0.28287222444546178</v>
      </c>
      <c r="J122" s="38">
        <f t="shared" si="53"/>
        <v>0.3229578167727632</v>
      </c>
      <c r="K122" s="38">
        <f t="shared" si="53"/>
        <v>0.37082269383209576</v>
      </c>
      <c r="L122" s="38">
        <f t="shared" si="53"/>
        <v>0.42622256033115108</v>
      </c>
      <c r="M122" s="38">
        <f t="shared" si="53"/>
        <v>0.48779432553895069</v>
      </c>
      <c r="N122" s="38">
        <f t="shared" si="53"/>
        <v>0.55294548316742098</v>
      </c>
      <c r="O122" s="38">
        <f t="shared" si="53"/>
        <v>0.61818565543581305</v>
      </c>
      <c r="P122" s="38">
        <f t="shared" si="53"/>
        <v>0.67988305338899757</v>
      </c>
      <c r="Q122" s="38">
        <f t="shared" si="53"/>
        <v>0.73512409466360096</v>
      </c>
      <c r="R122" s="38">
        <f t="shared" si="53"/>
        <v>0.78225787518876166</v>
      </c>
      <c r="S122" s="38">
        <f t="shared" si="53"/>
        <v>0.82093424232536227</v>
      </c>
      <c r="T122" s="38">
        <f t="shared" si="53"/>
        <v>0.85176361913369691</v>
      </c>
      <c r="U122" s="38">
        <f t="shared" si="53"/>
        <v>0.87586378623036176</v>
      </c>
      <c r="V122" s="38">
        <f t="shared" si="53"/>
        <v>0.89448968483090219</v>
      </c>
      <c r="W122" s="38">
        <f t="shared" si="53"/>
        <v>0.90881086503125674</v>
      </c>
      <c r="X122" s="43">
        <f t="shared" si="53"/>
        <v>0.91981499953755519</v>
      </c>
    </row>
    <row r="123" spans="2:24" x14ac:dyDescent="0.35">
      <c r="B123" s="70"/>
      <c r="C123" s="24">
        <v>0.3</v>
      </c>
      <c r="D123" s="42">
        <f t="shared" ref="D123:X123" si="54">1/(1+EXP(-D149))</f>
        <v>0.18683171077680136</v>
      </c>
      <c r="E123" s="38">
        <f t="shared" si="54"/>
        <v>0.20404445926004378</v>
      </c>
      <c r="F123" s="38">
        <f t="shared" si="54"/>
        <v>0.22566115097904449</v>
      </c>
      <c r="G123" s="38">
        <f t="shared" si="54"/>
        <v>0.25267294286519887</v>
      </c>
      <c r="H123" s="38">
        <f t="shared" si="54"/>
        <v>0.28611076066022917</v>
      </c>
      <c r="I123" s="38">
        <f t="shared" si="54"/>
        <v>0.32687111373398442</v>
      </c>
      <c r="J123" s="38">
        <f t="shared" si="54"/>
        <v>0.37542590956001803</v>
      </c>
      <c r="K123" s="38">
        <f t="shared" si="54"/>
        <v>0.43144432870552796</v>
      </c>
      <c r="L123" s="38">
        <f t="shared" si="54"/>
        <v>0.49345371053490511</v>
      </c>
      <c r="M123" s="38">
        <f t="shared" si="54"/>
        <v>0.55876159164413775</v>
      </c>
      <c r="N123" s="38">
        <f t="shared" si="54"/>
        <v>0.62383011452610049</v>
      </c>
      <c r="O123" s="38">
        <f t="shared" si="54"/>
        <v>0.68505827277539011</v>
      </c>
      <c r="P123" s="38">
        <f t="shared" si="54"/>
        <v>0.73962921836389539</v>
      </c>
      <c r="Q123" s="38">
        <f t="shared" si="54"/>
        <v>0.78601263973241153</v>
      </c>
      <c r="R123" s="38">
        <f t="shared" si="54"/>
        <v>0.82396048898591401</v>
      </c>
      <c r="S123" s="38">
        <f t="shared" si="54"/>
        <v>0.85414603915567133</v>
      </c>
      <c r="T123" s="38">
        <f t="shared" si="54"/>
        <v>0.87771204718078322</v>
      </c>
      <c r="U123" s="38">
        <f t="shared" si="54"/>
        <v>0.89591273174770836</v>
      </c>
      <c r="V123" s="38">
        <f t="shared" si="54"/>
        <v>0.90990397176363036</v>
      </c>
      <c r="W123" s="38">
        <f t="shared" si="54"/>
        <v>0.92065570925939944</v>
      </c>
      <c r="X123" s="43">
        <f t="shared" si="54"/>
        <v>0.92893872523927024</v>
      </c>
    </row>
    <row r="124" spans="2:24" x14ac:dyDescent="0.35">
      <c r="B124" s="70"/>
      <c r="C124" s="24">
        <v>0.25</v>
      </c>
      <c r="D124" s="42">
        <f t="shared" ref="D124:X124" si="55">1/(1+EXP(-D150))</f>
        <v>0.20576347007369536</v>
      </c>
      <c r="E124" s="38">
        <f t="shared" si="55"/>
        <v>0.22781560901396697</v>
      </c>
      <c r="F124" s="38">
        <f t="shared" si="55"/>
        <v>0.25535414041448279</v>
      </c>
      <c r="G124" s="38">
        <f t="shared" si="55"/>
        <v>0.28940673949740486</v>
      </c>
      <c r="H124" s="38">
        <f t="shared" si="55"/>
        <v>0.33084579301115608</v>
      </c>
      <c r="I124" s="38">
        <f t="shared" si="55"/>
        <v>0.38008816422457103</v>
      </c>
      <c r="J124" s="38">
        <f t="shared" si="55"/>
        <v>0.43671370711336388</v>
      </c>
      <c r="K124" s="38">
        <f t="shared" si="55"/>
        <v>0.49913943755749723</v>
      </c>
      <c r="L124" s="38">
        <f t="shared" si="55"/>
        <v>0.5645758786999121</v>
      </c>
      <c r="M124" s="38">
        <f t="shared" si="55"/>
        <v>0.6294440462095735</v>
      </c>
      <c r="N124" s="38">
        <f t="shared" si="55"/>
        <v>0.69018063053102208</v>
      </c>
      <c r="O124" s="38">
        <f>1/(1+EXP(-O150))</f>
        <v>0.74406955034132638</v>
      </c>
      <c r="P124" s="38">
        <f t="shared" si="55"/>
        <v>0.78970093465093971</v>
      </c>
      <c r="Q124" s="38">
        <f t="shared" si="55"/>
        <v>0.82692583126181507</v>
      </c>
      <c r="R124" s="38">
        <f t="shared" si="55"/>
        <v>0.85647671280211735</v>
      </c>
      <c r="S124" s="38">
        <f t="shared" si="55"/>
        <v>0.87951848757155171</v>
      </c>
      <c r="T124" s="38">
        <f t="shared" si="55"/>
        <v>0.89730303576203518</v>
      </c>
      <c r="U124" s="38">
        <f t="shared" si="55"/>
        <v>0.91097191442629311</v>
      </c>
      <c r="V124" s="38">
        <f t="shared" si="55"/>
        <v>0.92147725739537856</v>
      </c>
      <c r="W124" s="38">
        <f t="shared" si="55"/>
        <v>0.9295730105121347</v>
      </c>
      <c r="X124" s="43">
        <f t="shared" si="55"/>
        <v>0.9358385355003872</v>
      </c>
    </row>
    <row r="125" spans="2:24" x14ac:dyDescent="0.35">
      <c r="B125" s="70"/>
      <c r="C125" s="24">
        <v>0.2</v>
      </c>
      <c r="D125" s="42">
        <f t="shared" ref="D125:X125" si="56">1/(1+EXP(-D151))</f>
        <v>0.23001288035070441</v>
      </c>
      <c r="E125" s="38">
        <f t="shared" si="56"/>
        <v>0.25808629214541207</v>
      </c>
      <c r="F125" s="38">
        <f t="shared" si="56"/>
        <v>0.29276068054241777</v>
      </c>
      <c r="G125" s="38">
        <f t="shared" si="56"/>
        <v>0.3348819475279412</v>
      </c>
      <c r="H125" s="38">
        <f t="shared" si="56"/>
        <v>0.38480884525746267</v>
      </c>
      <c r="I125" s="38">
        <f t="shared" si="56"/>
        <v>0.44202919830356024</v>
      </c>
      <c r="J125" s="38">
        <f t="shared" si="56"/>
        <v>0.50484922153827272</v>
      </c>
      <c r="K125" s="38">
        <f t="shared" si="56"/>
        <v>0.57038572128008957</v>
      </c>
      <c r="L125" s="38">
        <f t="shared" si="56"/>
        <v>0.63502513311302544</v>
      </c>
      <c r="M125" s="38">
        <f t="shared" si="56"/>
        <v>0.69524862723293979</v>
      </c>
      <c r="N125" s="38">
        <f t="shared" si="56"/>
        <v>0.74844455998695802</v>
      </c>
      <c r="O125" s="38">
        <f t="shared" si="56"/>
        <v>0.79332301478679701</v>
      </c>
      <c r="P125" s="38">
        <f t="shared" si="56"/>
        <v>0.82983098321082316</v>
      </c>
      <c r="Q125" s="38">
        <f t="shared" si="56"/>
        <v>0.85875651811282783</v>
      </c>
      <c r="R125" s="38">
        <f t="shared" si="56"/>
        <v>0.88128395880810084</v>
      </c>
      <c r="S125" s="38">
        <f t="shared" si="56"/>
        <v>0.89866133099899537</v>
      </c>
      <c r="T125" s="38">
        <f t="shared" si="56"/>
        <v>0.912015285342203</v>
      </c>
      <c r="U125" s="38">
        <f t="shared" si="56"/>
        <v>0.92228010380256975</v>
      </c>
      <c r="V125" s="38">
        <f t="shared" si="56"/>
        <v>0.93019309557617758</v>
      </c>
      <c r="W125" s="38">
        <f t="shared" si="56"/>
        <v>0.93631976554734886</v>
      </c>
      <c r="X125" s="43">
        <f t="shared" si="56"/>
        <v>0.94108735079951344</v>
      </c>
    </row>
    <row r="126" spans="2:24" x14ac:dyDescent="0.35">
      <c r="B126" s="70"/>
      <c r="C126" s="24">
        <v>0.15</v>
      </c>
      <c r="D126" s="42">
        <f t="shared" ref="D126:X126" si="57">1/(1+EXP(-D152))</f>
        <v>0.26087009070342559</v>
      </c>
      <c r="E126" s="38">
        <f t="shared" si="57"/>
        <v>0.29617307662178582</v>
      </c>
      <c r="F126" s="38">
        <f t="shared" si="57"/>
        <v>0.33897961882009325</v>
      </c>
      <c r="G126" s="38">
        <f t="shared" si="57"/>
        <v>0.38958726629891016</v>
      </c>
      <c r="H126" s="38">
        <f t="shared" si="57"/>
        <v>0.4473892263190053</v>
      </c>
      <c r="I126" s="38">
        <f t="shared" si="57"/>
        <v>0.51058072471900628</v>
      </c>
      <c r="J126" s="38">
        <f t="shared" si="57"/>
        <v>0.57618849692860308</v>
      </c>
      <c r="K126" s="38">
        <f t="shared" si="57"/>
        <v>0.64057111386895327</v>
      </c>
      <c r="L126" s="38">
        <f t="shared" si="57"/>
        <v>0.7002608488124904</v>
      </c>
      <c r="M126" s="38">
        <f t="shared" si="57"/>
        <v>0.75275379708562595</v>
      </c>
      <c r="N126" s="38">
        <f t="shared" si="57"/>
        <v>0.79687918920016954</v>
      </c>
      <c r="O126" s="38">
        <f t="shared" si="57"/>
        <v>0.83267668395827521</v>
      </c>
      <c r="P126" s="38">
        <f t="shared" si="57"/>
        <v>0.86098633680927661</v>
      </c>
      <c r="Q126" s="38">
        <f t="shared" si="57"/>
        <v>0.88300930435794778</v>
      </c>
      <c r="R126" s="38">
        <f t="shared" si="57"/>
        <v>0.89998833934986711</v>
      </c>
      <c r="S126" s="38">
        <f t="shared" si="57"/>
        <v>0.91303466445352466</v>
      </c>
      <c r="T126" s="38">
        <f t="shared" si="57"/>
        <v>0.92306469761596976</v>
      </c>
      <c r="U126" s="38">
        <f t="shared" si="57"/>
        <v>0.93079932130134369</v>
      </c>
      <c r="V126" s="38">
        <f t="shared" si="57"/>
        <v>0.93679045152141782</v>
      </c>
      <c r="W126" s="38">
        <f t="shared" si="57"/>
        <v>0.94145470175280299</v>
      </c>
      <c r="X126" s="43">
        <f t="shared" si="57"/>
        <v>0.94510477421418371</v>
      </c>
    </row>
    <row r="127" spans="2:24" x14ac:dyDescent="0.35">
      <c r="B127" s="70"/>
      <c r="C127" s="24">
        <v>0.1</v>
      </c>
      <c r="D127" s="42">
        <f t="shared" ref="D127:X127" si="58">1/(1+EXP(-D153))</f>
        <v>0.29964439180627361</v>
      </c>
      <c r="E127" s="38">
        <f t="shared" si="58"/>
        <v>0.34313879478177101</v>
      </c>
      <c r="F127" s="38">
        <f t="shared" si="58"/>
        <v>0.39442266580765578</v>
      </c>
      <c r="G127" s="38">
        <f t="shared" si="58"/>
        <v>0.45279213744121916</v>
      </c>
      <c r="H127" s="38">
        <f t="shared" si="58"/>
        <v>0.51633156050212159</v>
      </c>
      <c r="I127" s="38">
        <f t="shared" si="58"/>
        <v>0.58198158907108999</v>
      </c>
      <c r="J127" s="38">
        <f t="shared" si="58"/>
        <v>0.64607978706195068</v>
      </c>
      <c r="K127" s="38">
        <f t="shared" si="58"/>
        <v>0.70521596742079118</v>
      </c>
      <c r="L127" s="38">
        <f t="shared" si="58"/>
        <v>0.7569968900734968</v>
      </c>
      <c r="M127" s="38">
        <f t="shared" si="58"/>
        <v>0.80036981848541844</v>
      </c>
      <c r="N127" s="38">
        <f t="shared" si="58"/>
        <v>0.8354636954142417</v>
      </c>
      <c r="O127" s="38">
        <f t="shared" si="58"/>
        <v>0.86316705289301265</v>
      </c>
      <c r="P127" s="38">
        <f t="shared" si="58"/>
        <v>0.88469535912478059</v>
      </c>
      <c r="Q127" s="38">
        <f t="shared" si="58"/>
        <v>0.90128477033383247</v>
      </c>
      <c r="R127" s="38">
        <f t="shared" si="58"/>
        <v>0.91403061942138464</v>
      </c>
      <c r="S127" s="38">
        <f t="shared" si="58"/>
        <v>0.92383147743082383</v>
      </c>
      <c r="T127" s="38">
        <f t="shared" si="58"/>
        <v>0.93139202015568978</v>
      </c>
      <c r="U127" s="38">
        <f t="shared" si="58"/>
        <v>0.93725084322200591</v>
      </c>
      <c r="V127" s="38">
        <f t="shared" si="58"/>
        <v>0.94181418342750156</v>
      </c>
      <c r="W127" s="38">
        <f t="shared" si="58"/>
        <v>0.94538689367085194</v>
      </c>
      <c r="X127" s="43">
        <f t="shared" si="58"/>
        <v>0.94819780565737644</v>
      </c>
    </row>
    <row r="128" spans="2:24" x14ac:dyDescent="0.35">
      <c r="B128" s="70"/>
      <c r="C128" s="24">
        <v>0.05</v>
      </c>
      <c r="D128" s="42">
        <f t="shared" ref="D128:X128" si="59">1/(1+EXP(-D154))</f>
        <v>0.34735940743277977</v>
      </c>
      <c r="E128" s="38">
        <f t="shared" si="59"/>
        <v>0.39931420582024524</v>
      </c>
      <c r="F128" s="38">
        <f t="shared" si="59"/>
        <v>0.45823620139393234</v>
      </c>
      <c r="G128" s="38">
        <f t="shared" si="59"/>
        <v>0.52209929751851636</v>
      </c>
      <c r="H128" s="38">
        <f t="shared" si="59"/>
        <v>0.58776239229361393</v>
      </c>
      <c r="I128" s="38">
        <f t="shared" si="59"/>
        <v>0.65154901494178563</v>
      </c>
      <c r="J128" s="38">
        <f t="shared" si="59"/>
        <v>0.71011274201528907</v>
      </c>
      <c r="K128" s="38">
        <f t="shared" si="59"/>
        <v>0.76117354414140193</v>
      </c>
      <c r="L128" s="38">
        <f t="shared" si="59"/>
        <v>0.80379531208112343</v>
      </c>
      <c r="M128" s="38">
        <f t="shared" si="59"/>
        <v>0.83819280006089258</v>
      </c>
      <c r="N128" s="38">
        <f t="shared" si="59"/>
        <v>0.86529955132194469</v>
      </c>
      <c r="O128" s="38">
        <f t="shared" si="59"/>
        <v>0.88634294887760579</v>
      </c>
      <c r="P128" s="38">
        <f t="shared" si="59"/>
        <v>0.90255132098948354</v>
      </c>
      <c r="Q128" s="38">
        <f t="shared" si="59"/>
        <v>0.91500370573784118</v>
      </c>
      <c r="R128" s="38">
        <f t="shared" si="59"/>
        <v>0.92458087148760859</v>
      </c>
      <c r="S128" s="38">
        <f t="shared" si="59"/>
        <v>0.93197151639078246</v>
      </c>
      <c r="T128" s="38">
        <f t="shared" si="59"/>
        <v>0.93770118417299053</v>
      </c>
      <c r="U128" s="38">
        <f t="shared" si="59"/>
        <v>0.94216597840856375</v>
      </c>
      <c r="V128" s="38">
        <f t="shared" si="59"/>
        <v>0.94566310068879311</v>
      </c>
      <c r="W128" s="38">
        <f t="shared" si="59"/>
        <v>0.94841568618758587</v>
      </c>
      <c r="X128" s="43">
        <f t="shared" si="59"/>
        <v>0.9505919120701749</v>
      </c>
    </row>
    <row r="129" spans="2:24" ht="15" thickBot="1" x14ac:dyDescent="0.4">
      <c r="B129" s="71"/>
      <c r="C129" s="25">
        <v>0</v>
      </c>
      <c r="D129" s="44">
        <f t="shared" ref="D129:X129" si="60">1/(1+EXP(-D155))</f>
        <v>0.40426097087185459</v>
      </c>
      <c r="E129" s="45">
        <f t="shared" si="60"/>
        <v>0.46371961280975293</v>
      </c>
      <c r="F129" s="45">
        <f t="shared" si="60"/>
        <v>0.52788146389921442</v>
      </c>
      <c r="G129" s="45">
        <f t="shared" si="60"/>
        <v>0.59352831759349167</v>
      </c>
      <c r="H129" s="45">
        <f t="shared" si="60"/>
        <v>0.65697672689025444</v>
      </c>
      <c r="I129" s="45">
        <f t="shared" si="60"/>
        <v>0.71495001867341623</v>
      </c>
      <c r="J129" s="45">
        <f t="shared" si="60"/>
        <v>0.7652835391982078</v>
      </c>
      <c r="K129" s="45">
        <f t="shared" si="60"/>
        <v>0.80715612558388494</v>
      </c>
      <c r="L129" s="45">
        <f t="shared" si="60"/>
        <v>0.84086479881301635</v>
      </c>
      <c r="M129" s="45">
        <f t="shared" si="60"/>
        <v>0.86738471676318429</v>
      </c>
      <c r="N129" s="45">
        <f t="shared" si="60"/>
        <v>0.88795288973256192</v>
      </c>
      <c r="O129" s="45">
        <f t="shared" si="60"/>
        <v>0.90378867579418576</v>
      </c>
      <c r="P129" s="45">
        <f t="shared" si="60"/>
        <v>0.91595446684893478</v>
      </c>
      <c r="Q129" s="45">
        <f t="shared" si="60"/>
        <v>0.92531329785912753</v>
      </c>
      <c r="R129" s="45">
        <f t="shared" si="60"/>
        <v>0.93253812622533638</v>
      </c>
      <c r="S129" s="45">
        <f t="shared" si="60"/>
        <v>0.93814171177757577</v>
      </c>
      <c r="T129" s="45">
        <f t="shared" si="60"/>
        <v>0.94251026470556254</v>
      </c>
      <c r="U129" s="45">
        <f t="shared" si="60"/>
        <v>0.94593352910720752</v>
      </c>
      <c r="V129" s="45">
        <f t="shared" si="60"/>
        <v>0.94862909219977998</v>
      </c>
      <c r="W129" s="45">
        <f t="shared" si="60"/>
        <v>0.95076102345227975</v>
      </c>
      <c r="X129" s="46">
        <f t="shared" si="60"/>
        <v>0.95245376913957314</v>
      </c>
    </row>
    <row r="130" spans="2:24" x14ac:dyDescent="0.35">
      <c r="C130" s="9"/>
      <c r="D130" s="28">
        <v>0</v>
      </c>
      <c r="E130" s="26">
        <v>0.05</v>
      </c>
      <c r="F130" s="26">
        <v>0.1</v>
      </c>
      <c r="G130" s="26">
        <v>0.15</v>
      </c>
      <c r="H130" s="26">
        <v>0.2</v>
      </c>
      <c r="I130" s="26">
        <v>0.25</v>
      </c>
      <c r="J130" s="26">
        <v>0.3</v>
      </c>
      <c r="K130" s="26">
        <v>0.35</v>
      </c>
      <c r="L130" s="26">
        <v>0.4</v>
      </c>
      <c r="M130" s="26">
        <v>0.45</v>
      </c>
      <c r="N130" s="26">
        <v>0.5</v>
      </c>
      <c r="O130" s="26">
        <v>0.55000000000000004</v>
      </c>
      <c r="P130" s="26">
        <v>0.6</v>
      </c>
      <c r="Q130" s="26">
        <v>0.65</v>
      </c>
      <c r="R130" s="26">
        <v>0.7</v>
      </c>
      <c r="S130" s="26">
        <v>0.75</v>
      </c>
      <c r="T130" s="26">
        <v>0.8</v>
      </c>
      <c r="U130" s="26">
        <v>0.85</v>
      </c>
      <c r="V130" s="26">
        <v>0.9</v>
      </c>
      <c r="W130" s="26">
        <v>0.95</v>
      </c>
      <c r="X130" s="27">
        <v>1</v>
      </c>
    </row>
    <row r="131" spans="2:24" ht="21.5" thickBot="1" x14ac:dyDescent="0.55000000000000004">
      <c r="C131" s="9"/>
      <c r="D131" s="63" t="s">
        <v>64</v>
      </c>
      <c r="E131" s="64"/>
      <c r="F131" s="64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5"/>
    </row>
    <row r="133" spans="2:24" ht="15" thickBot="1" x14ac:dyDescent="0.4"/>
    <row r="134" spans="2:24" ht="21.5" thickBot="1" x14ac:dyDescent="0.55000000000000004">
      <c r="B134" s="66" t="s">
        <v>15</v>
      </c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8"/>
    </row>
    <row r="135" spans="2:24" x14ac:dyDescent="0.35">
      <c r="B135" s="69" t="s">
        <v>6</v>
      </c>
      <c r="C135" s="27">
        <v>1</v>
      </c>
      <c r="D135" s="40">
        <f>(D161*$P$7) + $P$10</f>
        <v>-1.981044541325365</v>
      </c>
      <c r="E135" s="39">
        <f t="shared" ref="E135:X135" si="61">(E161*$P$7) + $P$10</f>
        <v>-1.9754463663817405</v>
      </c>
      <c r="F135" s="39">
        <f t="shared" si="61"/>
        <v>-1.968554170065604</v>
      </c>
      <c r="G135" s="39">
        <f t="shared" si="61"/>
        <v>-1.960073634630954</v>
      </c>
      <c r="H135" s="39">
        <f t="shared" si="61"/>
        <v>-1.9496459760915124</v>
      </c>
      <c r="I135" s="39">
        <f t="shared" si="61"/>
        <v>-1.9368350982237967</v>
      </c>
      <c r="J135" s="39">
        <f t="shared" si="61"/>
        <v>-1.9211128483467521</v>
      </c>
      <c r="K135" s="39">
        <f t="shared" si="61"/>
        <v>-1.9018424547976229</v>
      </c>
      <c r="L135" s="39">
        <f t="shared" si="61"/>
        <v>-1.878260472957201</v>
      </c>
      <c r="M135" s="39">
        <f t="shared" si="61"/>
        <v>-1.8494579543020218</v>
      </c>
      <c r="N135" s="39">
        <f t="shared" si="61"/>
        <v>-1.8143621303323563</v>
      </c>
      <c r="O135" s="39">
        <f t="shared" si="61"/>
        <v>-1.7717207210363493</v>
      </c>
      <c r="P135" s="39">
        <f t="shared" si="61"/>
        <v>-1.7200920735233418</v>
      </c>
      <c r="Q135" s="39">
        <f t="shared" si="61"/>
        <v>-1.6578457070392296</v>
      </c>
      <c r="R135" s="39">
        <f t="shared" si="61"/>
        <v>-1.5831793934720062</v>
      </c>
      <c r="S135" s="39">
        <f t="shared" si="61"/>
        <v>-1.4941603877587557</v>
      </c>
      <c r="T135" s="39">
        <f t="shared" si="61"/>
        <v>-1.3887993509268697</v>
      </c>
      <c r="U135" s="39">
        <f t="shared" si="61"/>
        <v>-1.2651650874835165</v>
      </c>
      <c r="V135" s="39">
        <f t="shared" si="61"/>
        <v>-1.1215453761672287</v>
      </c>
      <c r="W135" s="39">
        <f t="shared" si="61"/>
        <v>-0.95665277329874621</v>
      </c>
      <c r="X135" s="41">
        <f t="shared" si="61"/>
        <v>-0.76986363571002125</v>
      </c>
    </row>
    <row r="136" spans="2:24" x14ac:dyDescent="0.35">
      <c r="B136" s="70"/>
      <c r="C136" s="24">
        <v>0.95</v>
      </c>
      <c r="D136" s="42">
        <f>(D162*$P$7) + $P$10</f>
        <v>-1.9748933541736988</v>
      </c>
      <c r="E136" s="38">
        <f t="shared" ref="E136:X136" si="62">(E162*$P$7) + $P$10</f>
        <v>-1.9678735183355771</v>
      </c>
      <c r="F136" s="38">
        <f t="shared" si="62"/>
        <v>-1.9592364104979827</v>
      </c>
      <c r="G136" s="38">
        <f t="shared" si="62"/>
        <v>-1.9486169599535683</v>
      </c>
      <c r="H136" s="38">
        <f t="shared" si="62"/>
        <v>-1.9355715574386754</v>
      </c>
      <c r="I136" s="38">
        <f t="shared" si="62"/>
        <v>-1.9195631442120866</v>
      </c>
      <c r="J136" s="38">
        <f t="shared" si="62"/>
        <v>-1.8999445000256348</v>
      </c>
      <c r="K136" s="38">
        <f t="shared" si="62"/>
        <v>-1.8759400847535799</v>
      </c>
      <c r="L136" s="38">
        <f t="shared" si="62"/>
        <v>-1.8466271907781764</v>
      </c>
      <c r="M136" s="38">
        <f t="shared" si="62"/>
        <v>-1.8109177598605397</v>
      </c>
      <c r="N136" s="38">
        <f t="shared" si="62"/>
        <v>-1.7675430594547277</v>
      </c>
      <c r="O136" s="38">
        <f t="shared" si="62"/>
        <v>-1.7150445347067698</v>
      </c>
      <c r="P136" s="38">
        <f t="shared" si="62"/>
        <v>-1.6517755445503304</v>
      </c>
      <c r="Q136" s="38">
        <f t="shared" si="62"/>
        <v>-1.5759202502170078</v>
      </c>
      <c r="R136" s="38">
        <f t="shared" si="62"/>
        <v>-1.4855373843892732</v>
      </c>
      <c r="S136" s="38">
        <f t="shared" si="62"/>
        <v>-1.3786374748699322</v>
      </c>
      <c r="T136" s="38">
        <f t="shared" si="62"/>
        <v>-1.2533015080118355</v>
      </c>
      <c r="U136" s="38">
        <f t="shared" si="62"/>
        <v>-1.1078459038149031</v>
      </c>
      <c r="V136" s="38">
        <f t="shared" si="62"/>
        <v>-0.94103191564717048</v>
      </c>
      <c r="W136" s="38">
        <f t="shared" si="62"/>
        <v>-0.75230656496154946</v>
      </c>
      <c r="X136" s="43">
        <f t="shared" si="62"/>
        <v>-0.54204776454607129</v>
      </c>
    </row>
    <row r="137" spans="2:24" x14ac:dyDescent="0.35">
      <c r="B137" s="70"/>
      <c r="C137" s="24">
        <v>0.9</v>
      </c>
      <c r="D137" s="42">
        <f t="shared" ref="D137:X137" si="63">(D163*$P$7) + $P$10</f>
        <v>-1.9671802803934373</v>
      </c>
      <c r="E137" s="38">
        <f t="shared" si="63"/>
        <v>-1.9583837579185697</v>
      </c>
      <c r="F137" s="38">
        <f t="shared" si="63"/>
        <v>-1.9475690611103498</v>
      </c>
      <c r="G137" s="38">
        <f t="shared" si="63"/>
        <v>-1.9342849511799711</v>
      </c>
      <c r="H137" s="38">
        <f t="shared" si="63"/>
        <v>-1.9179853326145919</v>
      </c>
      <c r="I137" s="38">
        <f t="shared" si="63"/>
        <v>-1.898012394320101</v>
      </c>
      <c r="J137" s="38">
        <f t="shared" si="63"/>
        <v>-1.8735783526411069</v>
      </c>
      <c r="K137" s="38">
        <f t="shared" si="63"/>
        <v>-1.8437465974913769</v>
      </c>
      <c r="L137" s="38">
        <f t="shared" si="63"/>
        <v>-1.8074136591223919</v>
      </c>
      <c r="M137" s="38">
        <f t="shared" si="63"/>
        <v>-1.7632942779993732</v>
      </c>
      <c r="N137" s="38">
        <f t="shared" si="63"/>
        <v>-1.7099130068091082</v>
      </c>
      <c r="O137" s="38">
        <f t="shared" si="63"/>
        <v>-1.6456071866248139</v>
      </c>
      <c r="P137" s="38">
        <f t="shared" si="63"/>
        <v>-1.5685477041356528</v>
      </c>
      <c r="Q137" s="38">
        <f t="shared" si="63"/>
        <v>-1.4767853673941023</v>
      </c>
      <c r="R137" s="38">
        <f t="shared" si="63"/>
        <v>-1.3683314940887215</v>
      </c>
      <c r="S137" s="38">
        <f t="shared" si="63"/>
        <v>-1.2412805414496684</v>
      </c>
      <c r="T137" s="38">
        <f t="shared" si="63"/>
        <v>-1.0939792138138182</v>
      </c>
      <c r="U137" s="38">
        <f t="shared" si="63"/>
        <v>-0.92523936050238986</v>
      </c>
      <c r="V137" s="38">
        <f t="shared" si="63"/>
        <v>-0.73458060928012237</v>
      </c>
      <c r="W137" s="38">
        <f t="shared" si="63"/>
        <v>-0.52247402776899698</v>
      </c>
      <c r="X137" s="43">
        <f t="shared" si="63"/>
        <v>-0.29054346468787196</v>
      </c>
    </row>
    <row r="138" spans="2:24" x14ac:dyDescent="0.35">
      <c r="B138" s="70"/>
      <c r="C138" s="24">
        <v>0.85</v>
      </c>
      <c r="D138" s="42">
        <f t="shared" ref="D138:X138" si="64">(D164*$P$7) + $P$10</f>
        <v>-1.9575153979052715</v>
      </c>
      <c r="E138" s="38">
        <f t="shared" si="64"/>
        <v>-1.946501941108473</v>
      </c>
      <c r="F138" s="38">
        <f t="shared" si="64"/>
        <v>-1.9329748705285186</v>
      </c>
      <c r="G138" s="38">
        <f t="shared" si="64"/>
        <v>-1.9163789220045975</v>
      </c>
      <c r="H138" s="38">
        <f t="shared" si="64"/>
        <v>-1.8960455505380469</v>
      </c>
      <c r="I138" s="38">
        <f t="shared" si="64"/>
        <v>-1.871174580831044</v>
      </c>
      <c r="J138" s="38">
        <f t="shared" si="64"/>
        <v>-1.8408153580688111</v>
      </c>
      <c r="K138" s="38">
        <f t="shared" si="64"/>
        <v>-1.8038488822226963</v>
      </c>
      <c r="L138" s="38">
        <f t="shared" si="64"/>
        <v>-1.7589732980832022</v>
      </c>
      <c r="M138" s="38">
        <f t="shared" si="64"/>
        <v>-1.7046962849726186</v>
      </c>
      <c r="N138" s="38">
        <f t="shared" si="64"/>
        <v>-1.6393393230716651</v>
      </c>
      <c r="O138" s="38">
        <f t="shared" si="64"/>
        <v>-1.5610603809738284</v>
      </c>
      <c r="P138" s="38">
        <f t="shared" si="64"/>
        <v>-1.4679029660899405</v>
      </c>
      <c r="Q138" s="38">
        <f t="shared" si="64"/>
        <v>-1.3578801403498217</v>
      </c>
      <c r="R138" s="38">
        <f t="shared" si="64"/>
        <v>-1.2291011536760483</v>
      </c>
      <c r="S138" s="38">
        <f t="shared" si="64"/>
        <v>-1.0799446658988079</v>
      </c>
      <c r="T138" s="38">
        <f t="shared" si="64"/>
        <v>-0.9092750353762511</v>
      </c>
      <c r="U138" s="38">
        <f t="shared" si="64"/>
        <v>-0.71668642726286613</v>
      </c>
      <c r="V138" s="38">
        <f t="shared" si="64"/>
        <v>-0.50274467098557518</v>
      </c>
      <c r="W138" s="38">
        <f t="shared" si="64"/>
        <v>-0.26918240401071047</v>
      </c>
      <c r="X138" s="43">
        <f t="shared" si="64"/>
        <v>-1.8995033170478015E-2</v>
      </c>
    </row>
    <row r="139" spans="2:24" x14ac:dyDescent="0.35">
      <c r="B139" s="70"/>
      <c r="C139" s="24">
        <v>0.8</v>
      </c>
      <c r="D139" s="42">
        <f t="shared" ref="D139:X139" si="65">(D165*$P$7) + $P$10</f>
        <v>-1.945415255729412</v>
      </c>
      <c r="E139" s="38">
        <f t="shared" si="65"/>
        <v>-1.9316408997684889</v>
      </c>
      <c r="F139" s="38">
        <f t="shared" si="65"/>
        <v>-1.9147434129148824</v>
      </c>
      <c r="G139" s="38">
        <f t="shared" si="65"/>
        <v>-1.8940433724555452</v>
      </c>
      <c r="H139" s="38">
        <f t="shared" si="65"/>
        <v>-1.8687280633316825</v>
      </c>
      <c r="I139" s="38">
        <f t="shared" si="65"/>
        <v>-1.8378326449903091</v>
      </c>
      <c r="J139" s="38">
        <f t="shared" si="65"/>
        <v>-1.8002224715583424</v>
      </c>
      <c r="K139" s="38">
        <f t="shared" si="65"/>
        <v>-1.7545790295279482</v>
      </c>
      <c r="L139" s="38">
        <f t="shared" si="65"/>
        <v>-1.6993931539338814</v>
      </c>
      <c r="M139" s="38">
        <f t="shared" si="65"/>
        <v>-1.632970636032564</v>
      </c>
      <c r="N139" s="38">
        <f t="shared" si="65"/>
        <v>-1.5534569036401749</v>
      </c>
      <c r="O139" s="38">
        <f t="shared" si="65"/>
        <v>-1.4588888143817234</v>
      </c>
      <c r="P139" s="38">
        <f t="shared" si="65"/>
        <v>-1.347282160337975</v>
      </c>
      <c r="Q139" s="38">
        <f t="shared" si="65"/>
        <v>-1.2167623386040129</v>
      </c>
      <c r="R139" s="38">
        <f t="shared" si="65"/>
        <v>-1.065741662921015</v>
      </c>
      <c r="S139" s="38">
        <f t="shared" si="65"/>
        <v>-0.89313892620010726</v>
      </c>
      <c r="T139" s="38">
        <f t="shared" si="65"/>
        <v>-0.6986247487516366</v>
      </c>
      <c r="U139" s="38">
        <f t="shared" si="65"/>
        <v>-0.482861280613198</v>
      </c>
      <c r="V139" s="38">
        <f t="shared" si="65"/>
        <v>-0.24769072944128068</v>
      </c>
      <c r="W139" s="38">
        <f t="shared" si="65"/>
        <v>3.7799208182485167E-3</v>
      </c>
      <c r="X139" s="43">
        <f t="shared" si="65"/>
        <v>0.26724406628656316</v>
      </c>
    </row>
    <row r="140" spans="2:24" x14ac:dyDescent="0.35">
      <c r="B140" s="70"/>
      <c r="C140" s="24">
        <v>0.75</v>
      </c>
      <c r="D140" s="42">
        <f t="shared" ref="D140:X140" si="66">(D166*$P$7) + $P$10</f>
        <v>-1.9302826162914613</v>
      </c>
      <c r="E140" s="38">
        <f t="shared" si="66"/>
        <v>-1.913078297858656</v>
      </c>
      <c r="F140" s="38">
        <f t="shared" si="66"/>
        <v>-1.8920052546653263</v>
      </c>
      <c r="G140" s="38">
        <f t="shared" si="66"/>
        <v>-1.8662380838552652</v>
      </c>
      <c r="H140" s="38">
        <f t="shared" si="66"/>
        <v>-1.8347976195197169</v>
      </c>
      <c r="I140" s="38">
        <f t="shared" si="66"/>
        <v>-1.7965334577963366</v>
      </c>
      <c r="J140" s="38">
        <f t="shared" si="66"/>
        <v>-1.7501103706193872</v>
      </c>
      <c r="K140" s="38">
        <f t="shared" si="66"/>
        <v>-1.694002388195555</v>
      </c>
      <c r="L140" s="38">
        <f t="shared" si="66"/>
        <v>-1.626499800316479</v>
      </c>
      <c r="M140" s="38">
        <f t="shared" si="66"/>
        <v>-1.5457358927512388</v>
      </c>
      <c r="N140" s="38">
        <f t="shared" si="66"/>
        <v>-1.4497415515564138</v>
      </c>
      <c r="O140" s="38">
        <f t="shared" si="66"/>
        <v>-1.3365363167091227</v>
      </c>
      <c r="P140" s="38">
        <f t="shared" si="66"/>
        <v>-1.2042631194527189</v>
      </c>
      <c r="Q140" s="38">
        <f t="shared" si="66"/>
        <v>-1.051369652224412</v>
      </c>
      <c r="R140" s="38">
        <f t="shared" si="66"/>
        <v>-0.87683107860371234</v>
      </c>
      <c r="S140" s="38">
        <f t="shared" si="66"/>
        <v>-0.68039637573786882</v>
      </c>
      <c r="T140" s="38">
        <f t="shared" si="66"/>
        <v>-0.4628255215795789</v>
      </c>
      <c r="U140" s="38">
        <f t="shared" si="66"/>
        <v>-0.22607098682749882</v>
      </c>
      <c r="V140" s="38">
        <f t="shared" si="66"/>
        <v>2.6649160582197684E-2</v>
      </c>
      <c r="W140" s="38">
        <f t="shared" si="66"/>
        <v>0.29093120042563614</v>
      </c>
      <c r="X140" s="43">
        <f t="shared" si="66"/>
        <v>0.56143800787239151</v>
      </c>
    </row>
    <row r="141" spans="2:24" x14ac:dyDescent="0.35">
      <c r="B141" s="70"/>
      <c r="C141" s="24">
        <v>0.7</v>
      </c>
      <c r="D141" s="42">
        <f t="shared" ref="D141:X141" si="67">(D167*$P$7) + $P$10</f>
        <v>-1.9113830612272276</v>
      </c>
      <c r="E141" s="38">
        <f t="shared" si="67"/>
        <v>-1.8899305824747512</v>
      </c>
      <c r="F141" s="38">
        <f t="shared" si="67"/>
        <v>-1.8637039157263691</v>
      </c>
      <c r="G141" s="38">
        <f t="shared" si="67"/>
        <v>-1.8317094316393834</v>
      </c>
      <c r="H141" s="38">
        <f t="shared" si="67"/>
        <v>-1.7927808598572819</v>
      </c>
      <c r="I141" s="38">
        <f t="shared" si="67"/>
        <v>-1.7455662081711567</v>
      </c>
      <c r="J141" s="38">
        <f t="shared" si="67"/>
        <v>-1.6885227522105946</v>
      </c>
      <c r="K141" s="38">
        <f t="shared" si="67"/>
        <v>-1.6199254837509933</v>
      </c>
      <c r="L141" s="38">
        <f t="shared" si="67"/>
        <v>-1.5378959671973316</v>
      </c>
      <c r="M141" s="38">
        <f t="shared" si="67"/>
        <v>-1.4404598230998418</v>
      </c>
      <c r="N141" s="38">
        <f t="shared" si="67"/>
        <v>-1.325641389165376</v>
      </c>
      <c r="O141" s="38">
        <f t="shared" si="67"/>
        <v>-1.1916025500346454</v>
      </c>
      <c r="P141" s="38">
        <f t="shared" si="67"/>
        <v>-1.0368281270231257</v>
      </c>
      <c r="Q141" s="38">
        <f t="shared" si="67"/>
        <v>-0.86035159917302351</v>
      </c>
      <c r="R141" s="38">
        <f t="shared" si="67"/>
        <v>-0.66200218321974136</v>
      </c>
      <c r="S141" s="38">
        <f t="shared" si="67"/>
        <v>-0.44263913748197603</v>
      </c>
      <c r="T141" s="38">
        <f t="shared" si="67"/>
        <v>-0.20432579696540176</v>
      </c>
      <c r="U141" s="38">
        <f t="shared" si="67"/>
        <v>4.9609296937795477E-2</v>
      </c>
      <c r="V141" s="38">
        <f t="shared" si="67"/>
        <v>0.31466728978178748</v>
      </c>
      <c r="W141" s="38">
        <f t="shared" si="67"/>
        <v>0.58544616874318134</v>
      </c>
      <c r="X141" s="43">
        <f t="shared" si="67"/>
        <v>0.8560568188735318</v>
      </c>
    </row>
    <row r="142" spans="2:24" x14ac:dyDescent="0.35">
      <c r="B142" s="70"/>
      <c r="C142" s="24">
        <v>0.65</v>
      </c>
      <c r="D142" s="42">
        <f t="shared" ref="D142:X142" si="68">(D168*$P$7) + $P$10</f>
        <v>-1.8878187318042277</v>
      </c>
      <c r="E142" s="38">
        <f t="shared" si="68"/>
        <v>-1.861124821791867</v>
      </c>
      <c r="F142" s="38">
        <f t="shared" si="68"/>
        <v>-1.8285672199879395</v>
      </c>
      <c r="G142" s="38">
        <f t="shared" si="68"/>
        <v>-1.7889636849045563</v>
      </c>
      <c r="H142" s="38">
        <f t="shared" si="68"/>
        <v>-1.7409454175974797</v>
      </c>
      <c r="I142" s="38">
        <f t="shared" si="68"/>
        <v>-1.6829530005792823</v>
      </c>
      <c r="J142" s="38">
        <f t="shared" si="68"/>
        <v>-1.6132463475507368</v>
      </c>
      <c r="K142" s="38">
        <f t="shared" si="68"/>
        <v>-1.529935744729368</v>
      </c>
      <c r="L142" s="38">
        <f t="shared" si="68"/>
        <v>-1.4310422815366666</v>
      </c>
      <c r="M142" s="38">
        <f t="shared" si="68"/>
        <v>-1.3145961755515434</v>
      </c>
      <c r="N142" s="38">
        <f t="shared" si="68"/>
        <v>-1.1787797160569349</v>
      </c>
      <c r="O142" s="38">
        <f t="shared" si="68"/>
        <v>-1.0221166277778866</v>
      </c>
      <c r="P142" s="38">
        <f t="shared" si="68"/>
        <v>-0.8437006566846692</v>
      </c>
      <c r="Q142" s="38">
        <f t="shared" si="68"/>
        <v>-0.64344312000924986</v>
      </c>
      <c r="R142" s="38">
        <f t="shared" si="68"/>
        <v>-0.42230395067214865</v>
      </c>
      <c r="S142" s="38">
        <f t="shared" si="68"/>
        <v>-0.18245785475190823</v>
      </c>
      <c r="T142" s="38">
        <f t="shared" si="68"/>
        <v>7.2656882173971038E-2</v>
      </c>
      <c r="U142" s="38">
        <f t="shared" si="68"/>
        <v>0.33844837249555004</v>
      </c>
      <c r="V142" s="38">
        <f t="shared" si="68"/>
        <v>0.60945300638620781</v>
      </c>
      <c r="W142" s="38">
        <f t="shared" si="68"/>
        <v>0.87976213299539907</v>
      </c>
      <c r="X142" s="43">
        <f t="shared" si="68"/>
        <v>1.1435272113983292</v>
      </c>
    </row>
    <row r="143" spans="2:24" x14ac:dyDescent="0.35">
      <c r="B143" s="70"/>
      <c r="C143" s="24">
        <v>0.6</v>
      </c>
      <c r="D143" s="42">
        <f t="shared" ref="D143:X143" si="69">(D169*$P$7) + $P$10</f>
        <v>-1.8585000543325962</v>
      </c>
      <c r="E143" s="38">
        <f t="shared" si="69"/>
        <v>-1.8253701118015471</v>
      </c>
      <c r="F143" s="38">
        <f t="shared" si="69"/>
        <v>-1.7850809283394555</v>
      </c>
      <c r="G143" s="38">
        <f t="shared" si="69"/>
        <v>-1.7362468629951124</v>
      </c>
      <c r="H143" s="38">
        <f t="shared" si="69"/>
        <v>-1.6772918782594521</v>
      </c>
      <c r="I143" s="38">
        <f t="shared" si="69"/>
        <v>-1.6064610467032976</v>
      </c>
      <c r="J143" s="38">
        <f t="shared" si="69"/>
        <v>-1.5218538425669874</v>
      </c>
      <c r="K143" s="38">
        <f t="shared" si="69"/>
        <v>-1.4214875872934996</v>
      </c>
      <c r="L143" s="38">
        <f t="shared" si="69"/>
        <v>-1.3033994929728472</v>
      </c>
      <c r="M143" s="38">
        <f t="shared" si="69"/>
        <v>-1.1657937364358659</v>
      </c>
      <c r="N143" s="38">
        <f t="shared" si="69"/>
        <v>-1.0072347435699314</v>
      </c>
      <c r="O143" s="38">
        <f t="shared" si="69"/>
        <v>-0.82687848331481351</v>
      </c>
      <c r="P143" s="38">
        <f t="shared" si="69"/>
        <v>-0.62472020948684226</v>
      </c>
      <c r="Q143" s="38">
        <f t="shared" si="69"/>
        <v>-0.40182186226535954</v>
      </c>
      <c r="R143" s="38">
        <f t="shared" si="69"/>
        <v>-0.16046992825062989</v>
      </c>
      <c r="S143" s="38">
        <f t="shared" si="69"/>
        <v>9.5788411935448181E-2</v>
      </c>
      <c r="T143" s="38">
        <f t="shared" si="69"/>
        <v>0.36227045609744213</v>
      </c>
      <c r="U143" s="38">
        <f t="shared" si="69"/>
        <v>0.63345437342636846</v>
      </c>
      <c r="V143" s="38">
        <f t="shared" si="69"/>
        <v>0.90341598163902903</v>
      </c>
      <c r="W143" s="38">
        <f t="shared" si="69"/>
        <v>1.1663366896638072</v>
      </c>
      <c r="X143" s="43">
        <f t="shared" si="69"/>
        <v>1.4169925305975024</v>
      </c>
    </row>
    <row r="144" spans="2:24" x14ac:dyDescent="0.35">
      <c r="B144" s="70"/>
      <c r="C144" s="24">
        <v>0.55000000000000004</v>
      </c>
      <c r="D144" s="42">
        <f t="shared" ref="D144:X144" si="70">(D170*$P$7) + $P$10</f>
        <v>-1.8221172228588174</v>
      </c>
      <c r="E144" s="38">
        <f t="shared" si="70"/>
        <v>-1.7811315738025453</v>
      </c>
      <c r="F144" s="38">
        <f t="shared" si="70"/>
        <v>-1.7314693972348438</v>
      </c>
      <c r="G144" s="38">
        <f t="shared" si="70"/>
        <v>-1.6715381207902809</v>
      </c>
      <c r="H144" s="38">
        <f t="shared" si="70"/>
        <v>-1.5995682303729906</v>
      </c>
      <c r="I144" s="38">
        <f t="shared" si="70"/>
        <v>-1.5136488780282118</v>
      </c>
      <c r="J144" s="38">
        <f t="shared" si="70"/>
        <v>-1.4117944095852075</v>
      </c>
      <c r="K144" s="38">
        <f t="shared" si="70"/>
        <v>-1.2920501789333807</v>
      </c>
      <c r="L144" s="38">
        <f t="shared" si="70"/>
        <v>-1.1526437646233996</v>
      </c>
      <c r="M144" s="38">
        <f t="shared" si="70"/>
        <v>-0.99218211347056062</v>
      </c>
      <c r="N144" s="38">
        <f t="shared" si="70"/>
        <v>-0.80988537582012854</v>
      </c>
      <c r="O144" s="38">
        <f t="shared" si="70"/>
        <v>-0.60583455030126698</v>
      </c>
      <c r="P144" s="38">
        <f t="shared" si="70"/>
        <v>-0.38119485207181625</v>
      </c>
      <c r="Q144" s="38">
        <f t="shared" si="70"/>
        <v>-0.13836485767065199</v>
      </c>
      <c r="R144" s="38">
        <f t="shared" si="70"/>
        <v>0.11900032718209497</v>
      </c>
      <c r="S144" s="38">
        <f t="shared" si="70"/>
        <v>0.38612952014802682</v>
      </c>
      <c r="T144" s="38">
        <f t="shared" si="70"/>
        <v>0.65744612626831911</v>
      </c>
      <c r="U144" s="38">
        <f t="shared" si="70"/>
        <v>0.92701445866933518</v>
      </c>
      <c r="V144" s="38">
        <f t="shared" si="70"/>
        <v>1.1890497514524592</v>
      </c>
      <c r="W144" s="38">
        <f t="shared" si="70"/>
        <v>1.4384011699445627</v>
      </c>
      <c r="X144" s="43">
        <f t="shared" si="70"/>
        <v>1.6709251486285104</v>
      </c>
    </row>
    <row r="145" spans="2:24" x14ac:dyDescent="0.35">
      <c r="B145" s="70"/>
      <c r="C145" s="24">
        <v>0.5</v>
      </c>
      <c r="D145" s="42">
        <f t="shared" ref="D145:X145" si="71">(D171*$P$7) + $P$10</f>
        <v>-1.7771145931814931</v>
      </c>
      <c r="E145" s="38">
        <f t="shared" si="71"/>
        <v>-1.7266118620628732</v>
      </c>
      <c r="F145" s="38">
        <f t="shared" si="71"/>
        <v>-1.6656904545300171</v>
      </c>
      <c r="G145" s="38">
        <f t="shared" si="71"/>
        <v>-1.5925665423228412</v>
      </c>
      <c r="H145" s="38">
        <f t="shared" si="71"/>
        <v>-1.5053194691809042</v>
      </c>
      <c r="I145" s="38">
        <f t="shared" si="71"/>
        <v>-1.4019614273243679</v>
      </c>
      <c r="J145" s="38">
        <f t="shared" si="71"/>
        <v>-1.2805470924948275</v>
      </c>
      <c r="K145" s="38">
        <f t="shared" si="71"/>
        <v>-1.1393289899446546</v>
      </c>
      <c r="L145" s="38">
        <f t="shared" si="71"/>
        <v>-0.9769584279045509</v>
      </c>
      <c r="M145" s="38">
        <f t="shared" si="71"/>
        <v>-0.79272169668852888</v>
      </c>
      <c r="N145" s="38">
        <f t="shared" si="71"/>
        <v>-0.58678731701232345</v>
      </c>
      <c r="O145" s="38">
        <f t="shared" si="71"/>
        <v>-0.36042497844902344</v>
      </c>
      <c r="P145" s="38">
        <f t="shared" si="71"/>
        <v>-0.11614555425836692</v>
      </c>
      <c r="Q145" s="38">
        <f t="shared" si="71"/>
        <v>0.14228901622229051</v>
      </c>
      <c r="R145" s="38">
        <f t="shared" si="71"/>
        <v>0.41002151891832783</v>
      </c>
      <c r="S145" s="38">
        <f t="shared" si="71"/>
        <v>0.68142412795625074</v>
      </c>
      <c r="T145" s="38">
        <f t="shared" si="71"/>
        <v>0.95055369530526601</v>
      </c>
      <c r="U145" s="38">
        <f t="shared" si="71"/>
        <v>1.2116631073093664</v>
      </c>
      <c r="V145" s="38">
        <f t="shared" si="71"/>
        <v>1.4596776107988712</v>
      </c>
      <c r="W145" s="38">
        <f t="shared" si="71"/>
        <v>1.690555406681812</v>
      </c>
      <c r="X145" s="43">
        <f t="shared" si="71"/>
        <v>1.9014846077012182</v>
      </c>
    </row>
    <row r="146" spans="2:24" x14ac:dyDescent="0.35">
      <c r="B146" s="70"/>
      <c r="C146" s="24">
        <v>0.45</v>
      </c>
      <c r="D146" s="42">
        <f t="shared" ref="D146:X146" si="72">(D172*$P$7) + $P$10</f>
        <v>-1.7216730882124087</v>
      </c>
      <c r="E146" s="38">
        <f t="shared" si="72"/>
        <v>-1.6597475969080349</v>
      </c>
      <c r="F146" s="38">
        <f t="shared" si="72"/>
        <v>-1.5854546213551557</v>
      </c>
      <c r="G146" s="38">
        <f t="shared" si="72"/>
        <v>-1.4968642355162549</v>
      </c>
      <c r="H146" s="38">
        <f t="shared" si="72"/>
        <v>-1.391987330053839</v>
      </c>
      <c r="I146" s="38">
        <f t="shared" si="72"/>
        <v>-1.268889115454902</v>
      </c>
      <c r="J146" s="38">
        <f t="shared" si="72"/>
        <v>-1.1258486389451496</v>
      </c>
      <c r="K146" s="38">
        <f t="shared" si="72"/>
        <v>-0.96156343000552758</v>
      </c>
      <c r="L146" s="38">
        <f t="shared" si="72"/>
        <v>-0.77538787525734243</v>
      </c>
      <c r="M146" s="38">
        <f t="shared" si="72"/>
        <v>-0.56757976067424809</v>
      </c>
      <c r="N146" s="38">
        <f t="shared" si="72"/>
        <v>-0.33951437807368401</v>
      </c>
      <c r="O146" s="38">
        <f t="shared" si="72"/>
        <v>-9.3814999102603824E-2</v>
      </c>
      <c r="P146" s="38">
        <f t="shared" si="72"/>
        <v>0.16565081681808724</v>
      </c>
      <c r="Q146" s="38">
        <f t="shared" si="72"/>
        <v>0.43394238410684904</v>
      </c>
      <c r="R146" s="38">
        <f t="shared" si="72"/>
        <v>0.705384251023911</v>
      </c>
      <c r="S146" s="38">
        <f t="shared" si="72"/>
        <v>0.97402986258314739</v>
      </c>
      <c r="T146" s="38">
        <f t="shared" si="72"/>
        <v>1.2341735308968897</v>
      </c>
      <c r="U146" s="38">
        <f t="shared" si="72"/>
        <v>1.4808194316767991</v>
      </c>
      <c r="V146" s="38">
        <f t="shared" si="72"/>
        <v>1.710029073596794</v>
      </c>
      <c r="W146" s="38">
        <f t="shared" si="72"/>
        <v>1.9191028956980292</v>
      </c>
      <c r="X146" s="43">
        <f t="shared" si="72"/>
        <v>2.1065933282756526</v>
      </c>
    </row>
    <row r="147" spans="2:24" x14ac:dyDescent="0.35">
      <c r="B147" s="70"/>
      <c r="C147" s="24">
        <v>0.4</v>
      </c>
      <c r="D147" s="42">
        <f t="shared" ref="D147:X147" si="73">(D173*$P$7) + $P$10</f>
        <v>-1.6537082566915884</v>
      </c>
      <c r="E147" s="38">
        <f t="shared" si="73"/>
        <v>-1.5782311017710249</v>
      </c>
      <c r="F147" s="38">
        <f t="shared" si="73"/>
        <v>-1.4882817986445231</v>
      </c>
      <c r="G147" s="38">
        <f t="shared" si="73"/>
        <v>-1.3818708189023399</v>
      </c>
      <c r="H147" s="38">
        <f t="shared" si="73"/>
        <v>-1.2570751535449287</v>
      </c>
      <c r="I147" s="38">
        <f t="shared" si="73"/>
        <v>-1.1122019767465225</v>
      </c>
      <c r="J147" s="38">
        <f t="shared" si="73"/>
        <v>-0.94599691696136601</v>
      </c>
      <c r="K147" s="38">
        <f t="shared" si="73"/>
        <v>-0.7578844087965142</v>
      </c>
      <c r="L147" s="38">
        <f t="shared" si="73"/>
        <v>-0.54821320935750339</v>
      </c>
      <c r="M147" s="38">
        <f t="shared" si="73"/>
        <v>-0.31846526563184097</v>
      </c>
      <c r="N147" s="38">
        <f t="shared" si="73"/>
        <v>-7.1376241853476019E-2</v>
      </c>
      <c r="O147" s="38">
        <f t="shared" si="73"/>
        <v>0.18908201835981675</v>
      </c>
      <c r="P147" s="38">
        <f t="shared" si="73"/>
        <v>0.4578880275893602</v>
      </c>
      <c r="Q147" s="38">
        <f t="shared" si="73"/>
        <v>0.72932238033074226</v>
      </c>
      <c r="R147" s="38">
        <f t="shared" si="73"/>
        <v>0.99743917376374602</v>
      </c>
      <c r="S147" s="38">
        <f t="shared" si="73"/>
        <v>1.2565778605868059</v>
      </c>
      <c r="T147" s="38">
        <f t="shared" si="73"/>
        <v>1.501824287862886</v>
      </c>
      <c r="U147" s="38">
        <f t="shared" si="73"/>
        <v>1.7293446910186909</v>
      </c>
      <c r="V147" s="38">
        <f t="shared" si="73"/>
        <v>1.9365519154009512</v>
      </c>
      <c r="W147" s="38">
        <f t="shared" si="73"/>
        <v>2.1221047165473723</v>
      </c>
      <c r="X147" s="43">
        <f t="shared" si="73"/>
        <v>2.285774176322279</v>
      </c>
    </row>
    <row r="148" spans="2:24" x14ac:dyDescent="0.35">
      <c r="B148" s="70"/>
      <c r="C148" s="24">
        <v>0.35</v>
      </c>
      <c r="D148" s="42">
        <f t="shared" ref="D148:X148" si="74">(D174*$P$7) + $P$10</f>
        <v>-1.5708946138491209</v>
      </c>
      <c r="E148" s="38">
        <f t="shared" si="74"/>
        <v>-1.4795707830132239</v>
      </c>
      <c r="F148" s="38">
        <f t="shared" si="74"/>
        <v>-1.3716106075629348</v>
      </c>
      <c r="G148" s="38">
        <f t="shared" si="74"/>
        <v>-1.245104137645912</v>
      </c>
      <c r="H148" s="38">
        <f t="shared" si="74"/>
        <v>-1.0983883084094557</v>
      </c>
      <c r="I148" s="38">
        <f t="shared" si="74"/>
        <v>-0.93025874134763642</v>
      </c>
      <c r="J148" s="38">
        <f t="shared" si="74"/>
        <v>-0.74021186355449187</v>
      </c>
      <c r="K148" s="38">
        <f t="shared" si="74"/>
        <v>-0.52868906860678999</v>
      </c>
      <c r="L148" s="38">
        <f t="shared" si="74"/>
        <v>-0.29727993342614245</v>
      </c>
      <c r="M148" s="38">
        <f t="shared" si="74"/>
        <v>-4.8832399355534628E-2</v>
      </c>
      <c r="N148" s="38">
        <f t="shared" si="74"/>
        <v>0.21257886410759053</v>
      </c>
      <c r="O148" s="38">
        <f t="shared" si="74"/>
        <v>0.48185434419755202</v>
      </c>
      <c r="P148" s="38">
        <f t="shared" si="74"/>
        <v>0.75323441587995799</v>
      </c>
      <c r="Q148" s="38">
        <f t="shared" si="74"/>
        <v>1.0207778866799604</v>
      </c>
      <c r="R148" s="38">
        <f t="shared" si="74"/>
        <v>1.2788730009692002</v>
      </c>
      <c r="S148" s="38">
        <f t="shared" si="74"/>
        <v>1.5226899119439592</v>
      </c>
      <c r="T148" s="38">
        <f t="shared" si="74"/>
        <v>1.7485008783404181</v>
      </c>
      <c r="U148" s="38">
        <f t="shared" si="74"/>
        <v>1.9538311228352594</v>
      </c>
      <c r="V148" s="38">
        <f t="shared" si="74"/>
        <v>2.1374446488601362</v>
      </c>
      <c r="W148" s="38">
        <f t="shared" si="74"/>
        <v>2.2992012473869239</v>
      </c>
      <c r="X148" s="43">
        <f t="shared" si="74"/>
        <v>2.4398360916351183</v>
      </c>
    </row>
    <row r="149" spans="2:24" x14ac:dyDescent="0.35">
      <c r="B149" s="70"/>
      <c r="C149" s="24">
        <v>0.3</v>
      </c>
      <c r="D149" s="42">
        <f t="shared" ref="D149:X149" si="75">(D175*$P$7) + $P$10</f>
        <v>-1.4707298166479432</v>
      </c>
      <c r="E149" s="38">
        <f t="shared" si="75"/>
        <v>-1.3612054232942505</v>
      </c>
      <c r="F149" s="38">
        <f t="shared" si="75"/>
        <v>-1.232975025022409</v>
      </c>
      <c r="G149" s="38">
        <f t="shared" si="75"/>
        <v>-1.0844069803023846</v>
      </c>
      <c r="H149" s="38">
        <f t="shared" si="75"/>
        <v>-0.91434881244704158</v>
      </c>
      <c r="I149" s="38">
        <f t="shared" si="75"/>
        <v>-0.72237087576435699</v>
      </c>
      <c r="J149" s="38">
        <f t="shared" si="75"/>
        <v>-0.50900882183316298</v>
      </c>
      <c r="K149" s="38">
        <f t="shared" si="75"/>
        <v>-0.27596075089917305</v>
      </c>
      <c r="L149" s="38">
        <f t="shared" si="75"/>
        <v>-2.6186654195996306E-2</v>
      </c>
      <c r="M149" s="38">
        <f t="shared" si="75"/>
        <v>0.23613755349702448</v>
      </c>
      <c r="N149" s="38">
        <f t="shared" si="75"/>
        <v>0.50583721452253805</v>
      </c>
      <c r="O149" s="38">
        <f t="shared" si="75"/>
        <v>0.77711627561451246</v>
      </c>
      <c r="P149" s="38">
        <f t="shared" si="75"/>
        <v>1.0440423060222113</v>
      </c>
      <c r="Q149" s="38">
        <f t="shared" si="75"/>
        <v>1.301055924277053</v>
      </c>
      <c r="R149" s="38">
        <f t="shared" si="75"/>
        <v>1.543414114258737</v>
      </c>
      <c r="S149" s="38">
        <f t="shared" si="75"/>
        <v>1.7674963322890607</v>
      </c>
      <c r="T149" s="38">
        <f t="shared" si="75"/>
        <v>1.9709400426729196</v>
      </c>
      <c r="U149" s="38">
        <f t="shared" si="75"/>
        <v>2.1526133455391308</v>
      </c>
      <c r="V149" s="38">
        <f t="shared" si="75"/>
        <v>2.312462986492855</v>
      </c>
      <c r="W149" s="38">
        <f t="shared" si="75"/>
        <v>2.4512896495844898</v>
      </c>
      <c r="X149" s="43">
        <f t="shared" si="75"/>
        <v>2.5705002492281621</v>
      </c>
    </row>
    <row r="150" spans="2:24" x14ac:dyDescent="0.35">
      <c r="B150" s="70"/>
      <c r="C150" s="24">
        <v>0.25</v>
      </c>
      <c r="D150" s="42">
        <f t="shared" ref="D150:X150" si="76">(D176*$P$7) + $P$10</f>
        <v>-1.3506540079442284</v>
      </c>
      <c r="E150" s="38">
        <f t="shared" si="76"/>
        <v>-1.2206868005734435</v>
      </c>
      <c r="F150" s="38">
        <f t="shared" si="76"/>
        <v>-1.0702573814745886</v>
      </c>
      <c r="G150" s="38">
        <f t="shared" si="76"/>
        <v>-0.89826709755276868</v>
      </c>
      <c r="H150" s="38">
        <f t="shared" si="76"/>
        <v>-0.70436215260783475</v>
      </c>
      <c r="I150" s="38">
        <f t="shared" si="76"/>
        <v>-0.48917403063818909</v>
      </c>
      <c r="J150" s="38">
        <f t="shared" si="76"/>
        <v>-0.25451016407199756</v>
      </c>
      <c r="K150" s="38">
        <f t="shared" si="76"/>
        <v>-3.4422531689761726E-3</v>
      </c>
      <c r="L150" s="38">
        <f t="shared" si="76"/>
        <v>0.25975424450632634</v>
      </c>
      <c r="M150" s="38">
        <f t="shared" si="76"/>
        <v>0.5298325077391981</v>
      </c>
      <c r="N150" s="38">
        <f t="shared" si="76"/>
        <v>0.80096389818690295</v>
      </c>
      <c r="O150" s="38">
        <f t="shared" si="76"/>
        <v>1.0672287855587408</v>
      </c>
      <c r="P150" s="38">
        <f t="shared" si="76"/>
        <v>1.323123671725623</v>
      </c>
      <c r="Q150" s="38">
        <f t="shared" si="76"/>
        <v>1.5639947832638192</v>
      </c>
      <c r="R150" s="38">
        <f t="shared" si="76"/>
        <v>1.7863298264471323</v>
      </c>
      <c r="S150" s="38">
        <f t="shared" si="76"/>
        <v>1.9878782671744477</v>
      </c>
      <c r="T150" s="38">
        <f t="shared" si="76"/>
        <v>2.1676110805327391</v>
      </c>
      <c r="U150" s="38">
        <f t="shared" si="76"/>
        <v>2.3255601792005121</v>
      </c>
      <c r="V150" s="38">
        <f t="shared" si="76"/>
        <v>2.4625897992842973</v>
      </c>
      <c r="W150" s="38">
        <f t="shared" si="76"/>
        <v>2.5801487891316044</v>
      </c>
      <c r="X150" s="43">
        <f t="shared" si="76"/>
        <v>2.6800401677497976</v>
      </c>
    </row>
    <row r="151" spans="2:24" x14ac:dyDescent="0.35">
      <c r="B151" s="70"/>
      <c r="C151" s="24">
        <v>0.2</v>
      </c>
      <c r="D151" s="42">
        <f t="shared" ref="D151:X151" si="77">(D177*$P$7) + $P$10</f>
        <v>-1.2082384780996618</v>
      </c>
      <c r="E151" s="38">
        <f t="shared" si="77"/>
        <v>-1.0559389450321333</v>
      </c>
      <c r="F151" s="38">
        <f t="shared" si="77"/>
        <v>-0.88201362325361599</v>
      </c>
      <c r="G151" s="38">
        <f t="shared" si="77"/>
        <v>-0.68618647313475023</v>
      </c>
      <c r="H151" s="38">
        <f t="shared" si="77"/>
        <v>-0.46918633506815755</v>
      </c>
      <c r="I151" s="38">
        <f t="shared" si="77"/>
        <v>-0.23293069489714924</v>
      </c>
      <c r="J151" s="38">
        <f t="shared" si="77"/>
        <v>1.939749434314697E-2</v>
      </c>
      <c r="K151" s="38">
        <f t="shared" si="77"/>
        <v>0.28342505608179325</v>
      </c>
      <c r="L151" s="38">
        <f t="shared" si="77"/>
        <v>0.55383608444721144</v>
      </c>
      <c r="M151" s="38">
        <f t="shared" si="77"/>
        <v>0.8247732456988599</v>
      </c>
      <c r="N151" s="38">
        <f t="shared" si="77"/>
        <v>1.0903337302881693</v>
      </c>
      <c r="O151" s="38">
        <f t="shared" si="77"/>
        <v>1.3450733547659341</v>
      </c>
      <c r="P151" s="38">
        <f t="shared" si="77"/>
        <v>1.5844298858171388</v>
      </c>
      <c r="Q151" s="38">
        <f t="shared" si="77"/>
        <v>1.8050002107107628</v>
      </c>
      <c r="R151" s="38">
        <f t="shared" si="77"/>
        <v>2.0046454550942125</v>
      </c>
      <c r="S151" s="38">
        <f t="shared" si="77"/>
        <v>2.1824381800637203</v>
      </c>
      <c r="T151" s="38">
        <f t="shared" si="77"/>
        <v>2.3384936478568892</v>
      </c>
      <c r="U151" s="38">
        <f t="shared" si="77"/>
        <v>2.473737688726636</v>
      </c>
      <c r="V151" s="38">
        <f t="shared" si="77"/>
        <v>2.5896592721239728</v>
      </c>
      <c r="W151" s="38">
        <f t="shared" si="77"/>
        <v>2.6880828247329966</v>
      </c>
      <c r="X151" s="43">
        <f t="shared" si="77"/>
        <v>2.7709801380824373</v>
      </c>
    </row>
    <row r="152" spans="2:24" x14ac:dyDescent="0.35">
      <c r="B152" s="70"/>
      <c r="C152" s="24">
        <v>0.15</v>
      </c>
      <c r="D152" s="42">
        <f t="shared" ref="D152:X152" si="78">(D178*$P$7) + $P$10</f>
        <v>-1.0414511495151122</v>
      </c>
      <c r="E152" s="38">
        <f t="shared" si="78"/>
        <v>-0.86558847669871297</v>
      </c>
      <c r="F152" s="38">
        <f t="shared" si="78"/>
        <v>-0.66784468913555206</v>
      </c>
      <c r="G152" s="38">
        <f t="shared" si="78"/>
        <v>-0.44904745379643196</v>
      </c>
      <c r="H152" s="38">
        <f t="shared" si="78"/>
        <v>-0.21122494052547469</v>
      </c>
      <c r="I152" s="38">
        <f t="shared" si="78"/>
        <v>4.2329218069957708E-2</v>
      </c>
      <c r="J152" s="38">
        <f t="shared" si="78"/>
        <v>0.30714607061855226</v>
      </c>
      <c r="K152" s="38">
        <f t="shared" si="78"/>
        <v>0.57784379952468523</v>
      </c>
      <c r="L152" s="38">
        <f t="shared" si="78"/>
        <v>0.84854030640701117</v>
      </c>
      <c r="M152" s="38">
        <f t="shared" si="78"/>
        <v>1.1133535985218477</v>
      </c>
      <c r="N152" s="38">
        <f t="shared" si="78"/>
        <v>1.3669021562518315</v>
      </c>
      <c r="O152" s="38">
        <f t="shared" si="78"/>
        <v>1.6047174673800786</v>
      </c>
      <c r="P152" s="38">
        <f t="shared" si="78"/>
        <v>1.8235064106869809</v>
      </c>
      <c r="Q152" s="38">
        <f t="shared" si="78"/>
        <v>2.0212413305515446</v>
      </c>
      <c r="R152" s="38">
        <f t="shared" si="78"/>
        <v>2.1970950212710414</v>
      </c>
      <c r="S152" s="38">
        <f t="shared" si="78"/>
        <v>2.3512642502513041</v>
      </c>
      <c r="T152" s="38">
        <f t="shared" si="78"/>
        <v>2.4847344870867283</v>
      </c>
      <c r="U152" s="38">
        <f t="shared" si="78"/>
        <v>2.5990330319120214</v>
      </c>
      <c r="V152" s="38">
        <f t="shared" si="78"/>
        <v>2.6960042463145117</v>
      </c>
      <c r="W152" s="38">
        <f t="shared" si="78"/>
        <v>2.7776254504792059</v>
      </c>
      <c r="X152" s="43">
        <f t="shared" si="78"/>
        <v>2.8458694108051152</v>
      </c>
    </row>
    <row r="153" spans="2:24" x14ac:dyDescent="0.35">
      <c r="B153" s="70"/>
      <c r="C153" s="24">
        <v>0.1</v>
      </c>
      <c r="D153" s="42">
        <f t="shared" ref="D153:X153" si="79">(D179*$P$7) + $P$10</f>
        <v>-0.84899180683962028</v>
      </c>
      <c r="E153" s="38">
        <f t="shared" si="79"/>
        <v>-0.64933772596450479</v>
      </c>
      <c r="F153" s="38">
        <f t="shared" si="79"/>
        <v>-0.42875918423211368</v>
      </c>
      <c r="G153" s="38">
        <f t="shared" si="79"/>
        <v>-0.18939557248638383</v>
      </c>
      <c r="H153" s="38">
        <f t="shared" si="79"/>
        <v>6.5349488633341668E-2</v>
      </c>
      <c r="I153" s="38">
        <f t="shared" si="79"/>
        <v>0.33091333649333965</v>
      </c>
      <c r="J153" s="38">
        <f t="shared" si="79"/>
        <v>0.60185150499015538</v>
      </c>
      <c r="K153" s="38">
        <f t="shared" si="79"/>
        <v>0.87226109739074387</v>
      </c>
      <c r="L153" s="38">
        <f t="shared" si="79"/>
        <v>1.1362849038936669</v>
      </c>
      <c r="M153" s="38">
        <f t="shared" si="79"/>
        <v>1.3886073315202263</v>
      </c>
      <c r="N153" s="38">
        <f t="shared" si="79"/>
        <v>1.6248556521395385</v>
      </c>
      <c r="O153" s="38">
        <f t="shared" si="79"/>
        <v>1.8418474270323846</v>
      </c>
      <c r="P153" s="38">
        <f t="shared" si="79"/>
        <v>2.0376656818700343</v>
      </c>
      <c r="Q153" s="38">
        <f t="shared" si="79"/>
        <v>2.2115820308442928</v>
      </c>
      <c r="R153" s="38">
        <f t="shared" si="79"/>
        <v>2.3638728782813012</v>
      </c>
      <c r="S153" s="38">
        <f t="shared" si="79"/>
        <v>2.4955813835706624</v>
      </c>
      <c r="T153" s="38">
        <f t="shared" si="79"/>
        <v>2.6082714107034772</v>
      </c>
      <c r="U153" s="38">
        <f t="shared" si="79"/>
        <v>2.7038058151716222</v>
      </c>
      <c r="V153" s="38">
        <f t="shared" si="79"/>
        <v>2.78416637407669</v>
      </c>
      <c r="W153" s="38">
        <f t="shared" si="79"/>
        <v>2.8513203583960958</v>
      </c>
      <c r="X153" s="43">
        <f t="shared" si="79"/>
        <v>2.9071306260512535</v>
      </c>
    </row>
    <row r="154" spans="2:24" x14ac:dyDescent="0.35">
      <c r="B154" s="70"/>
      <c r="C154" s="24">
        <v>0.05</v>
      </c>
      <c r="D154" s="42">
        <f t="shared" ref="D154:X154" si="80">(D180*$P$7) + $P$10</f>
        <v>-0.63066658331118242</v>
      </c>
      <c r="E154" s="38">
        <f t="shared" si="80"/>
        <v>-0.40832340255327648</v>
      </c>
      <c r="F154" s="38">
        <f t="shared" si="80"/>
        <v>-0.16744533578120979</v>
      </c>
      <c r="G154" s="38">
        <f t="shared" si="80"/>
        <v>8.8454819406305507E-2</v>
      </c>
      <c r="H154" s="38">
        <f t="shared" si="80"/>
        <v>0.35472287064588182</v>
      </c>
      <c r="I154" s="38">
        <f t="shared" si="80"/>
        <v>0.62585505286880361</v>
      </c>
      <c r="J154" s="38">
        <f t="shared" si="80"/>
        <v>0.89593166717851203</v>
      </c>
      <c r="K154" s="38">
        <f t="shared" si="80"/>
        <v>1.1591242172951932</v>
      </c>
      <c r="L154" s="38">
        <f t="shared" si="80"/>
        <v>1.4101862093843556</v>
      </c>
      <c r="M154" s="38">
        <f t="shared" si="80"/>
        <v>1.6448426430514167</v>
      </c>
      <c r="N154" s="38">
        <f t="shared" si="80"/>
        <v>1.8600223347354219</v>
      </c>
      <c r="O154" s="38">
        <f t="shared" si="80"/>
        <v>2.0539183603873394</v>
      </c>
      <c r="P154" s="38">
        <f t="shared" si="80"/>
        <v>2.225899683652536</v>
      </c>
      <c r="Q154" s="38">
        <f t="shared" si="80"/>
        <v>2.3763204566298666</v>
      </c>
      <c r="R154" s="38">
        <f t="shared" si="80"/>
        <v>2.5062795862835432</v>
      </c>
      <c r="S154" s="38">
        <f t="shared" si="80"/>
        <v>2.617375758328174</v>
      </c>
      <c r="T154" s="38">
        <f t="shared" si="80"/>
        <v>2.7114889132526137</v>
      </c>
      <c r="U154" s="38">
        <f t="shared" si="80"/>
        <v>2.790604245576819</v>
      </c>
      <c r="V154" s="38">
        <f t="shared" si="80"/>
        <v>2.8566828337926853</v>
      </c>
      <c r="W154" s="38">
        <f t="shared" si="80"/>
        <v>2.9115752632991456</v>
      </c>
      <c r="X154" s="43">
        <f t="shared" si="80"/>
        <v>2.9569707218384997</v>
      </c>
    </row>
    <row r="155" spans="2:24" ht="15" thickBot="1" x14ac:dyDescent="0.4">
      <c r="B155" s="71"/>
      <c r="C155" s="25">
        <v>0</v>
      </c>
      <c r="D155" s="44">
        <f t="shared" ref="D155:X155" si="81">(D181*$P$7) + $P$10</f>
        <v>-0.38774206366313191</v>
      </c>
      <c r="E155" s="45">
        <f t="shared" si="81"/>
        <v>-0.1453770478895493</v>
      </c>
      <c r="F155" s="45">
        <f t="shared" si="81"/>
        <v>0.11164166844845314</v>
      </c>
      <c r="G155" s="45">
        <f t="shared" si="81"/>
        <v>0.3785706612054236</v>
      </c>
      <c r="H155" s="45">
        <f t="shared" si="81"/>
        <v>0.64985029805865269</v>
      </c>
      <c r="I155" s="45">
        <f t="shared" si="81"/>
        <v>0.91954809832902562</v>
      </c>
      <c r="J155" s="45">
        <f t="shared" si="81"/>
        <v>1.1818681687341215</v>
      </c>
      <c r="K155" s="45">
        <f t="shared" si="81"/>
        <v>1.4316361930400205</v>
      </c>
      <c r="L155" s="45">
        <f t="shared" si="81"/>
        <v>1.664676721807016</v>
      </c>
      <c r="M155" s="45">
        <f t="shared" si="81"/>
        <v>1.8780302823446657</v>
      </c>
      <c r="N155" s="45">
        <f t="shared" si="81"/>
        <v>2.0699992792378521</v>
      </c>
      <c r="O155" s="45">
        <f t="shared" si="81"/>
        <v>2.240048501369396</v>
      </c>
      <c r="P155" s="45">
        <f t="shared" si="81"/>
        <v>2.3886079414550605</v>
      </c>
      <c r="Q155" s="45">
        <f t="shared" si="81"/>
        <v>2.5168303211185425</v>
      </c>
      <c r="R155" s="45">
        <f t="shared" si="81"/>
        <v>2.6263474313823862</v>
      </c>
      <c r="S155" s="45">
        <f t="shared" si="81"/>
        <v>2.7190549211755237</v>
      </c>
      <c r="T155" s="45">
        <f t="shared" si="81"/>
        <v>2.7969403949483067</v>
      </c>
      <c r="U155" s="45">
        <f t="shared" si="81"/>
        <v>2.8619580693339253</v>
      </c>
      <c r="V155" s="45">
        <f t="shared" si="81"/>
        <v>2.9159458654169863</v>
      </c>
      <c r="W155" s="45">
        <f t="shared" si="81"/>
        <v>2.9605772250986004</v>
      </c>
      <c r="X155" s="46">
        <f t="shared" si="81"/>
        <v>2.9973390505049022</v>
      </c>
    </row>
    <row r="156" spans="2:24" x14ac:dyDescent="0.35">
      <c r="C156" s="9"/>
      <c r="D156" s="28">
        <v>0</v>
      </c>
      <c r="E156" s="26">
        <v>0.05</v>
      </c>
      <c r="F156" s="26">
        <v>0.1</v>
      </c>
      <c r="G156" s="26">
        <v>0.15</v>
      </c>
      <c r="H156" s="26">
        <v>0.2</v>
      </c>
      <c r="I156" s="26">
        <v>0.25</v>
      </c>
      <c r="J156" s="26">
        <v>0.3</v>
      </c>
      <c r="K156" s="26">
        <v>0.35</v>
      </c>
      <c r="L156" s="26">
        <v>0.4</v>
      </c>
      <c r="M156" s="26">
        <v>0.45</v>
      </c>
      <c r="N156" s="26">
        <v>0.5</v>
      </c>
      <c r="O156" s="26">
        <v>0.55000000000000004</v>
      </c>
      <c r="P156" s="26">
        <v>0.6</v>
      </c>
      <c r="Q156" s="26">
        <v>0.65</v>
      </c>
      <c r="R156" s="26">
        <v>0.7</v>
      </c>
      <c r="S156" s="26">
        <v>0.75</v>
      </c>
      <c r="T156" s="26">
        <v>0.8</v>
      </c>
      <c r="U156" s="26">
        <v>0.85</v>
      </c>
      <c r="V156" s="26">
        <v>0.9</v>
      </c>
      <c r="W156" s="26">
        <v>0.95</v>
      </c>
      <c r="X156" s="27">
        <v>1</v>
      </c>
    </row>
    <row r="157" spans="2:24" ht="21.5" thickBot="1" x14ac:dyDescent="0.55000000000000004">
      <c r="C157" s="9"/>
      <c r="D157" s="63" t="s">
        <v>64</v>
      </c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5"/>
    </row>
    <row r="159" spans="2:24" ht="15" thickBot="1" x14ac:dyDescent="0.4"/>
    <row r="160" spans="2:24" ht="21.5" thickBot="1" x14ac:dyDescent="0.55000000000000004">
      <c r="B160" s="66" t="s">
        <v>17</v>
      </c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8"/>
    </row>
    <row r="161" spans="2:24" x14ac:dyDescent="0.35">
      <c r="B161" s="69" t="s">
        <v>6</v>
      </c>
      <c r="C161" s="27">
        <v>1</v>
      </c>
      <c r="D161" s="40">
        <f>1/(1+EXP(-D187))</f>
        <v>4.6550060826018886E-3</v>
      </c>
      <c r="E161" s="39">
        <f>1/(1+EXP(-E187))</f>
        <v>5.7387142590231317E-3</v>
      </c>
      <c r="F161" s="39">
        <f t="shared" ref="F161:X161" si="82">1/(1+EXP(-F187))</f>
        <v>7.072922206526379E-3</v>
      </c>
      <c r="G161" s="39">
        <f t="shared" si="82"/>
        <v>8.7146046625966016E-3</v>
      </c>
      <c r="H161" s="39">
        <f t="shared" si="82"/>
        <v>1.0733215894635904E-2</v>
      </c>
      <c r="I161" s="39">
        <f t="shared" si="82"/>
        <v>1.3213176458960207E-2</v>
      </c>
      <c r="J161" s="39">
        <f t="shared" si="82"/>
        <v>1.6256727422456825E-2</v>
      </c>
      <c r="K161" s="39">
        <f t="shared" si="82"/>
        <v>1.9987136575859463E-2</v>
      </c>
      <c r="L161" s="39">
        <f t="shared" si="82"/>
        <v>2.4552193365623892E-2</v>
      </c>
      <c r="M161" s="39">
        <f t="shared" si="82"/>
        <v>3.0127854234116427E-2</v>
      </c>
      <c r="N161" s="39">
        <f t="shared" si="82"/>
        <v>3.6921788288907152E-2</v>
      </c>
      <c r="O161" s="39">
        <f t="shared" si="82"/>
        <v>4.5176414908040266E-2</v>
      </c>
      <c r="P161" s="39">
        <f t="shared" si="82"/>
        <v>5.5170812727125026E-2</v>
      </c>
      <c r="Q161" s="39">
        <f t="shared" si="82"/>
        <v>6.7220614133951043E-2</v>
      </c>
      <c r="R161" s="39">
        <f t="shared" si="82"/>
        <v>8.1674698783124638E-2</v>
      </c>
      <c r="S161" s="39">
        <f t="shared" si="82"/>
        <v>9.8907212114670878E-2</v>
      </c>
      <c r="T161" s="39">
        <f t="shared" si="82"/>
        <v>0.11930325515383455</v>
      </c>
      <c r="U161" s="39">
        <f t="shared" si="82"/>
        <v>0.14323667337113505</v>
      </c>
      <c r="V161" s="39">
        <f t="shared" si="82"/>
        <v>0.17103892267846879</v>
      </c>
      <c r="W161" s="39">
        <f t="shared" si="82"/>
        <v>0.20295922952123019</v>
      </c>
      <c r="X161" s="41">
        <f t="shared" si="82"/>
        <v>0.23911832024455656</v>
      </c>
    </row>
    <row r="162" spans="2:24" x14ac:dyDescent="0.35">
      <c r="B162" s="70"/>
      <c r="C162" s="24">
        <v>0.95</v>
      </c>
      <c r="D162" s="42">
        <f>1/(1+EXP(-D188))</f>
        <v>5.8457676929637922E-3</v>
      </c>
      <c r="E162" s="38">
        <f t="shared" ref="E162:X162" si="83">1/(1+EXP(-E188))</f>
        <v>7.2046844062706953E-3</v>
      </c>
      <c r="F162" s="38">
        <f t="shared" si="83"/>
        <v>8.8766765248615258E-3</v>
      </c>
      <c r="G162" s="38">
        <f t="shared" si="83"/>
        <v>1.0932415314730746E-2</v>
      </c>
      <c r="H162" s="38">
        <f t="shared" si="83"/>
        <v>1.3457775724589999E-2</v>
      </c>
      <c r="I162" s="38">
        <f t="shared" si="83"/>
        <v>1.6556722877883477E-2</v>
      </c>
      <c r="J162" s="38">
        <f t="shared" si="83"/>
        <v>2.0354547227651214E-2</v>
      </c>
      <c r="K162" s="38">
        <f t="shared" si="83"/>
        <v>2.5001379697608642E-2</v>
      </c>
      <c r="L162" s="38">
        <f t="shared" si="83"/>
        <v>3.0675840248701399E-2</v>
      </c>
      <c r="M162" s="38">
        <f t="shared" si="83"/>
        <v>3.758855781299688E-2</v>
      </c>
      <c r="N162" s="38">
        <f t="shared" si="83"/>
        <v>4.598513668967736E-2</v>
      </c>
      <c r="O162" s="38">
        <f t="shared" si="83"/>
        <v>5.6147927437081045E-2</v>
      </c>
      <c r="P162" s="38">
        <f t="shared" si="83"/>
        <v>6.8395690795125613E-2</v>
      </c>
      <c r="Q162" s="38">
        <f t="shared" si="83"/>
        <v>8.3079941202033672E-2</v>
      </c>
      <c r="R162" s="38">
        <f t="shared" si="83"/>
        <v>0.10057647385638517</v>
      </c>
      <c r="S162" s="38">
        <f t="shared" si="83"/>
        <v>0.12127041557336088</v>
      </c>
      <c r="T162" s="38">
        <f t="shared" si="83"/>
        <v>0.14553325363247996</v>
      </c>
      <c r="U162" s="38">
        <f t="shared" si="83"/>
        <v>0.1736908995013402</v>
      </c>
      <c r="V162" s="38">
        <f t="shared" si="83"/>
        <v>0.20598315273374138</v>
      </c>
      <c r="W162" s="38">
        <f t="shared" si="83"/>
        <v>0.24251706024745581</v>
      </c>
      <c r="X162" s="43">
        <f t="shared" si="83"/>
        <v>0.28321946477560844</v>
      </c>
    </row>
    <row r="163" spans="2:24" x14ac:dyDescent="0.35">
      <c r="B163" s="70"/>
      <c r="C163" s="24">
        <v>0.9</v>
      </c>
      <c r="D163" s="42">
        <f t="shared" ref="D163:X163" si="84">1/(1+EXP(-D189))</f>
        <v>7.338883075241877E-3</v>
      </c>
      <c r="E163" s="38">
        <f t="shared" si="84"/>
        <v>9.0417350629139887E-3</v>
      </c>
      <c r="F163" s="38">
        <f t="shared" si="84"/>
        <v>1.1135270094349864E-2</v>
      </c>
      <c r="G163" s="38">
        <f t="shared" si="84"/>
        <v>1.3706840060098239E-2</v>
      </c>
      <c r="H163" s="38">
        <f t="shared" si="84"/>
        <v>1.686215944359935E-2</v>
      </c>
      <c r="I163" s="38">
        <f t="shared" si="84"/>
        <v>2.0728568899335741E-2</v>
      </c>
      <c r="J163" s="38">
        <f t="shared" si="84"/>
        <v>2.5458569482954333E-2</v>
      </c>
      <c r="K163" s="38">
        <f t="shared" si="84"/>
        <v>3.1233472428703914E-2</v>
      </c>
      <c r="L163" s="38">
        <f t="shared" si="84"/>
        <v>3.8266890065771338E-2</v>
      </c>
      <c r="M163" s="38">
        <f t="shared" si="84"/>
        <v>4.6807626027606755E-2</v>
      </c>
      <c r="N163" s="38">
        <f t="shared" si="84"/>
        <v>5.714130095545647E-2</v>
      </c>
      <c r="O163" s="38">
        <f t="shared" si="84"/>
        <v>6.9589776365207329E-2</v>
      </c>
      <c r="P163" s="38">
        <f t="shared" si="84"/>
        <v>8.4507136412948922E-2</v>
      </c>
      <c r="Q163" s="38">
        <f t="shared" si="84"/>
        <v>0.1022707103662045</v>
      </c>
      <c r="R163" s="38">
        <f t="shared" si="84"/>
        <v>0.12326547213216989</v>
      </c>
      <c r="S163" s="38">
        <f t="shared" si="84"/>
        <v>0.14786030126552022</v>
      </c>
      <c r="T163" s="38">
        <f t="shared" si="84"/>
        <v>0.17637524671903265</v>
      </c>
      <c r="U163" s="38">
        <f t="shared" si="84"/>
        <v>0.20904031356014122</v>
      </c>
      <c r="V163" s="38">
        <f t="shared" si="84"/>
        <v>0.24594849340206273</v>
      </c>
      <c r="W163" s="38">
        <f t="shared" si="84"/>
        <v>0.28700859584100857</v>
      </c>
      <c r="X163" s="43">
        <f t="shared" si="84"/>
        <v>0.33190627233453068</v>
      </c>
    </row>
    <row r="164" spans="2:24" x14ac:dyDescent="0.35">
      <c r="B164" s="70"/>
      <c r="C164" s="24">
        <v>0.85</v>
      </c>
      <c r="D164" s="42">
        <f t="shared" ref="D164:X164" si="85">1/(1+EXP(-D190))</f>
        <v>9.2098342838145639E-3</v>
      </c>
      <c r="E164" s="38">
        <f t="shared" si="85"/>
        <v>1.1341845752113749E-2</v>
      </c>
      <c r="F164" s="38">
        <f t="shared" si="85"/>
        <v>1.396044862504086E-2</v>
      </c>
      <c r="G164" s="38">
        <f t="shared" si="85"/>
        <v>1.7173132274972448E-2</v>
      </c>
      <c r="H164" s="38">
        <f t="shared" si="85"/>
        <v>2.110931525146301E-2</v>
      </c>
      <c r="I164" s="38">
        <f t="shared" si="85"/>
        <v>2.5923897414119247E-2</v>
      </c>
      <c r="J164" s="38">
        <f t="shared" si="85"/>
        <v>3.1800908809537363E-2</v>
      </c>
      <c r="K164" s="38">
        <f t="shared" si="85"/>
        <v>3.8956968155902688E-2</v>
      </c>
      <c r="L164" s="38">
        <f t="shared" si="85"/>
        <v>4.7644091717311425E-2</v>
      </c>
      <c r="M164" s="38">
        <f t="shared" si="85"/>
        <v>5.8151166521511567E-2</v>
      </c>
      <c r="N164" s="38">
        <f t="shared" si="85"/>
        <v>7.0803124474125484E-2</v>
      </c>
      <c r="O164" s="38">
        <f t="shared" si="85"/>
        <v>8.5956550447288407E-2</v>
      </c>
      <c r="P164" s="38">
        <f t="shared" si="85"/>
        <v>0.10399018698430076</v>
      </c>
      <c r="Q164" s="38">
        <f t="shared" si="85"/>
        <v>0.12528867033793781</v>
      </c>
      <c r="R164" s="38">
        <f t="shared" si="85"/>
        <v>0.15021801645788097</v>
      </c>
      <c r="S164" s="38">
        <f t="shared" si="85"/>
        <v>0.17909208827561771</v>
      </c>
      <c r="T164" s="38">
        <f t="shared" si="85"/>
        <v>0.21213072603286082</v>
      </c>
      <c r="U164" s="38">
        <f t="shared" si="85"/>
        <v>0.24941249221556083</v>
      </c>
      <c r="V164" s="38">
        <f t="shared" si="85"/>
        <v>0.29082785220170437</v>
      </c>
      <c r="W164" s="38">
        <f t="shared" si="85"/>
        <v>0.33604139786132997</v>
      </c>
      <c r="X164" s="43">
        <f t="shared" si="85"/>
        <v>0.38447327113204061</v>
      </c>
    </row>
    <row r="165" spans="2:24" x14ac:dyDescent="0.35">
      <c r="B165" s="70"/>
      <c r="C165" s="24">
        <v>0.8</v>
      </c>
      <c r="D165" s="42">
        <f t="shared" ref="D165:X165" si="86">1/(1+EXP(-D191))</f>
        <v>1.1552208922672934E-2</v>
      </c>
      <c r="E165" s="38">
        <f t="shared" si="86"/>
        <v>1.4218681894688355E-2</v>
      </c>
      <c r="F165" s="38">
        <f t="shared" si="86"/>
        <v>1.7489738060069242E-2</v>
      </c>
      <c r="G165" s="38">
        <f t="shared" si="86"/>
        <v>2.1496901702495495E-2</v>
      </c>
      <c r="H165" s="38">
        <f t="shared" si="86"/>
        <v>2.6397500158677128E-2</v>
      </c>
      <c r="I165" s="38">
        <f t="shared" si="86"/>
        <v>3.2378309584547502E-2</v>
      </c>
      <c r="J165" s="38">
        <f t="shared" si="86"/>
        <v>3.9658977458505378E-2</v>
      </c>
      <c r="K165" s="38">
        <f t="shared" si="86"/>
        <v>4.8494744798123553E-2</v>
      </c>
      <c r="L165" s="38">
        <f t="shared" si="86"/>
        <v>5.9177759388863445E-2</v>
      </c>
      <c r="M165" s="38">
        <f t="shared" si="86"/>
        <v>7.2035990236064898E-2</v>
      </c>
      <c r="N165" s="38">
        <f t="shared" si="86"/>
        <v>8.7428449885711287E-2</v>
      </c>
      <c r="O165" s="38">
        <f t="shared" si="86"/>
        <v>0.10573516816264378</v>
      </c>
      <c r="P165" s="38">
        <f t="shared" si="86"/>
        <v>0.12734025281044825</v>
      </c>
      <c r="Q165" s="38">
        <f t="shared" si="86"/>
        <v>0.15260659397029736</v>
      </c>
      <c r="R165" s="38">
        <f t="shared" si="86"/>
        <v>0.18184153976860801</v>
      </c>
      <c r="S165" s="38">
        <f t="shared" si="86"/>
        <v>0.21525439287534265</v>
      </c>
      <c r="T165" s="38">
        <f t="shared" si="86"/>
        <v>0.25290891540340754</v>
      </c>
      <c r="U165" s="38">
        <f t="shared" si="86"/>
        <v>0.29467692675519974</v>
      </c>
      <c r="V165" s="38">
        <f t="shared" si="86"/>
        <v>0.34020180793968952</v>
      </c>
      <c r="W165" s="38">
        <f t="shared" si="86"/>
        <v>0.38888210152833053</v>
      </c>
      <c r="X165" s="43">
        <f t="shared" si="86"/>
        <v>0.4398841247793201</v>
      </c>
    </row>
    <row r="166" spans="2:24" x14ac:dyDescent="0.35">
      <c r="B166" s="70"/>
      <c r="C166" s="24">
        <v>0.75</v>
      </c>
      <c r="D166" s="42">
        <f t="shared" ref="D166:X166" si="87">1/(1+EXP(-D192))</f>
        <v>1.4481621678595825E-2</v>
      </c>
      <c r="E166" s="38">
        <f t="shared" si="87"/>
        <v>1.7812075039403838E-2</v>
      </c>
      <c r="F166" s="38">
        <f t="shared" si="87"/>
        <v>2.1891445448629272E-2</v>
      </c>
      <c r="G166" s="38">
        <f t="shared" si="87"/>
        <v>2.687951637733561E-2</v>
      </c>
      <c r="H166" s="38">
        <f t="shared" si="87"/>
        <v>3.296583711829728E-2</v>
      </c>
      <c r="I166" s="38">
        <f t="shared" si="87"/>
        <v>4.0373105619392669E-2</v>
      </c>
      <c r="J166" s="38">
        <f t="shared" si="87"/>
        <v>4.935979854253366E-2</v>
      </c>
      <c r="K166" s="38">
        <f t="shared" si="87"/>
        <v>6.0221316792236267E-2</v>
      </c>
      <c r="L166" s="38">
        <f t="shared" si="87"/>
        <v>7.328863018469424E-2</v>
      </c>
      <c r="M166" s="38">
        <f t="shared" si="87"/>
        <v>8.8923101752585582E-2</v>
      </c>
      <c r="N166" s="38">
        <f t="shared" si="87"/>
        <v>0.10750591731133759</v>
      </c>
      <c r="O166" s="38">
        <f t="shared" si="87"/>
        <v>0.12942045907774141</v>
      </c>
      <c r="P166" s="38">
        <f t="shared" si="87"/>
        <v>0.15502622289035539</v>
      </c>
      <c r="Q166" s="38">
        <f t="shared" si="87"/>
        <v>0.18462370818248716</v>
      </c>
      <c r="R166" s="38">
        <f t="shared" si="87"/>
        <v>0.21841130525446925</v>
      </c>
      <c r="S166" s="38">
        <f t="shared" si="87"/>
        <v>0.25643760771417096</v>
      </c>
      <c r="T166" s="38">
        <f t="shared" si="87"/>
        <v>0.29855549720078151</v>
      </c>
      <c r="U166" s="38">
        <f t="shared" si="87"/>
        <v>0.34438700973824365</v>
      </c>
      <c r="V166" s="38">
        <f t="shared" si="87"/>
        <v>0.39330918399186698</v>
      </c>
      <c r="W166" s="38">
        <f t="shared" si="87"/>
        <v>0.44446953720408439</v>
      </c>
      <c r="X166" s="43">
        <f t="shared" si="87"/>
        <v>0.49683489590755009</v>
      </c>
    </row>
    <row r="167" spans="2:24" x14ac:dyDescent="0.35">
      <c r="B167" s="70"/>
      <c r="C167" s="24">
        <v>0.7</v>
      </c>
      <c r="D167" s="42">
        <f t="shared" ref="D167:X167" si="88">1/(1+EXP(-D193))</f>
        <v>1.8140243025747325E-2</v>
      </c>
      <c r="E167" s="38">
        <f t="shared" si="88"/>
        <v>2.22930654835445E-2</v>
      </c>
      <c r="F167" s="38">
        <f t="shared" si="88"/>
        <v>2.7370086741671643E-2</v>
      </c>
      <c r="G167" s="38">
        <f t="shared" si="88"/>
        <v>3.3563655959248928E-2</v>
      </c>
      <c r="H167" s="38">
        <f t="shared" si="88"/>
        <v>4.1099542558275151E-2</v>
      </c>
      <c r="I167" s="38">
        <f t="shared" si="88"/>
        <v>5.0239468443836414E-2</v>
      </c>
      <c r="J167" s="38">
        <f t="shared" si="88"/>
        <v>6.1282077911800147E-2</v>
      </c>
      <c r="K167" s="38">
        <f t="shared" si="88"/>
        <v>7.4561302205155514E-2</v>
      </c>
      <c r="L167" s="38">
        <f t="shared" si="88"/>
        <v>9.0440773406448238E-2</v>
      </c>
      <c r="M167" s="38">
        <f t="shared" si="88"/>
        <v>0.10930269664049448</v>
      </c>
      <c r="N167" s="38">
        <f t="shared" si="88"/>
        <v>0.13152952536801901</v>
      </c>
      <c r="O167" s="38">
        <f t="shared" si="88"/>
        <v>0.15747708638331218</v>
      </c>
      <c r="P167" s="38">
        <f t="shared" si="88"/>
        <v>0.18743869162208412</v>
      </c>
      <c r="Q167" s="38">
        <f t="shared" si="88"/>
        <v>0.22160144253707448</v>
      </c>
      <c r="R167" s="38">
        <f t="shared" si="88"/>
        <v>0.25999839976359818</v>
      </c>
      <c r="S167" s="38">
        <f t="shared" si="88"/>
        <v>0.30246322600869691</v>
      </c>
      <c r="T167" s="38">
        <f t="shared" si="88"/>
        <v>0.3485964959169891</v>
      </c>
      <c r="U167" s="38">
        <f t="shared" si="88"/>
        <v>0.39775386243633837</v>
      </c>
      <c r="V167" s="38">
        <f t="shared" si="88"/>
        <v>0.44906442649757111</v>
      </c>
      <c r="W167" s="38">
        <f t="shared" si="88"/>
        <v>0.50148245345952369</v>
      </c>
      <c r="X167" s="43">
        <f t="shared" si="88"/>
        <v>0.5538679142795554</v>
      </c>
    </row>
    <row r="168" spans="2:24" x14ac:dyDescent="0.35">
      <c r="B168" s="70"/>
      <c r="C168" s="24">
        <v>0.65</v>
      </c>
      <c r="D168" s="42">
        <f t="shared" ref="D168:X168" si="89">1/(1+EXP(-D194))</f>
        <v>2.2701882618070355E-2</v>
      </c>
      <c r="E168" s="38">
        <f t="shared" si="89"/>
        <v>2.786935395156144E-2</v>
      </c>
      <c r="F168" s="38">
        <f t="shared" si="89"/>
        <v>3.4171932851809084E-2</v>
      </c>
      <c r="G168" s="38">
        <f t="shared" si="89"/>
        <v>4.1838480470855054E-2</v>
      </c>
      <c r="H168" s="38">
        <f t="shared" si="89"/>
        <v>5.1133972202052611E-2</v>
      </c>
      <c r="I168" s="38">
        <f t="shared" si="89"/>
        <v>6.2360283835029263E-2</v>
      </c>
      <c r="J168" s="38">
        <f t="shared" si="89"/>
        <v>7.5854265462742237E-2</v>
      </c>
      <c r="K168" s="38">
        <f t="shared" si="89"/>
        <v>9.1981732426403201E-2</v>
      </c>
      <c r="L168" s="38">
        <f t="shared" si="89"/>
        <v>0.11112576699763339</v>
      </c>
      <c r="M168" s="38">
        <f t="shared" si="89"/>
        <v>0.13366768439737575</v>
      </c>
      <c r="N168" s="38">
        <f t="shared" si="89"/>
        <v>0.15995936144017917</v>
      </c>
      <c r="O168" s="38">
        <f t="shared" si="89"/>
        <v>0.19028657904611626</v>
      </c>
      <c r="P168" s="38">
        <f t="shared" si="89"/>
        <v>0.22482477205097248</v>
      </c>
      <c r="Q168" s="38">
        <f t="shared" si="89"/>
        <v>0.26359110787838003</v>
      </c>
      <c r="R168" s="38">
        <f t="shared" si="89"/>
        <v>0.30639976040370726</v>
      </c>
      <c r="S168" s="38">
        <f t="shared" si="89"/>
        <v>0.3528297447912957</v>
      </c>
      <c r="T168" s="38">
        <f t="shared" si="89"/>
        <v>0.40221546944553938</v>
      </c>
      <c r="U168" s="38">
        <f t="shared" si="89"/>
        <v>0.45366802571349135</v>
      </c>
      <c r="V168" s="38">
        <f t="shared" si="89"/>
        <v>0.5061297548578827</v>
      </c>
      <c r="W168" s="38">
        <f t="shared" si="89"/>
        <v>0.55845684602913526</v>
      </c>
      <c r="X168" s="43">
        <f t="shared" si="89"/>
        <v>0.60951712460173979</v>
      </c>
    </row>
    <row r="169" spans="2:24" x14ac:dyDescent="0.35">
      <c r="B169" s="70"/>
      <c r="C169" s="24">
        <v>0.6</v>
      </c>
      <c r="D169" s="42">
        <f t="shared" ref="D169:X169" si="90">1/(1+EXP(-D195))</f>
        <v>2.8377462752279713E-2</v>
      </c>
      <c r="E169" s="38">
        <f t="shared" si="90"/>
        <v>3.479083674770151E-2</v>
      </c>
      <c r="F169" s="38">
        <f t="shared" si="90"/>
        <v>4.2590113829766955E-2</v>
      </c>
      <c r="G169" s="38">
        <f t="shared" si="90"/>
        <v>5.2043529708065507E-2</v>
      </c>
      <c r="H169" s="38">
        <f t="shared" si="90"/>
        <v>6.3456177516006004E-2</v>
      </c>
      <c r="I169" s="38">
        <f t="shared" si="90"/>
        <v>7.7167780328193547E-2</v>
      </c>
      <c r="J169" s="38">
        <f t="shared" si="90"/>
        <v>9.3546246494400104E-2</v>
      </c>
      <c r="K169" s="38">
        <f t="shared" si="90"/>
        <v>0.11297538770059429</v>
      </c>
      <c r="L169" s="38">
        <f t="shared" si="90"/>
        <v>0.13583516515342911</v>
      </c>
      <c r="M169" s="38">
        <f t="shared" si="90"/>
        <v>0.16247321862326322</v>
      </c>
      <c r="N169" s="38">
        <f t="shared" si="90"/>
        <v>0.19316745000122673</v>
      </c>
      <c r="O169" s="38">
        <f t="shared" si="90"/>
        <v>0.22808124885094275</v>
      </c>
      <c r="P169" s="38">
        <f t="shared" si="90"/>
        <v>0.26721553395006675</v>
      </c>
      <c r="Q169" s="38">
        <f t="shared" si="90"/>
        <v>0.31036473236334539</v>
      </c>
      <c r="R169" s="38">
        <f t="shared" si="90"/>
        <v>0.35708622051274874</v>
      </c>
      <c r="S169" s="38">
        <f t="shared" si="90"/>
        <v>0.40669332663794316</v>
      </c>
      <c r="T169" s="38">
        <f t="shared" si="90"/>
        <v>0.4582795619799957</v>
      </c>
      <c r="U169" s="38">
        <f t="shared" si="90"/>
        <v>0.51077599724377509</v>
      </c>
      <c r="V169" s="38">
        <f t="shared" si="90"/>
        <v>0.56303581496759714</v>
      </c>
      <c r="W169" s="38">
        <f t="shared" si="90"/>
        <v>0.61393263829059863</v>
      </c>
      <c r="X169" s="43">
        <f t="shared" si="90"/>
        <v>0.66245519912927686</v>
      </c>
    </row>
    <row r="170" spans="2:24" x14ac:dyDescent="0.35">
      <c r="B170" s="70"/>
      <c r="C170" s="24">
        <v>0.55000000000000004</v>
      </c>
      <c r="D170" s="42">
        <f t="shared" ref="D170:X170" si="91">1/(1+EXP(-D196))</f>
        <v>3.5420538816630445E-2</v>
      </c>
      <c r="E170" s="38">
        <f t="shared" si="91"/>
        <v>4.3354639384315788E-2</v>
      </c>
      <c r="F170" s="38">
        <f t="shared" si="91"/>
        <v>5.2968363025908113E-2</v>
      </c>
      <c r="G170" s="38">
        <f t="shared" si="91"/>
        <v>6.4570003732099326E-2</v>
      </c>
      <c r="H170" s="38">
        <f t="shared" si="91"/>
        <v>7.8502108299531845E-2</v>
      </c>
      <c r="I170" s="38">
        <f t="shared" si="91"/>
        <v>9.5134583273343315E-2</v>
      </c>
      <c r="J170" s="38">
        <f t="shared" si="91"/>
        <v>0.11485181636596559</v>
      </c>
      <c r="K170" s="38">
        <f t="shared" si="91"/>
        <v>0.13803219267493397</v>
      </c>
      <c r="L170" s="38">
        <f t="shared" si="91"/>
        <v>0.16501882180937091</v>
      </c>
      <c r="M170" s="38">
        <f t="shared" si="91"/>
        <v>0.19608137435686163</v>
      </c>
      <c r="N170" s="38">
        <f t="shared" si="91"/>
        <v>0.2313708154901146</v>
      </c>
      <c r="O170" s="38">
        <f t="shared" si="91"/>
        <v>0.27087146529959005</v>
      </c>
      <c r="P170" s="38">
        <f t="shared" si="91"/>
        <v>0.31435775863118726</v>
      </c>
      <c r="Q170" s="38">
        <f t="shared" si="91"/>
        <v>0.3613653732668391</v>
      </c>
      <c r="R170" s="38">
        <f t="shared" si="91"/>
        <v>0.41118674504599689</v>
      </c>
      <c r="S170" s="38">
        <f t="shared" si="91"/>
        <v>0.46289825701074372</v>
      </c>
      <c r="T170" s="38">
        <f t="shared" si="91"/>
        <v>0.51542037849004352</v>
      </c>
      <c r="U170" s="38">
        <f t="shared" si="91"/>
        <v>0.56760406493591153</v>
      </c>
      <c r="V170" s="38">
        <f t="shared" si="91"/>
        <v>0.61832948744586747</v>
      </c>
      <c r="W170" s="38">
        <f t="shared" si="91"/>
        <v>0.66659953504948322</v>
      </c>
      <c r="X170" s="43">
        <f t="shared" si="91"/>
        <v>0.71161208636333007</v>
      </c>
    </row>
    <row r="171" spans="2:24" x14ac:dyDescent="0.35">
      <c r="B171" s="70"/>
      <c r="C171" s="24">
        <v>0.5</v>
      </c>
      <c r="D171" s="42">
        <f t="shared" ref="D171:X171" si="92">1/(1+EXP(-D197))</f>
        <v>4.4132256158960791E-2</v>
      </c>
      <c r="E171" s="38">
        <f t="shared" si="92"/>
        <v>5.3908696373138248E-2</v>
      </c>
      <c r="F171" s="38">
        <f t="shared" si="92"/>
        <v>6.5702009037944153E-2</v>
      </c>
      <c r="G171" s="38">
        <f t="shared" si="92"/>
        <v>7.9857511920374213E-2</v>
      </c>
      <c r="H171" s="38">
        <f t="shared" si="92"/>
        <v>9.6747010280981358E-2</v>
      </c>
      <c r="I171" s="38">
        <f t="shared" si="92"/>
        <v>0.11675530873302931</v>
      </c>
      <c r="J171" s="38">
        <f t="shared" si="92"/>
        <v>0.14025898782747512</v>
      </c>
      <c r="K171" s="38">
        <f t="shared" si="92"/>
        <v>0.16759632793089627</v>
      </c>
      <c r="L171" s="38">
        <f t="shared" si="92"/>
        <v>0.19902841204133759</v>
      </c>
      <c r="M171" s="38">
        <f t="shared" si="92"/>
        <v>0.23469340179720527</v>
      </c>
      <c r="N171" s="38">
        <f t="shared" si="92"/>
        <v>0.27455867455283756</v>
      </c>
      <c r="O171" s="38">
        <f t="shared" si="92"/>
        <v>0.31837844074543414</v>
      </c>
      <c r="P171" s="38">
        <f t="shared" si="92"/>
        <v>0.36566663948748479</v>
      </c>
      <c r="Q171" s="38">
        <f t="shared" si="92"/>
        <v>0.41569502550974591</v>
      </c>
      <c r="R171" s="38">
        <f t="shared" si="92"/>
        <v>0.46752332762378485</v>
      </c>
      <c r="S171" s="38">
        <f t="shared" si="92"/>
        <v>0.52006209775482759</v>
      </c>
      <c r="T171" s="38">
        <f t="shared" si="92"/>
        <v>0.57216084700613323</v>
      </c>
      <c r="U171" s="38">
        <f t="shared" si="92"/>
        <v>0.62270703528694782</v>
      </c>
      <c r="V171" s="38">
        <f t="shared" si="92"/>
        <v>0.67071827966735476</v>
      </c>
      <c r="W171" s="38">
        <f t="shared" si="92"/>
        <v>0.71541215895338883</v>
      </c>
      <c r="X171" s="43">
        <f t="shared" si="92"/>
        <v>0.75624434124362838</v>
      </c>
    </row>
    <row r="172" spans="2:24" x14ac:dyDescent="0.35">
      <c r="B172" s="70"/>
      <c r="C172" s="24">
        <v>0.45</v>
      </c>
      <c r="D172" s="42">
        <f t="shared" ref="D172:X172" si="93">1/(1+EXP(-D198))</f>
        <v>5.4864756099235051E-2</v>
      </c>
      <c r="E172" s="38">
        <f t="shared" si="93"/>
        <v>6.6852441716648447E-2</v>
      </c>
      <c r="F172" s="38">
        <f t="shared" si="93"/>
        <v>8.1234254694645638E-2</v>
      </c>
      <c r="G172" s="38">
        <f t="shared" si="93"/>
        <v>9.8383794759531407E-2</v>
      </c>
      <c r="H172" s="38">
        <f t="shared" si="93"/>
        <v>0.11868611848323239</v>
      </c>
      <c r="I172" s="38">
        <f t="shared" si="93"/>
        <v>0.14251576707534164</v>
      </c>
      <c r="J172" s="38">
        <f t="shared" si="93"/>
        <v>0.17020588671501913</v>
      </c>
      <c r="K172" s="38">
        <f t="shared" si="93"/>
        <v>0.20200861277946558</v>
      </c>
      <c r="L172" s="38">
        <f t="shared" si="93"/>
        <v>0.23804892466006175</v>
      </c>
      <c r="M172" s="38">
        <f t="shared" si="93"/>
        <v>0.27827691952771982</v>
      </c>
      <c r="N172" s="38">
        <f t="shared" si="93"/>
        <v>0.32242636508306843</v>
      </c>
      <c r="O172" s="38">
        <f t="shared" si="93"/>
        <v>0.36998944208833701</v>
      </c>
      <c r="P172" s="38">
        <f t="shared" si="93"/>
        <v>0.42021745908435582</v>
      </c>
      <c r="Q172" s="38">
        <f t="shared" si="93"/>
        <v>0.47215398626752608</v>
      </c>
      <c r="R172" s="38">
        <f t="shared" si="93"/>
        <v>0.52470035603327836</v>
      </c>
      <c r="S172" s="38">
        <f t="shared" si="93"/>
        <v>0.57670541995826052</v>
      </c>
      <c r="T172" s="38">
        <f t="shared" si="93"/>
        <v>0.62706465725163585</v>
      </c>
      <c r="U172" s="38">
        <f t="shared" si="93"/>
        <v>0.67481096422626385</v>
      </c>
      <c r="V172" s="38">
        <f t="shared" si="93"/>
        <v>0.71918191825408806</v>
      </c>
      <c r="W172" s="38">
        <f t="shared" si="93"/>
        <v>0.75965493182876764</v>
      </c>
      <c r="X172" s="43">
        <f t="shared" si="93"/>
        <v>0.79594978092356439</v>
      </c>
    </row>
    <row r="173" spans="2:24" x14ac:dyDescent="0.35">
      <c r="B173" s="70"/>
      <c r="C173" s="24">
        <v>0.4</v>
      </c>
      <c r="D173" s="42">
        <f t="shared" ref="D173:X173" si="94">1/(1+EXP(-D199))</f>
        <v>6.8021551728154286E-2</v>
      </c>
      <c r="E173" s="38">
        <f t="shared" si="94"/>
        <v>8.2632600997627217E-2</v>
      </c>
      <c r="F173" s="38">
        <f t="shared" si="94"/>
        <v>0.10004520354099634</v>
      </c>
      <c r="G173" s="38">
        <f t="shared" si="94"/>
        <v>0.12064449705520287</v>
      </c>
      <c r="H173" s="38">
        <f t="shared" si="94"/>
        <v>0.14480274224969694</v>
      </c>
      <c r="I173" s="38">
        <f t="shared" si="94"/>
        <v>0.172847640421261</v>
      </c>
      <c r="J173" s="38">
        <f t="shared" si="94"/>
        <v>0.20502201583210461</v>
      </c>
      <c r="K173" s="38">
        <f t="shared" si="94"/>
        <v>0.24143728781597146</v>
      </c>
      <c r="L173" s="38">
        <f t="shared" si="94"/>
        <v>0.28202594313316098</v>
      </c>
      <c r="M173" s="38">
        <f t="shared" si="94"/>
        <v>0.32650110291983675</v>
      </c>
      <c r="N173" s="38">
        <f t="shared" si="94"/>
        <v>0.37433319071078841</v>
      </c>
      <c r="O173" s="38">
        <f t="shared" si="94"/>
        <v>0.42475332746107813</v>
      </c>
      <c r="P173" s="38">
        <f t="shared" si="94"/>
        <v>0.47678944155304165</v>
      </c>
      <c r="Q173" s="38">
        <f t="shared" si="94"/>
        <v>0.52933435670658457</v>
      </c>
      <c r="R173" s="38">
        <f t="shared" si="94"/>
        <v>0.58123705074620058</v>
      </c>
      <c r="S173" s="38">
        <f t="shared" si="94"/>
        <v>0.63140174130433235</v>
      </c>
      <c r="T173" s="38">
        <f t="shared" si="94"/>
        <v>0.67887713483054946</v>
      </c>
      <c r="U173" s="38">
        <f t="shared" si="94"/>
        <v>0.72292108195360283</v>
      </c>
      <c r="V173" s="38">
        <f t="shared" si="94"/>
        <v>0.76303275505026713</v>
      </c>
      <c r="W173" s="38">
        <f t="shared" si="94"/>
        <v>0.79895251279010793</v>
      </c>
      <c r="X173" s="43">
        <f t="shared" si="94"/>
        <v>0.83063604064957741</v>
      </c>
    </row>
    <row r="174" spans="2:24" x14ac:dyDescent="0.35">
      <c r="B174" s="70"/>
      <c r="C174" s="24">
        <v>0.35</v>
      </c>
      <c r="D174" s="42">
        <f t="shared" ref="D174:X174" si="95">1/(1+EXP(-D200))</f>
        <v>8.4052815983269566E-2</v>
      </c>
      <c r="E174" s="38">
        <f t="shared" si="95"/>
        <v>0.10173150290813619</v>
      </c>
      <c r="F174" s="38">
        <f t="shared" si="95"/>
        <v>0.12263069345533251</v>
      </c>
      <c r="G174" s="38">
        <f t="shared" si="95"/>
        <v>0.14712012031316871</v>
      </c>
      <c r="H174" s="38">
        <f t="shared" si="95"/>
        <v>0.17552172357764739</v>
      </c>
      <c r="I174" s="38">
        <f t="shared" si="95"/>
        <v>0.20806864973803063</v>
      </c>
      <c r="J174" s="38">
        <f t="shared" si="95"/>
        <v>0.2448583816491974</v>
      </c>
      <c r="K174" s="38">
        <f t="shared" si="95"/>
        <v>0.28580547328043576</v>
      </c>
      <c r="L174" s="38">
        <f t="shared" si="95"/>
        <v>0.33060221050627653</v>
      </c>
      <c r="M174" s="38">
        <f t="shared" si="95"/>
        <v>0.37869728198857078</v>
      </c>
      <c r="N174" s="38">
        <f t="shared" si="95"/>
        <v>0.42930190340116559</v>
      </c>
      <c r="O174" s="38">
        <f t="shared" si="95"/>
        <v>0.48142889879197204</v>
      </c>
      <c r="P174" s="38">
        <f t="shared" si="95"/>
        <v>0.53396330608750231</v>
      </c>
      <c r="Q174" s="38">
        <f t="shared" si="95"/>
        <v>0.58575501495224125</v>
      </c>
      <c r="R174" s="38">
        <f t="shared" si="95"/>
        <v>0.63571768822813757</v>
      </c>
      <c r="S174" s="38">
        <f t="shared" si="95"/>
        <v>0.6829163525489137</v>
      </c>
      <c r="T174" s="38">
        <f t="shared" si="95"/>
        <v>0.72662938279069167</v>
      </c>
      <c r="U174" s="38">
        <f t="shared" si="95"/>
        <v>0.76637770560419083</v>
      </c>
      <c r="V174" s="38">
        <f t="shared" si="95"/>
        <v>0.80192205379954395</v>
      </c>
      <c r="W174" s="38">
        <f t="shared" si="95"/>
        <v>0.83323528537570313</v>
      </c>
      <c r="X174" s="43">
        <f t="shared" si="95"/>
        <v>0.8604597169335384</v>
      </c>
    </row>
    <row r="175" spans="2:24" x14ac:dyDescent="0.35">
      <c r="B175" s="70"/>
      <c r="C175" s="24">
        <v>0.3</v>
      </c>
      <c r="D175" s="42">
        <f t="shared" ref="D175:X175" si="96">1/(1+EXP(-D201))</f>
        <v>0.10344295845105936</v>
      </c>
      <c r="E175" s="38">
        <f t="shared" si="96"/>
        <v>0.12464495406395901</v>
      </c>
      <c r="F175" s="38">
        <f t="shared" si="96"/>
        <v>0.14946810312099321</v>
      </c>
      <c r="G175" s="38">
        <f t="shared" si="96"/>
        <v>0.17822826271574924</v>
      </c>
      <c r="H175" s="38">
        <f t="shared" si="96"/>
        <v>0.21114853205851633</v>
      </c>
      <c r="I175" s="38">
        <f t="shared" si="96"/>
        <v>0.24831208299620861</v>
      </c>
      <c r="J175" s="38">
        <f t="shared" si="96"/>
        <v>0.28961522280726254</v>
      </c>
      <c r="K175" s="38">
        <f t="shared" si="96"/>
        <v>0.33472922915999065</v>
      </c>
      <c r="L175" s="38">
        <f t="shared" si="96"/>
        <v>0.38308109982879246</v>
      </c>
      <c r="M175" s="38">
        <f t="shared" si="96"/>
        <v>0.43386245118221933</v>
      </c>
      <c r="N175" s="38">
        <f t="shared" si="96"/>
        <v>0.48607156053923251</v>
      </c>
      <c r="O175" s="38">
        <f t="shared" si="96"/>
        <v>0.53858641396160623</v>
      </c>
      <c r="P175" s="38">
        <f t="shared" si="96"/>
        <v>0.59025859722946217</v>
      </c>
      <c r="Q175" s="38">
        <f t="shared" si="96"/>
        <v>0.64001191190062623</v>
      </c>
      <c r="R175" s="38">
        <f t="shared" si="96"/>
        <v>0.68692819350145662</v>
      </c>
      <c r="S175" s="38">
        <f t="shared" si="96"/>
        <v>0.73030656847464759</v>
      </c>
      <c r="T175" s="38">
        <f t="shared" si="96"/>
        <v>0.7696896914753939</v>
      </c>
      <c r="U175" s="38">
        <f t="shared" si="96"/>
        <v>0.80485844660295225</v>
      </c>
      <c r="V175" s="38">
        <f t="shared" si="96"/>
        <v>0.8358025247434242</v>
      </c>
      <c r="W175" s="38">
        <f t="shared" si="96"/>
        <v>0.86267692424196385</v>
      </c>
      <c r="X175" s="43">
        <f t="shared" si="96"/>
        <v>0.88575399897630258</v>
      </c>
    </row>
    <row r="176" spans="2:24" x14ac:dyDescent="0.35">
      <c r="B176" s="70"/>
      <c r="C176" s="24">
        <v>0.25</v>
      </c>
      <c r="D176" s="42">
        <f t="shared" ref="D176:X176" si="97">1/(1+EXP(-D202))</f>
        <v>0.12668752243718531</v>
      </c>
      <c r="E176" s="38">
        <f t="shared" si="97"/>
        <v>0.15184688717885997</v>
      </c>
      <c r="F176" s="38">
        <f t="shared" si="97"/>
        <v>0.1809673761048772</v>
      </c>
      <c r="G176" s="38">
        <f t="shared" si="97"/>
        <v>0.21426166912502517</v>
      </c>
      <c r="H176" s="38">
        <f t="shared" si="97"/>
        <v>0.2517982549590651</v>
      </c>
      <c r="I176" s="38">
        <f t="shared" si="97"/>
        <v>0.29345488941505243</v>
      </c>
      <c r="J176" s="38">
        <f t="shared" si="97"/>
        <v>0.33888168537433555</v>
      </c>
      <c r="K176" s="38">
        <f t="shared" si="97"/>
        <v>0.38748401570923596</v>
      </c>
      <c r="L176" s="38">
        <f t="shared" si="97"/>
        <v>0.43843422705641594</v>
      </c>
      <c r="M176" s="38">
        <f t="shared" si="97"/>
        <v>0.49071662713975628</v>
      </c>
      <c r="N176" s="38">
        <f t="shared" si="97"/>
        <v>0.54320289412347389</v>
      </c>
      <c r="O176" s="38">
        <f t="shared" si="97"/>
        <v>0.59474709173154572</v>
      </c>
      <c r="P176" s="38">
        <f t="shared" si="97"/>
        <v>0.64428383955312829</v>
      </c>
      <c r="Q176" s="38">
        <f t="shared" si="97"/>
        <v>0.69091224893052583</v>
      </c>
      <c r="R176" s="38">
        <f t="shared" si="97"/>
        <v>0.73395240159262254</v>
      </c>
      <c r="S176" s="38">
        <f t="shared" si="97"/>
        <v>0.77296863373268609</v>
      </c>
      <c r="T176" s="38">
        <f t="shared" si="97"/>
        <v>0.80776174423192015</v>
      </c>
      <c r="U176" s="38">
        <f t="shared" si="97"/>
        <v>0.83833791082342091</v>
      </c>
      <c r="V176" s="38">
        <f t="shared" si="97"/>
        <v>0.86486443441229388</v>
      </c>
      <c r="W176" s="38">
        <f t="shared" si="97"/>
        <v>0.8876217865479995</v>
      </c>
      <c r="X176" s="43">
        <f t="shared" si="97"/>
        <v>0.90695899998857066</v>
      </c>
    </row>
    <row r="177" spans="2:24" x14ac:dyDescent="0.35">
      <c r="B177" s="70"/>
      <c r="C177" s="24">
        <v>0.2</v>
      </c>
      <c r="D177" s="42">
        <f t="shared" ref="D177:X177" si="98">1/(1+EXP(-D203))</f>
        <v>0.15425666339761296</v>
      </c>
      <c r="E177" s="38">
        <f t="shared" si="98"/>
        <v>0.1837391734857233</v>
      </c>
      <c r="F177" s="38">
        <f t="shared" si="98"/>
        <v>0.21740805579043368</v>
      </c>
      <c r="G177" s="38">
        <f t="shared" si="98"/>
        <v>0.2553167467274271</v>
      </c>
      <c r="H177" s="38">
        <f t="shared" si="98"/>
        <v>0.29732415561969827</v>
      </c>
      <c r="I177" s="38">
        <f t="shared" si="98"/>
        <v>0.34305909094367132</v>
      </c>
      <c r="J177" s="38">
        <f t="shared" si="98"/>
        <v>0.39190538899169697</v>
      </c>
      <c r="K177" s="38">
        <f t="shared" si="98"/>
        <v>0.44301647972004049</v>
      </c>
      <c r="L177" s="38">
        <f t="shared" si="98"/>
        <v>0.49536329727846873</v>
      </c>
      <c r="M177" s="38">
        <f t="shared" si="98"/>
        <v>0.54781196490704187</v>
      </c>
      <c r="N177" s="38">
        <f t="shared" si="98"/>
        <v>0.59921980252947427</v>
      </c>
      <c r="O177" s="38">
        <f t="shared" si="98"/>
        <v>0.64853291201338248</v>
      </c>
      <c r="P177" s="38">
        <f t="shared" si="98"/>
        <v>0.69486812525558772</v>
      </c>
      <c r="Q177" s="38">
        <f t="shared" si="98"/>
        <v>0.73756665950474176</v>
      </c>
      <c r="R177" s="38">
        <f t="shared" si="98"/>
        <v>0.77621446631691671</v>
      </c>
      <c r="S177" s="38">
        <f t="shared" si="98"/>
        <v>0.81063200983743411</v>
      </c>
      <c r="T177" s="38">
        <f t="shared" si="98"/>
        <v>0.84084160280760345</v>
      </c>
      <c r="U177" s="38">
        <f t="shared" si="98"/>
        <v>0.8670224696756007</v>
      </c>
      <c r="V177" s="38">
        <f t="shared" si="98"/>
        <v>0.88946284873064563</v>
      </c>
      <c r="W177" s="38">
        <f t="shared" si="98"/>
        <v>0.90851591688034627</v>
      </c>
      <c r="X177" s="43">
        <f t="shared" si="98"/>
        <v>0.92456337827353696</v>
      </c>
    </row>
    <row r="178" spans="2:24" x14ac:dyDescent="0.35">
      <c r="B178" s="70"/>
      <c r="C178" s="24">
        <v>0.15</v>
      </c>
      <c r="D178" s="42">
        <f t="shared" ref="D178:X178" si="99">1/(1+EXP(-D204))</f>
        <v>0.18654375580375088</v>
      </c>
      <c r="E178" s="38">
        <f t="shared" si="99"/>
        <v>0.22058767518420358</v>
      </c>
      <c r="F178" s="38">
        <f t="shared" si="99"/>
        <v>0.25886739340964987</v>
      </c>
      <c r="G178" s="38">
        <f t="shared" si="99"/>
        <v>0.30122268871627478</v>
      </c>
      <c r="H178" s="38">
        <f t="shared" si="99"/>
        <v>0.34726094310528755</v>
      </c>
      <c r="I178" s="38">
        <f t="shared" si="99"/>
        <v>0.39634456725111872</v>
      </c>
      <c r="J178" s="38">
        <f t="shared" si="99"/>
        <v>0.44760845079371492</v>
      </c>
      <c r="K178" s="38">
        <f t="shared" si="99"/>
        <v>0.50001076853269943</v>
      </c>
      <c r="L178" s="38">
        <f t="shared" si="99"/>
        <v>0.55241284970937488</v>
      </c>
      <c r="M178" s="38">
        <f t="shared" si="99"/>
        <v>0.6036760440146367</v>
      </c>
      <c r="N178" s="38">
        <f t="shared" si="99"/>
        <v>0.65275858393145703</v>
      </c>
      <c r="O178" s="38">
        <f t="shared" si="99"/>
        <v>0.6987954441123535</v>
      </c>
      <c r="P178" s="38">
        <f t="shared" si="99"/>
        <v>0.74114913422742867</v>
      </c>
      <c r="Q178" s="38">
        <f t="shared" si="99"/>
        <v>0.77942713582244227</v>
      </c>
      <c r="R178" s="38">
        <f t="shared" si="99"/>
        <v>0.81346931642696296</v>
      </c>
      <c r="S178" s="38">
        <f t="shared" si="99"/>
        <v>0.84331376674889169</v>
      </c>
      <c r="T178" s="38">
        <f t="shared" si="99"/>
        <v>0.86915125636363721</v>
      </c>
      <c r="U178" s="38">
        <f t="shared" si="99"/>
        <v>0.89127744370640394</v>
      </c>
      <c r="V178" s="38">
        <f t="shared" si="99"/>
        <v>0.91004936473133635</v>
      </c>
      <c r="W178" s="38">
        <f t="shared" si="99"/>
        <v>0.92584979383785448</v>
      </c>
      <c r="X178" s="43">
        <f t="shared" si="99"/>
        <v>0.93906062389252787</v>
      </c>
    </row>
    <row r="179" spans="2:24" x14ac:dyDescent="0.35">
      <c r="B179" s="70"/>
      <c r="C179" s="24">
        <v>0.1</v>
      </c>
      <c r="D179" s="42">
        <f t="shared" ref="D179:X179" si="100">1/(1+EXP(-D205))</f>
        <v>0.22380049847193345</v>
      </c>
      <c r="E179" s="38">
        <f t="shared" si="100"/>
        <v>0.26245001587342826</v>
      </c>
      <c r="F179" s="38">
        <f t="shared" si="100"/>
        <v>0.30515014075800295</v>
      </c>
      <c r="G179" s="38">
        <f t="shared" si="100"/>
        <v>0.35148672469809261</v>
      </c>
      <c r="H179" s="38">
        <f t="shared" si="100"/>
        <v>0.40080088662023367</v>
      </c>
      <c r="I179" s="38">
        <f t="shared" si="100"/>
        <v>0.452209375312699</v>
      </c>
      <c r="J179" s="38">
        <f t="shared" si="100"/>
        <v>0.50465823792621534</v>
      </c>
      <c r="K179" s="38">
        <f t="shared" si="100"/>
        <v>0.55700477750711652</v>
      </c>
      <c r="L179" s="38">
        <f t="shared" si="100"/>
        <v>0.60811514128789246</v>
      </c>
      <c r="M179" s="38">
        <f t="shared" si="100"/>
        <v>0.65696032398886683</v>
      </c>
      <c r="N179" s="38">
        <f t="shared" si="100"/>
        <v>0.70269384237640964</v>
      </c>
      <c r="O179" s="38">
        <f t="shared" si="100"/>
        <v>0.74469963230538272</v>
      </c>
      <c r="P179" s="38">
        <f t="shared" si="100"/>
        <v>0.78260660127243364</v>
      </c>
      <c r="Q179" s="38">
        <f t="shared" si="100"/>
        <v>0.81627374660010454</v>
      </c>
      <c r="R179" s="38">
        <f t="shared" si="100"/>
        <v>0.8457545753029585</v>
      </c>
      <c r="S179" s="38">
        <f t="shared" si="100"/>
        <v>0.87125102468577964</v>
      </c>
      <c r="T179" s="38">
        <f t="shared" si="100"/>
        <v>0.89306583130307571</v>
      </c>
      <c r="U179" s="38">
        <f t="shared" si="100"/>
        <v>0.91155961120353568</v>
      </c>
      <c r="V179" s="38">
        <f t="shared" si="100"/>
        <v>0.92711600156721696</v>
      </c>
      <c r="W179" s="38">
        <f t="shared" si="100"/>
        <v>0.94011583144375244</v>
      </c>
      <c r="X179" s="43">
        <f t="shared" si="100"/>
        <v>0.95091971735214686</v>
      </c>
    </row>
    <row r="180" spans="2:24" x14ac:dyDescent="0.35">
      <c r="B180" s="70"/>
      <c r="C180" s="24">
        <v>0.05</v>
      </c>
      <c r="D180" s="42">
        <f t="shared" ref="D180:X180" si="101">1/(1+EXP(-D206))</f>
        <v>0.26606442059644897</v>
      </c>
      <c r="E180" s="38">
        <f t="shared" si="101"/>
        <v>0.30910614854981672</v>
      </c>
      <c r="F180" s="38">
        <f t="shared" si="101"/>
        <v>0.35573590433812319</v>
      </c>
      <c r="G180" s="38">
        <f t="shared" si="101"/>
        <v>0.40527367214939869</v>
      </c>
      <c r="H180" s="38">
        <f t="shared" si="101"/>
        <v>0.4568184822266006</v>
      </c>
      <c r="I180" s="38">
        <f t="shared" si="101"/>
        <v>0.5093049024840699</v>
      </c>
      <c r="J180" s="38">
        <f t="shared" si="101"/>
        <v>0.56158698336489654</v>
      </c>
      <c r="K180" s="38">
        <f t="shared" si="101"/>
        <v>0.61253643053417961</v>
      </c>
      <c r="L180" s="38">
        <f t="shared" si="101"/>
        <v>0.66113761509085078</v>
      </c>
      <c r="M180" s="38">
        <f t="shared" si="101"/>
        <v>0.70656297217163455</v>
      </c>
      <c r="N180" s="38">
        <f t="shared" si="101"/>
        <v>0.74821797467264184</v>
      </c>
      <c r="O180" s="38">
        <f t="shared" si="101"/>
        <v>0.78575283388847728</v>
      </c>
      <c r="P180" s="38">
        <f t="shared" si="101"/>
        <v>0.81904539228315421</v>
      </c>
      <c r="Q180" s="38">
        <f t="shared" si="101"/>
        <v>0.84816420747216159</v>
      </c>
      <c r="R180" s="38">
        <f t="shared" si="101"/>
        <v>0.87332200850992103</v>
      </c>
      <c r="S180" s="38">
        <f t="shared" si="101"/>
        <v>0.89482827282396848</v>
      </c>
      <c r="T180" s="38">
        <f t="shared" si="101"/>
        <v>0.91304692381781882</v>
      </c>
      <c r="U180" s="38">
        <f t="shared" si="101"/>
        <v>0.92836226022360002</v>
      </c>
      <c r="V180" s="38">
        <f t="shared" si="101"/>
        <v>0.94115391233469714</v>
      </c>
      <c r="W180" s="38">
        <f t="shared" si="101"/>
        <v>0.95178012092568165</v>
      </c>
      <c r="X180" s="43">
        <f t="shared" si="101"/>
        <v>0.96056788302438401</v>
      </c>
    </row>
    <row r="181" spans="2:24" ht="15" thickBot="1" x14ac:dyDescent="0.4">
      <c r="B181" s="71"/>
      <c r="C181" s="25">
        <v>0</v>
      </c>
      <c r="D181" s="44">
        <f t="shared" ref="D181:X181" si="102">1/(1+EXP(-D207))</f>
        <v>0.31309033365684824</v>
      </c>
      <c r="E181" s="45">
        <f t="shared" si="102"/>
        <v>0.36000793661089919</v>
      </c>
      <c r="F181" s="45">
        <f t="shared" si="102"/>
        <v>0.409762238181269</v>
      </c>
      <c r="G181" s="45">
        <f t="shared" si="102"/>
        <v>0.46143499490782519</v>
      </c>
      <c r="H181" s="45">
        <f t="shared" si="102"/>
        <v>0.51394995978744806</v>
      </c>
      <c r="I181" s="45">
        <f t="shared" si="102"/>
        <v>0.56615870893500353</v>
      </c>
      <c r="J181" s="45">
        <f t="shared" si="102"/>
        <v>0.61693925938227845</v>
      </c>
      <c r="K181" s="45">
        <f t="shared" si="102"/>
        <v>0.66528995454180329</v>
      </c>
      <c r="L181" s="45">
        <f t="shared" si="102"/>
        <v>0.71040250086369594</v>
      </c>
      <c r="M181" s="45">
        <f t="shared" si="102"/>
        <v>0.75170399650318998</v>
      </c>
      <c r="N181" s="45">
        <f t="shared" si="102"/>
        <v>0.78886581685491941</v>
      </c>
      <c r="O181" s="45">
        <f t="shared" si="102"/>
        <v>0.82178435446294751</v>
      </c>
      <c r="P181" s="45">
        <f t="shared" si="102"/>
        <v>0.85054284835187899</v>
      </c>
      <c r="Q181" s="45">
        <f t="shared" si="102"/>
        <v>0.87536444514741174</v>
      </c>
      <c r="R181" s="45">
        <f t="shared" si="102"/>
        <v>0.89656503088225326</v>
      </c>
      <c r="S181" s="45">
        <f t="shared" si="102"/>
        <v>0.91451156983754778</v>
      </c>
      <c r="T181" s="45">
        <f t="shared" si="102"/>
        <v>0.9295888272655477</v>
      </c>
      <c r="U181" s="45">
        <f t="shared" si="102"/>
        <v>0.94217510512451874</v>
      </c>
      <c r="V181" s="45">
        <f t="shared" si="102"/>
        <v>0.952626192600591</v>
      </c>
      <c r="W181" s="45">
        <f t="shared" si="102"/>
        <v>0.96126603860376836</v>
      </c>
      <c r="X181" s="46">
        <f t="shared" si="102"/>
        <v>0.96838248122554638</v>
      </c>
    </row>
    <row r="182" spans="2:24" x14ac:dyDescent="0.35">
      <c r="C182" s="9"/>
      <c r="D182" s="28">
        <v>0</v>
      </c>
      <c r="E182" s="26">
        <v>0.05</v>
      </c>
      <c r="F182" s="26">
        <v>0.1</v>
      </c>
      <c r="G182" s="26">
        <v>0.15</v>
      </c>
      <c r="H182" s="26">
        <v>0.2</v>
      </c>
      <c r="I182" s="26">
        <v>0.25</v>
      </c>
      <c r="J182" s="26">
        <v>0.3</v>
      </c>
      <c r="K182" s="26">
        <v>0.35</v>
      </c>
      <c r="L182" s="26">
        <v>0.4</v>
      </c>
      <c r="M182" s="26">
        <v>0.45</v>
      </c>
      <c r="N182" s="26">
        <v>0.5</v>
      </c>
      <c r="O182" s="26">
        <v>0.55000000000000004</v>
      </c>
      <c r="P182" s="26">
        <v>0.6</v>
      </c>
      <c r="Q182" s="26">
        <v>0.65</v>
      </c>
      <c r="R182" s="26">
        <v>0.7</v>
      </c>
      <c r="S182" s="26">
        <v>0.75</v>
      </c>
      <c r="T182" s="26">
        <v>0.8</v>
      </c>
      <c r="U182" s="26">
        <v>0.85</v>
      </c>
      <c r="V182" s="26">
        <v>0.9</v>
      </c>
      <c r="W182" s="26">
        <v>0.95</v>
      </c>
      <c r="X182" s="27">
        <v>1</v>
      </c>
    </row>
    <row r="183" spans="2:24" ht="21.5" thickBot="1" x14ac:dyDescent="0.55000000000000004">
      <c r="C183" s="9"/>
      <c r="D183" s="63" t="s">
        <v>64</v>
      </c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5"/>
    </row>
    <row r="185" spans="2:24" ht="15" thickBot="1" x14ac:dyDescent="0.4"/>
    <row r="186" spans="2:24" ht="21.5" thickBot="1" x14ac:dyDescent="0.55000000000000004">
      <c r="B186" s="66" t="s">
        <v>16</v>
      </c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8"/>
    </row>
    <row r="187" spans="2:24" x14ac:dyDescent="0.35">
      <c r="B187" s="69" t="s">
        <v>6</v>
      </c>
      <c r="C187" s="27">
        <v>1</v>
      </c>
      <c r="D187" s="29">
        <f>(D$208 * $P$5) + $P$8 + ($C187 * $P$6) + $P$9</f>
        <v>-5.3651461872080883</v>
      </c>
      <c r="E187" s="30">
        <f t="shared" ref="E187:T202" si="103">(E$208 * $P$5) + $P$8 + ($C187 * $P$6) + $P$9</f>
        <v>-5.1547648464780531</v>
      </c>
      <c r="F187" s="30">
        <f t="shared" si="103"/>
        <v>-4.944383505748017</v>
      </c>
      <c r="G187" s="30">
        <f>(G$208 * $P$5) + $P$8 + ($C187 * $P$6) + $P$9</f>
        <v>-4.7340021650179818</v>
      </c>
      <c r="H187" s="30">
        <f t="shared" ref="H187:X201" si="104">(H$208 * $P$5) + $P$8 + ($C187 * $P$6) + $P$9</f>
        <v>-4.5236208242879465</v>
      </c>
      <c r="I187" s="30">
        <f t="shared" si="104"/>
        <v>-4.3132394835579113</v>
      </c>
      <c r="J187" s="30">
        <f t="shared" si="104"/>
        <v>-4.1028581428278752</v>
      </c>
      <c r="K187" s="30">
        <f t="shared" si="104"/>
        <v>-3.89247680209784</v>
      </c>
      <c r="L187" s="30">
        <f t="shared" si="104"/>
        <v>-3.6820954613678047</v>
      </c>
      <c r="M187" s="30">
        <f t="shared" si="104"/>
        <v>-3.4717141206377691</v>
      </c>
      <c r="N187" s="30">
        <f t="shared" si="104"/>
        <v>-3.2613327799077338</v>
      </c>
      <c r="O187" s="30">
        <f t="shared" si="104"/>
        <v>-3.0509514391776982</v>
      </c>
      <c r="P187" s="30">
        <f t="shared" si="104"/>
        <v>-2.840570098447663</v>
      </c>
      <c r="Q187" s="30">
        <f t="shared" si="104"/>
        <v>-2.6301887577176273</v>
      </c>
      <c r="R187" s="30">
        <f t="shared" si="104"/>
        <v>-2.4198074169875921</v>
      </c>
      <c r="S187" s="30">
        <f t="shared" si="104"/>
        <v>-2.2094260762575564</v>
      </c>
      <c r="T187" s="30">
        <f t="shared" si="104"/>
        <v>-1.9990447355275212</v>
      </c>
      <c r="U187" s="30">
        <f t="shared" si="104"/>
        <v>-1.7886633947974859</v>
      </c>
      <c r="V187" s="30">
        <f t="shared" si="104"/>
        <v>-1.5782820540674503</v>
      </c>
      <c r="W187" s="30">
        <f t="shared" si="104"/>
        <v>-1.367900713337415</v>
      </c>
      <c r="X187" s="31">
        <f t="shared" si="104"/>
        <v>-1.1575193726073794</v>
      </c>
    </row>
    <row r="188" spans="2:24" x14ac:dyDescent="0.35">
      <c r="B188" s="70"/>
      <c r="C188" s="24">
        <v>0.95</v>
      </c>
      <c r="D188" s="32">
        <f>(D$208 * $P$5) + $P$8 + ($C188 * $P$6) + $P$9</f>
        <v>-5.1361744297828738</v>
      </c>
      <c r="E188" s="33">
        <f>(E$208 * $P$5) + $P$8 + ($C188 * $P$6) + $P$9</f>
        <v>-4.9257930890528385</v>
      </c>
      <c r="F188" s="33">
        <f t="shared" si="103"/>
        <v>-4.7154117483228024</v>
      </c>
      <c r="G188" s="33">
        <f t="shared" si="103"/>
        <v>-4.5050304075927672</v>
      </c>
      <c r="H188" s="33">
        <f t="shared" si="104"/>
        <v>-4.294649066862732</v>
      </c>
      <c r="I188" s="33">
        <f t="shared" si="104"/>
        <v>-4.0842677261326958</v>
      </c>
      <c r="J188" s="33">
        <f>(J$208 * $P$5) + $P$8 + ($C188 * $P$6) + $P$9</f>
        <v>-3.8738863854026611</v>
      </c>
      <c r="K188" s="33">
        <f t="shared" si="104"/>
        <v>-3.6635050446726254</v>
      </c>
      <c r="L188" s="33">
        <f t="shared" si="104"/>
        <v>-3.4531237039425902</v>
      </c>
      <c r="M188" s="33">
        <f t="shared" si="104"/>
        <v>-3.2427423632125545</v>
      </c>
      <c r="N188" s="33">
        <f t="shared" si="104"/>
        <v>-3.0323610224825193</v>
      </c>
      <c r="O188" s="33">
        <f t="shared" si="104"/>
        <v>-2.8219796817524836</v>
      </c>
      <c r="P188" s="33">
        <f t="shared" si="104"/>
        <v>-2.6115983410224484</v>
      </c>
      <c r="Q188" s="33">
        <f t="shared" si="104"/>
        <v>-2.4012170002924127</v>
      </c>
      <c r="R188" s="33">
        <f t="shared" si="104"/>
        <v>-2.1908356595623775</v>
      </c>
      <c r="S188" s="33">
        <f t="shared" si="104"/>
        <v>-1.9804543188323418</v>
      </c>
      <c r="T188" s="33">
        <f t="shared" si="104"/>
        <v>-1.7700729781023066</v>
      </c>
      <c r="U188" s="33">
        <f t="shared" si="104"/>
        <v>-1.5596916373722713</v>
      </c>
      <c r="V188" s="33">
        <f t="shared" si="104"/>
        <v>-1.3493102966422357</v>
      </c>
      <c r="W188" s="33">
        <f t="shared" si="104"/>
        <v>-1.1389289559122004</v>
      </c>
      <c r="X188" s="34">
        <f t="shared" si="104"/>
        <v>-0.92854761518216478</v>
      </c>
    </row>
    <row r="189" spans="2:24" x14ac:dyDescent="0.35">
      <c r="B189" s="70"/>
      <c r="C189" s="24">
        <v>0.9</v>
      </c>
      <c r="D189" s="32">
        <f t="shared" ref="D189:S207" si="105">(D$208 * $P$5) + $P$8 + ($C189 * $P$6) + $P$9</f>
        <v>-4.9072026723576601</v>
      </c>
      <c r="E189" s="33">
        <f t="shared" si="105"/>
        <v>-4.6968213316276248</v>
      </c>
      <c r="F189" s="33">
        <f t="shared" si="103"/>
        <v>-4.4864399908975887</v>
      </c>
      <c r="G189" s="33">
        <f t="shared" si="103"/>
        <v>-4.2760586501675535</v>
      </c>
      <c r="H189" s="33">
        <f t="shared" si="104"/>
        <v>-4.0656773094375183</v>
      </c>
      <c r="I189" s="33">
        <f t="shared" si="104"/>
        <v>-3.8552959687074826</v>
      </c>
      <c r="J189" s="33">
        <f t="shared" si="104"/>
        <v>-3.6449146279774474</v>
      </c>
      <c r="K189" s="33">
        <f t="shared" si="104"/>
        <v>-3.4345332872474117</v>
      </c>
      <c r="L189" s="33">
        <f t="shared" si="104"/>
        <v>-3.2241519465173765</v>
      </c>
      <c r="M189" s="33">
        <f t="shared" si="104"/>
        <v>-3.0137706057873408</v>
      </c>
      <c r="N189" s="33">
        <f t="shared" si="104"/>
        <v>-2.8033892650573056</v>
      </c>
      <c r="O189" s="33">
        <f t="shared" si="104"/>
        <v>-2.5930079243272699</v>
      </c>
      <c r="P189" s="33">
        <f t="shared" si="104"/>
        <v>-2.3826265835972347</v>
      </c>
      <c r="Q189" s="33">
        <f t="shared" si="104"/>
        <v>-2.172245242867199</v>
      </c>
      <c r="R189" s="33">
        <f t="shared" si="104"/>
        <v>-1.9618639021371638</v>
      </c>
      <c r="S189" s="33">
        <f t="shared" si="104"/>
        <v>-1.7514825614071281</v>
      </c>
      <c r="T189" s="33">
        <f t="shared" si="104"/>
        <v>-1.5411012206770929</v>
      </c>
      <c r="U189" s="33">
        <f t="shared" si="104"/>
        <v>-1.3307198799470576</v>
      </c>
      <c r="V189" s="33">
        <f t="shared" si="104"/>
        <v>-1.120338539217022</v>
      </c>
      <c r="W189" s="33">
        <f t="shared" si="104"/>
        <v>-0.90995719848698675</v>
      </c>
      <c r="X189" s="34">
        <f t="shared" si="104"/>
        <v>-0.69957585775695108</v>
      </c>
    </row>
    <row r="190" spans="2:24" x14ac:dyDescent="0.35">
      <c r="B190" s="70"/>
      <c r="C190" s="24">
        <v>0.85</v>
      </c>
      <c r="D190" s="32">
        <f t="shared" si="105"/>
        <v>-4.6782309149324446</v>
      </c>
      <c r="E190" s="33">
        <f t="shared" si="105"/>
        <v>-4.4678495742024094</v>
      </c>
      <c r="F190" s="33">
        <f t="shared" si="103"/>
        <v>-4.2574682334723741</v>
      </c>
      <c r="G190" s="33">
        <f t="shared" si="103"/>
        <v>-4.0470868927423389</v>
      </c>
      <c r="H190" s="33">
        <f t="shared" si="104"/>
        <v>-3.8367055520123032</v>
      </c>
      <c r="I190" s="33">
        <f t="shared" si="104"/>
        <v>-3.6263242112822676</v>
      </c>
      <c r="J190" s="33">
        <f t="shared" si="104"/>
        <v>-3.4159428705522323</v>
      </c>
      <c r="K190" s="33">
        <f t="shared" si="104"/>
        <v>-3.2055615298221967</v>
      </c>
      <c r="L190" s="33">
        <f t="shared" si="104"/>
        <v>-2.9951801890921614</v>
      </c>
      <c r="M190" s="33">
        <f t="shared" si="104"/>
        <v>-2.7847988483621258</v>
      </c>
      <c r="N190" s="33">
        <f t="shared" si="104"/>
        <v>-2.5744175076320905</v>
      </c>
      <c r="O190" s="33">
        <f t="shared" si="104"/>
        <v>-2.3640361669020549</v>
      </c>
      <c r="P190" s="33">
        <f t="shared" si="104"/>
        <v>-2.1536548261720196</v>
      </c>
      <c r="Q190" s="33">
        <f t="shared" si="104"/>
        <v>-1.943273485441984</v>
      </c>
      <c r="R190" s="33">
        <f t="shared" si="104"/>
        <v>-1.7328921447119487</v>
      </c>
      <c r="S190" s="33">
        <f t="shared" si="104"/>
        <v>-1.5225108039819131</v>
      </c>
      <c r="T190" s="33">
        <f t="shared" si="104"/>
        <v>-1.3121294632518778</v>
      </c>
      <c r="U190" s="33">
        <f t="shared" si="104"/>
        <v>-1.1017481225218426</v>
      </c>
      <c r="V190" s="33">
        <f t="shared" si="104"/>
        <v>-0.89136678179180695</v>
      </c>
      <c r="W190" s="33">
        <f t="shared" si="104"/>
        <v>-0.68098544106177172</v>
      </c>
      <c r="X190" s="34">
        <f t="shared" si="104"/>
        <v>-0.47060410033173605</v>
      </c>
    </row>
    <row r="191" spans="2:24" x14ac:dyDescent="0.35">
      <c r="B191" s="70"/>
      <c r="C191" s="24">
        <v>0.8</v>
      </c>
      <c r="D191" s="32">
        <f t="shared" si="105"/>
        <v>-4.4492591575072309</v>
      </c>
      <c r="E191" s="33">
        <f t="shared" si="105"/>
        <v>-4.2388778167771957</v>
      </c>
      <c r="F191" s="33">
        <f t="shared" si="103"/>
        <v>-4.0284964760471595</v>
      </c>
      <c r="G191" s="33">
        <f t="shared" si="103"/>
        <v>-3.8181151353171243</v>
      </c>
      <c r="H191" s="33">
        <f t="shared" si="104"/>
        <v>-3.6077337945870891</v>
      </c>
      <c r="I191" s="33">
        <f t="shared" si="104"/>
        <v>-3.3973524538570534</v>
      </c>
      <c r="J191" s="33">
        <f t="shared" si="104"/>
        <v>-3.1869711131270182</v>
      </c>
      <c r="K191" s="33">
        <f t="shared" si="104"/>
        <v>-2.9765897723969825</v>
      </c>
      <c r="L191" s="33">
        <f t="shared" si="104"/>
        <v>-2.7662084316669473</v>
      </c>
      <c r="M191" s="33">
        <f t="shared" si="104"/>
        <v>-2.5558270909369116</v>
      </c>
      <c r="N191" s="33">
        <f t="shared" si="104"/>
        <v>-2.3454457502068764</v>
      </c>
      <c r="O191" s="33">
        <f t="shared" si="104"/>
        <v>-2.1350644094768407</v>
      </c>
      <c r="P191" s="33">
        <f t="shared" si="104"/>
        <v>-1.9246830687468055</v>
      </c>
      <c r="Q191" s="33">
        <f t="shared" si="104"/>
        <v>-1.7143017280167698</v>
      </c>
      <c r="R191" s="33">
        <f t="shared" si="104"/>
        <v>-1.5039203872867346</v>
      </c>
      <c r="S191" s="33">
        <f t="shared" si="104"/>
        <v>-1.2935390465566989</v>
      </c>
      <c r="T191" s="33">
        <f t="shared" si="104"/>
        <v>-1.0831577058266637</v>
      </c>
      <c r="U191" s="33">
        <f t="shared" si="104"/>
        <v>-0.87277636509662848</v>
      </c>
      <c r="V191" s="33">
        <f t="shared" si="104"/>
        <v>-0.66239502436659281</v>
      </c>
      <c r="W191" s="33">
        <f t="shared" si="104"/>
        <v>-0.45201368363655758</v>
      </c>
      <c r="X191" s="34">
        <f t="shared" si="104"/>
        <v>-0.24163234290652191</v>
      </c>
    </row>
    <row r="192" spans="2:24" x14ac:dyDescent="0.35">
      <c r="B192" s="70"/>
      <c r="C192" s="24">
        <v>0.75</v>
      </c>
      <c r="D192" s="32">
        <f t="shared" si="105"/>
        <v>-4.2202874000820163</v>
      </c>
      <c r="E192" s="33">
        <f t="shared" si="105"/>
        <v>-4.0099060593519802</v>
      </c>
      <c r="F192" s="33">
        <f t="shared" si="103"/>
        <v>-3.7995247186219454</v>
      </c>
      <c r="G192" s="33">
        <f t="shared" si="103"/>
        <v>-3.5891433778919097</v>
      </c>
      <c r="H192" s="33">
        <f t="shared" si="104"/>
        <v>-3.3787620371618745</v>
      </c>
      <c r="I192" s="33">
        <f t="shared" si="104"/>
        <v>-3.1683806964318388</v>
      </c>
      <c r="J192" s="33">
        <f t="shared" si="104"/>
        <v>-2.9579993557018036</v>
      </c>
      <c r="K192" s="33">
        <f t="shared" si="104"/>
        <v>-2.7476180149717679</v>
      </c>
      <c r="L192" s="33">
        <f t="shared" si="104"/>
        <v>-2.5372366742417327</v>
      </c>
      <c r="M192" s="33">
        <f t="shared" si="104"/>
        <v>-2.326855333511697</v>
      </c>
      <c r="N192" s="33">
        <f t="shared" si="104"/>
        <v>-2.1164739927816618</v>
      </c>
      <c r="O192" s="33">
        <f t="shared" si="104"/>
        <v>-1.9060926520516261</v>
      </c>
      <c r="P192" s="33">
        <f t="shared" si="104"/>
        <v>-1.6957113113215909</v>
      </c>
      <c r="Q192" s="33">
        <f t="shared" si="104"/>
        <v>-1.4853299705915552</v>
      </c>
      <c r="R192" s="33">
        <f t="shared" si="104"/>
        <v>-1.27494862986152</v>
      </c>
      <c r="S192" s="33">
        <f t="shared" si="104"/>
        <v>-1.0645672891314844</v>
      </c>
      <c r="T192" s="33">
        <f t="shared" si="104"/>
        <v>-0.85418594840144912</v>
      </c>
      <c r="U192" s="33">
        <f t="shared" si="104"/>
        <v>-0.6438046076714139</v>
      </c>
      <c r="V192" s="33">
        <f t="shared" si="104"/>
        <v>-0.43342326694137823</v>
      </c>
      <c r="W192" s="33">
        <f t="shared" si="104"/>
        <v>-0.223041926211343</v>
      </c>
      <c r="X192" s="34">
        <f t="shared" si="104"/>
        <v>-1.2660585481307329E-2</v>
      </c>
    </row>
    <row r="193" spans="2:24" x14ac:dyDescent="0.35">
      <c r="B193" s="70"/>
      <c r="C193" s="24">
        <v>0.7</v>
      </c>
      <c r="D193" s="32">
        <f t="shared" si="105"/>
        <v>-3.9913156426568022</v>
      </c>
      <c r="E193" s="33">
        <f t="shared" si="105"/>
        <v>-3.7809343019267665</v>
      </c>
      <c r="F193" s="33">
        <f t="shared" si="103"/>
        <v>-3.5705529611967313</v>
      </c>
      <c r="G193" s="33">
        <f t="shared" si="103"/>
        <v>-3.3601716204666956</v>
      </c>
      <c r="H193" s="33">
        <f t="shared" si="104"/>
        <v>-3.1497902797366604</v>
      </c>
      <c r="I193" s="33">
        <f t="shared" si="104"/>
        <v>-2.9394089390066247</v>
      </c>
      <c r="J193" s="33">
        <f t="shared" si="104"/>
        <v>-2.7290275982765895</v>
      </c>
      <c r="K193" s="33">
        <f t="shared" si="104"/>
        <v>-2.5186462575465538</v>
      </c>
      <c r="L193" s="33">
        <f t="shared" si="104"/>
        <v>-2.3082649168165186</v>
      </c>
      <c r="M193" s="33">
        <f t="shared" si="104"/>
        <v>-2.0978835760864829</v>
      </c>
      <c r="N193" s="33">
        <f t="shared" si="104"/>
        <v>-1.8875022353564477</v>
      </c>
      <c r="O193" s="33">
        <f t="shared" si="104"/>
        <v>-1.677120894626412</v>
      </c>
      <c r="P193" s="33">
        <f t="shared" si="104"/>
        <v>-1.4667395538963768</v>
      </c>
      <c r="Q193" s="33">
        <f t="shared" si="104"/>
        <v>-1.2563582131663411</v>
      </c>
      <c r="R193" s="33">
        <f t="shared" si="104"/>
        <v>-1.0459768724363059</v>
      </c>
      <c r="S193" s="33">
        <f t="shared" si="104"/>
        <v>-0.83559553170627021</v>
      </c>
      <c r="T193" s="33">
        <f t="shared" si="104"/>
        <v>-0.62521419097623498</v>
      </c>
      <c r="U193" s="33">
        <f t="shared" si="104"/>
        <v>-0.41483285024619976</v>
      </c>
      <c r="V193" s="33">
        <f t="shared" si="104"/>
        <v>-0.20445150951616409</v>
      </c>
      <c r="W193" s="33">
        <f t="shared" si="104"/>
        <v>5.9298312138711395E-3</v>
      </c>
      <c r="X193" s="34">
        <f t="shared" si="104"/>
        <v>0.21631117194390681</v>
      </c>
    </row>
    <row r="194" spans="2:24" x14ac:dyDescent="0.35">
      <c r="B194" s="70"/>
      <c r="C194" s="24">
        <v>0.65</v>
      </c>
      <c r="D194" s="32">
        <f t="shared" si="105"/>
        <v>-3.762343885231588</v>
      </c>
      <c r="E194" s="33">
        <f t="shared" si="105"/>
        <v>-3.5519625445015524</v>
      </c>
      <c r="F194" s="33">
        <f t="shared" si="103"/>
        <v>-3.3415812037715171</v>
      </c>
      <c r="G194" s="33">
        <f t="shared" si="103"/>
        <v>-3.1311998630414815</v>
      </c>
      <c r="H194" s="33">
        <f t="shared" si="104"/>
        <v>-2.9208185223114462</v>
      </c>
      <c r="I194" s="33">
        <f t="shared" si="104"/>
        <v>-2.7104371815814106</v>
      </c>
      <c r="J194" s="33">
        <f t="shared" si="104"/>
        <v>-2.5000558408513753</v>
      </c>
      <c r="K194" s="33">
        <f t="shared" si="104"/>
        <v>-2.2896745001213397</v>
      </c>
      <c r="L194" s="33">
        <f t="shared" si="104"/>
        <v>-2.0792931593913044</v>
      </c>
      <c r="M194" s="33">
        <f t="shared" si="104"/>
        <v>-1.8689118186612688</v>
      </c>
      <c r="N194" s="33">
        <f t="shared" si="104"/>
        <v>-1.6585304779312335</v>
      </c>
      <c r="O194" s="33">
        <f t="shared" si="104"/>
        <v>-1.4481491372011979</v>
      </c>
      <c r="P194" s="33">
        <f t="shared" si="104"/>
        <v>-1.2377677964711626</v>
      </c>
      <c r="Q194" s="33">
        <f t="shared" si="104"/>
        <v>-1.027386455741127</v>
      </c>
      <c r="R194" s="33">
        <f t="shared" si="104"/>
        <v>-0.81700511501109174</v>
      </c>
      <c r="S194" s="33">
        <f t="shared" si="104"/>
        <v>-0.60662377428105607</v>
      </c>
      <c r="T194" s="33">
        <f t="shared" si="104"/>
        <v>-0.39624243355102085</v>
      </c>
      <c r="U194" s="33">
        <f t="shared" si="104"/>
        <v>-0.18586109282098562</v>
      </c>
      <c r="V194" s="33">
        <f t="shared" si="104"/>
        <v>2.4520247909050052E-2</v>
      </c>
      <c r="W194" s="33">
        <f t="shared" si="104"/>
        <v>0.23490158863908528</v>
      </c>
      <c r="X194" s="34">
        <f t="shared" si="104"/>
        <v>0.44528292936912095</v>
      </c>
    </row>
    <row r="195" spans="2:24" x14ac:dyDescent="0.35">
      <c r="B195" s="70"/>
      <c r="C195" s="24">
        <v>0.6</v>
      </c>
      <c r="D195" s="32">
        <f t="shared" si="105"/>
        <v>-3.5333721278063734</v>
      </c>
      <c r="E195" s="33">
        <f t="shared" si="105"/>
        <v>-3.3229907870763378</v>
      </c>
      <c r="F195" s="33">
        <f t="shared" si="103"/>
        <v>-3.1126094463463025</v>
      </c>
      <c r="G195" s="33">
        <f t="shared" si="103"/>
        <v>-2.9022281056162669</v>
      </c>
      <c r="H195" s="33">
        <f t="shared" si="104"/>
        <v>-2.6918467648862316</v>
      </c>
      <c r="I195" s="33">
        <f t="shared" si="104"/>
        <v>-2.481465424156196</v>
      </c>
      <c r="J195" s="33">
        <f t="shared" si="104"/>
        <v>-2.2710840834261607</v>
      </c>
      <c r="K195" s="33">
        <f t="shared" si="104"/>
        <v>-2.0607027426961251</v>
      </c>
      <c r="L195" s="33">
        <f t="shared" si="104"/>
        <v>-1.8503214019660899</v>
      </c>
      <c r="M195" s="33">
        <f t="shared" si="104"/>
        <v>-1.6399400612360542</v>
      </c>
      <c r="N195" s="33">
        <f t="shared" si="104"/>
        <v>-1.429558720506019</v>
      </c>
      <c r="O195" s="33">
        <f t="shared" si="104"/>
        <v>-1.2191773797759833</v>
      </c>
      <c r="P195" s="33">
        <f t="shared" si="104"/>
        <v>-1.0087960390459481</v>
      </c>
      <c r="Q195" s="33">
        <f t="shared" si="104"/>
        <v>-0.79841469831591239</v>
      </c>
      <c r="R195" s="33">
        <f t="shared" si="104"/>
        <v>-0.58803335758587716</v>
      </c>
      <c r="S195" s="33">
        <f t="shared" si="104"/>
        <v>-0.37765201685584149</v>
      </c>
      <c r="T195" s="33">
        <f t="shared" si="104"/>
        <v>-0.16727067612580626</v>
      </c>
      <c r="U195" s="33">
        <f t="shared" si="104"/>
        <v>4.3110664604228965E-2</v>
      </c>
      <c r="V195" s="33">
        <f t="shared" si="104"/>
        <v>0.25349200533426464</v>
      </c>
      <c r="W195" s="33">
        <f t="shared" si="104"/>
        <v>0.46387334606429986</v>
      </c>
      <c r="X195" s="34">
        <f t="shared" si="104"/>
        <v>0.67425468679433553</v>
      </c>
    </row>
    <row r="196" spans="2:24" x14ac:dyDescent="0.35">
      <c r="B196" s="70"/>
      <c r="C196" s="24">
        <v>0.55000000000000004</v>
      </c>
      <c r="D196" s="32">
        <f t="shared" si="105"/>
        <v>-3.3044003703811593</v>
      </c>
      <c r="E196" s="33">
        <f t="shared" si="105"/>
        <v>-3.0940190296511236</v>
      </c>
      <c r="F196" s="33">
        <f t="shared" si="103"/>
        <v>-2.8836376889210884</v>
      </c>
      <c r="G196" s="33">
        <f t="shared" si="103"/>
        <v>-2.6732563481910527</v>
      </c>
      <c r="H196" s="33">
        <f t="shared" si="104"/>
        <v>-2.4628750074610175</v>
      </c>
      <c r="I196" s="33">
        <f t="shared" si="104"/>
        <v>-2.2524936667309818</v>
      </c>
      <c r="J196" s="33">
        <f t="shared" si="104"/>
        <v>-2.0421123260009466</v>
      </c>
      <c r="K196" s="33">
        <f t="shared" si="104"/>
        <v>-1.8317309852709109</v>
      </c>
      <c r="L196" s="33">
        <f t="shared" si="104"/>
        <v>-1.6213496445408757</v>
      </c>
      <c r="M196" s="33">
        <f t="shared" si="104"/>
        <v>-1.41096830381084</v>
      </c>
      <c r="N196" s="33">
        <f t="shared" si="104"/>
        <v>-1.2005869630808048</v>
      </c>
      <c r="O196" s="33">
        <f t="shared" si="104"/>
        <v>-0.99020562235076914</v>
      </c>
      <c r="P196" s="33">
        <f t="shared" si="104"/>
        <v>-0.77982428162073392</v>
      </c>
      <c r="Q196" s="33">
        <f t="shared" si="104"/>
        <v>-0.56944294089069825</v>
      </c>
      <c r="R196" s="33">
        <f t="shared" si="104"/>
        <v>-0.35906160016066302</v>
      </c>
      <c r="S196" s="33">
        <f t="shared" si="104"/>
        <v>-0.14868025943062735</v>
      </c>
      <c r="T196" s="33">
        <f t="shared" si="104"/>
        <v>6.1701081299407878E-2</v>
      </c>
      <c r="U196" s="33">
        <f t="shared" si="104"/>
        <v>0.27208242202944311</v>
      </c>
      <c r="V196" s="33">
        <f t="shared" si="104"/>
        <v>0.48246376275947878</v>
      </c>
      <c r="W196" s="33">
        <f t="shared" si="104"/>
        <v>0.692845103489514</v>
      </c>
      <c r="X196" s="34">
        <f t="shared" si="104"/>
        <v>0.90322644421954967</v>
      </c>
    </row>
    <row r="197" spans="2:24" x14ac:dyDescent="0.35">
      <c r="B197" s="70"/>
      <c r="C197" s="24">
        <v>0.5</v>
      </c>
      <c r="D197" s="32">
        <f t="shared" si="105"/>
        <v>-3.0754286129559447</v>
      </c>
      <c r="E197" s="33">
        <f t="shared" si="105"/>
        <v>-2.865047272225909</v>
      </c>
      <c r="F197" s="33">
        <f t="shared" si="103"/>
        <v>-2.6546659314958738</v>
      </c>
      <c r="G197" s="33">
        <f t="shared" si="103"/>
        <v>-2.4442845907658381</v>
      </c>
      <c r="H197" s="33">
        <f t="shared" si="104"/>
        <v>-2.2339032500358029</v>
      </c>
      <c r="I197" s="33">
        <f t="shared" si="104"/>
        <v>-2.0235219093057673</v>
      </c>
      <c r="J197" s="33">
        <f t="shared" si="104"/>
        <v>-1.813140568575732</v>
      </c>
      <c r="K197" s="33">
        <f t="shared" si="104"/>
        <v>-1.6027592278456964</v>
      </c>
      <c r="L197" s="33">
        <f t="shared" si="104"/>
        <v>-1.3923778871156611</v>
      </c>
      <c r="M197" s="33">
        <f t="shared" si="104"/>
        <v>-1.1819965463856255</v>
      </c>
      <c r="N197" s="33">
        <f t="shared" si="104"/>
        <v>-0.97161520565559023</v>
      </c>
      <c r="O197" s="33">
        <f t="shared" si="104"/>
        <v>-0.76123386492555456</v>
      </c>
      <c r="P197" s="33">
        <f t="shared" si="104"/>
        <v>-0.55085252419551933</v>
      </c>
      <c r="Q197" s="33">
        <f t="shared" si="104"/>
        <v>-0.34047118346548366</v>
      </c>
      <c r="R197" s="33">
        <f t="shared" si="104"/>
        <v>-0.13008984273544844</v>
      </c>
      <c r="S197" s="33">
        <f t="shared" si="104"/>
        <v>8.0291497994587235E-2</v>
      </c>
      <c r="T197" s="33">
        <f t="shared" si="104"/>
        <v>0.29067283872462246</v>
      </c>
      <c r="U197" s="33">
        <f t="shared" si="104"/>
        <v>0.50105417945465769</v>
      </c>
      <c r="V197" s="33">
        <f t="shared" si="104"/>
        <v>0.71143552018469336</v>
      </c>
      <c r="W197" s="33">
        <f t="shared" si="104"/>
        <v>0.92181686091472859</v>
      </c>
      <c r="X197" s="34">
        <f t="shared" si="104"/>
        <v>1.1321982016447643</v>
      </c>
    </row>
    <row r="198" spans="2:24" x14ac:dyDescent="0.35">
      <c r="B198" s="70"/>
      <c r="C198" s="24">
        <v>0.45</v>
      </c>
      <c r="D198" s="32">
        <f t="shared" si="105"/>
        <v>-2.8464568555307306</v>
      </c>
      <c r="E198" s="33">
        <f t="shared" si="105"/>
        <v>-2.6360755148006949</v>
      </c>
      <c r="F198" s="33">
        <f t="shared" si="103"/>
        <v>-2.4256941740706597</v>
      </c>
      <c r="G198" s="33">
        <f t="shared" si="103"/>
        <v>-2.215312833340624</v>
      </c>
      <c r="H198" s="33">
        <f t="shared" si="104"/>
        <v>-2.0049314926105888</v>
      </c>
      <c r="I198" s="33">
        <f t="shared" si="104"/>
        <v>-1.7945501518805531</v>
      </c>
      <c r="J198" s="33">
        <f t="shared" si="104"/>
        <v>-1.5841688111505179</v>
      </c>
      <c r="K198" s="33">
        <f t="shared" si="104"/>
        <v>-1.3737874704204822</v>
      </c>
      <c r="L198" s="33">
        <f t="shared" si="104"/>
        <v>-1.163406129690447</v>
      </c>
      <c r="M198" s="33">
        <f t="shared" si="104"/>
        <v>-0.95302478896041132</v>
      </c>
      <c r="N198" s="33">
        <f t="shared" si="104"/>
        <v>-0.74264344823037609</v>
      </c>
      <c r="O198" s="33">
        <f t="shared" si="104"/>
        <v>-0.53226210750034042</v>
      </c>
      <c r="P198" s="33">
        <f t="shared" si="104"/>
        <v>-0.32188076677030519</v>
      </c>
      <c r="Q198" s="33">
        <f t="shared" si="104"/>
        <v>-0.11149942604026952</v>
      </c>
      <c r="R198" s="33">
        <f t="shared" si="104"/>
        <v>9.8881914689765704E-2</v>
      </c>
      <c r="S198" s="33">
        <f t="shared" si="104"/>
        <v>0.30926325541980138</v>
      </c>
      <c r="T198" s="33">
        <f t="shared" si="104"/>
        <v>0.5196445961498366</v>
      </c>
      <c r="U198" s="33">
        <f t="shared" si="104"/>
        <v>0.73002593687987183</v>
      </c>
      <c r="V198" s="33">
        <f t="shared" si="104"/>
        <v>0.9404072776099075</v>
      </c>
      <c r="W198" s="33">
        <f t="shared" si="104"/>
        <v>1.1507886183399427</v>
      </c>
      <c r="X198" s="34">
        <f t="shared" si="104"/>
        <v>1.3611699590699784</v>
      </c>
    </row>
    <row r="199" spans="2:24" x14ac:dyDescent="0.35">
      <c r="B199" s="70"/>
      <c r="C199" s="24">
        <v>0.4</v>
      </c>
      <c r="D199" s="32">
        <f t="shared" si="105"/>
        <v>-2.617485098105516</v>
      </c>
      <c r="E199" s="33">
        <f t="shared" si="105"/>
        <v>-2.4071037573754803</v>
      </c>
      <c r="F199" s="33">
        <f t="shared" si="103"/>
        <v>-2.1967224166454451</v>
      </c>
      <c r="G199" s="33">
        <f t="shared" si="103"/>
        <v>-1.9863410759154094</v>
      </c>
      <c r="H199" s="33">
        <f t="shared" si="104"/>
        <v>-1.7759597351853742</v>
      </c>
      <c r="I199" s="33">
        <f t="shared" si="104"/>
        <v>-1.5655783944553385</v>
      </c>
      <c r="J199" s="33">
        <f t="shared" si="104"/>
        <v>-1.3551970537253033</v>
      </c>
      <c r="K199" s="33">
        <f t="shared" si="104"/>
        <v>-1.1448157129952676</v>
      </c>
      <c r="L199" s="33">
        <f t="shared" si="104"/>
        <v>-0.9344343722652324</v>
      </c>
      <c r="M199" s="33">
        <f t="shared" si="104"/>
        <v>-0.72405303153519673</v>
      </c>
      <c r="N199" s="33">
        <f t="shared" si="104"/>
        <v>-0.51367169080516151</v>
      </c>
      <c r="O199" s="33">
        <f t="shared" si="104"/>
        <v>-0.30329035007512584</v>
      </c>
      <c r="P199" s="33">
        <f t="shared" si="104"/>
        <v>-9.290900934509061E-2</v>
      </c>
      <c r="Q199" s="33">
        <f t="shared" si="104"/>
        <v>0.11747233138494506</v>
      </c>
      <c r="R199" s="33">
        <f t="shared" si="104"/>
        <v>0.32785367211498029</v>
      </c>
      <c r="S199" s="33">
        <f t="shared" si="104"/>
        <v>0.53823501284501596</v>
      </c>
      <c r="T199" s="33">
        <f t="shared" si="104"/>
        <v>0.74861635357505119</v>
      </c>
      <c r="U199" s="33">
        <f t="shared" si="104"/>
        <v>0.95899769430508641</v>
      </c>
      <c r="V199" s="33">
        <f t="shared" si="104"/>
        <v>1.1693790350351221</v>
      </c>
      <c r="W199" s="33">
        <f t="shared" si="104"/>
        <v>1.3797603757651573</v>
      </c>
      <c r="X199" s="34">
        <f t="shared" si="104"/>
        <v>1.590141716495193</v>
      </c>
    </row>
    <row r="200" spans="2:24" x14ac:dyDescent="0.35">
      <c r="B200" s="70"/>
      <c r="C200" s="24">
        <v>0.35</v>
      </c>
      <c r="D200" s="32">
        <f t="shared" si="105"/>
        <v>-2.3885133406803014</v>
      </c>
      <c r="E200" s="33">
        <f t="shared" si="105"/>
        <v>-2.1781319999502662</v>
      </c>
      <c r="F200" s="33">
        <f t="shared" si="103"/>
        <v>-1.9677506592202305</v>
      </c>
      <c r="G200" s="33">
        <f t="shared" si="103"/>
        <v>-1.7573693184901953</v>
      </c>
      <c r="H200" s="33">
        <f t="shared" si="104"/>
        <v>-1.5469879777601596</v>
      </c>
      <c r="I200" s="33">
        <f t="shared" si="104"/>
        <v>-1.3366066370301244</v>
      </c>
      <c r="J200" s="33">
        <f t="shared" si="104"/>
        <v>-1.1262252963000887</v>
      </c>
      <c r="K200" s="33">
        <f t="shared" si="104"/>
        <v>-0.91584395557005327</v>
      </c>
      <c r="L200" s="33">
        <f t="shared" si="104"/>
        <v>-0.70546261484001804</v>
      </c>
      <c r="M200" s="33">
        <f t="shared" si="104"/>
        <v>-0.49508127410998237</v>
      </c>
      <c r="N200" s="33">
        <f t="shared" si="104"/>
        <v>-0.28469993337994715</v>
      </c>
      <c r="O200" s="33">
        <f t="shared" si="104"/>
        <v>-7.4318592649911475E-2</v>
      </c>
      <c r="P200" s="33">
        <f t="shared" si="104"/>
        <v>0.13606274808012375</v>
      </c>
      <c r="Q200" s="33">
        <f t="shared" si="104"/>
        <v>0.34644408881015942</v>
      </c>
      <c r="R200" s="33">
        <f t="shared" si="104"/>
        <v>0.55682542954019465</v>
      </c>
      <c r="S200" s="33">
        <f t="shared" si="104"/>
        <v>0.76720677027023032</v>
      </c>
      <c r="T200" s="33">
        <f t="shared" si="104"/>
        <v>0.97758811100026555</v>
      </c>
      <c r="U200" s="33">
        <f t="shared" si="104"/>
        <v>1.1879694517303008</v>
      </c>
      <c r="V200" s="33">
        <f t="shared" si="104"/>
        <v>1.3983507924603364</v>
      </c>
      <c r="W200" s="33">
        <f t="shared" si="104"/>
        <v>1.6087321331903717</v>
      </c>
      <c r="X200" s="34">
        <f t="shared" si="104"/>
        <v>1.8191134739204076</v>
      </c>
    </row>
    <row r="201" spans="2:24" x14ac:dyDescent="0.35">
      <c r="B201" s="70"/>
      <c r="C201" s="24">
        <v>0.3</v>
      </c>
      <c r="D201" s="32">
        <f t="shared" si="105"/>
        <v>-2.1595415832550873</v>
      </c>
      <c r="E201" s="33">
        <f t="shared" si="105"/>
        <v>-1.9491602425250516</v>
      </c>
      <c r="F201" s="33">
        <f t="shared" si="103"/>
        <v>-1.7387789017950164</v>
      </c>
      <c r="G201" s="33">
        <f t="shared" si="103"/>
        <v>-1.5283975610649807</v>
      </c>
      <c r="H201" s="33">
        <f t="shared" si="104"/>
        <v>-1.3180162203349455</v>
      </c>
      <c r="I201" s="33">
        <f t="shared" si="104"/>
        <v>-1.1076348796049098</v>
      </c>
      <c r="J201" s="33">
        <f t="shared" si="104"/>
        <v>-0.89725353887487447</v>
      </c>
      <c r="K201" s="33">
        <f t="shared" si="104"/>
        <v>-0.68687219814483891</v>
      </c>
      <c r="L201" s="33">
        <f t="shared" si="104"/>
        <v>-0.47649085741480368</v>
      </c>
      <c r="M201" s="33">
        <f t="shared" si="104"/>
        <v>-0.26610951668476801</v>
      </c>
      <c r="N201" s="33">
        <f t="shared" si="104"/>
        <v>-5.5728175954732784E-2</v>
      </c>
      <c r="O201" s="33">
        <f t="shared" si="104"/>
        <v>0.15465316477530289</v>
      </c>
      <c r="P201" s="33">
        <f t="shared" si="104"/>
        <v>0.36503450550533811</v>
      </c>
      <c r="Q201" s="33">
        <f t="shared" si="104"/>
        <v>0.57541584623537378</v>
      </c>
      <c r="R201" s="33">
        <f t="shared" si="104"/>
        <v>0.78579718696540901</v>
      </c>
      <c r="S201" s="33">
        <f t="shared" si="104"/>
        <v>0.99617852769544468</v>
      </c>
      <c r="T201" s="33">
        <f t="shared" si="104"/>
        <v>1.2065598684254799</v>
      </c>
      <c r="U201" s="33">
        <f t="shared" si="104"/>
        <v>1.4169412091555151</v>
      </c>
      <c r="V201" s="33">
        <f t="shared" si="104"/>
        <v>1.6273225498855508</v>
      </c>
      <c r="W201" s="33">
        <f t="shared" si="104"/>
        <v>1.837703890615586</v>
      </c>
      <c r="X201" s="34">
        <f t="shared" si="104"/>
        <v>2.0480852313456217</v>
      </c>
    </row>
    <row r="202" spans="2:24" x14ac:dyDescent="0.35">
      <c r="B202" s="70"/>
      <c r="C202" s="24">
        <v>0.25</v>
      </c>
      <c r="D202" s="32">
        <f t="shared" si="105"/>
        <v>-1.9305698258298727</v>
      </c>
      <c r="E202" s="33">
        <f t="shared" si="105"/>
        <v>-1.7201884850998375</v>
      </c>
      <c r="F202" s="33">
        <f t="shared" si="103"/>
        <v>-1.5098071443698018</v>
      </c>
      <c r="G202" s="33">
        <f t="shared" si="103"/>
        <v>-1.2994258036397666</v>
      </c>
      <c r="H202" s="33">
        <f t="shared" si="103"/>
        <v>-1.0890444629097309</v>
      </c>
      <c r="I202" s="33">
        <f t="shared" si="103"/>
        <v>-0.87866312217969555</v>
      </c>
      <c r="J202" s="33">
        <f t="shared" si="103"/>
        <v>-0.66828178144966011</v>
      </c>
      <c r="K202" s="33">
        <f t="shared" si="103"/>
        <v>-0.45790044071962455</v>
      </c>
      <c r="L202" s="33">
        <f t="shared" si="103"/>
        <v>-0.24751909998958932</v>
      </c>
      <c r="M202" s="33">
        <f t="shared" si="103"/>
        <v>-3.7137759259553649E-2</v>
      </c>
      <c r="N202" s="33">
        <f t="shared" si="103"/>
        <v>0.17324358147048158</v>
      </c>
      <c r="O202" s="33">
        <f t="shared" si="103"/>
        <v>0.38362492220051725</v>
      </c>
      <c r="P202" s="33">
        <f t="shared" si="103"/>
        <v>0.59400626293055248</v>
      </c>
      <c r="Q202" s="33">
        <f t="shared" si="103"/>
        <v>0.80438760366058815</v>
      </c>
      <c r="R202" s="33">
        <f t="shared" si="103"/>
        <v>1.0147689443906234</v>
      </c>
      <c r="S202" s="33">
        <f t="shared" si="103"/>
        <v>1.225150285120659</v>
      </c>
      <c r="T202" s="33">
        <f t="shared" si="103"/>
        <v>1.4355316258506943</v>
      </c>
      <c r="U202" s="33">
        <f t="shared" ref="U202:X202" si="106">(U$208 * $P$5) + $P$8 + ($C202 * $P$6) + $P$9</f>
        <v>1.6459129665807295</v>
      </c>
      <c r="V202" s="33">
        <f t="shared" si="106"/>
        <v>1.8562943073107654</v>
      </c>
      <c r="W202" s="33">
        <f t="shared" si="106"/>
        <v>2.0666756480408006</v>
      </c>
      <c r="X202" s="34">
        <f t="shared" si="106"/>
        <v>2.2770569887708358</v>
      </c>
    </row>
    <row r="203" spans="2:24" x14ac:dyDescent="0.35">
      <c r="B203" s="70"/>
      <c r="C203" s="24">
        <v>0.2</v>
      </c>
      <c r="D203" s="32">
        <f t="shared" si="105"/>
        <v>-1.7015980684046585</v>
      </c>
      <c r="E203" s="33">
        <f t="shared" si="105"/>
        <v>-1.4912167276746229</v>
      </c>
      <c r="F203" s="33">
        <f t="shared" si="105"/>
        <v>-1.2808353869445877</v>
      </c>
      <c r="G203" s="33">
        <f t="shared" si="105"/>
        <v>-1.070454046214552</v>
      </c>
      <c r="H203" s="33">
        <f t="shared" si="105"/>
        <v>-0.86007270548451664</v>
      </c>
      <c r="I203" s="33">
        <f t="shared" si="105"/>
        <v>-0.64969136475448119</v>
      </c>
      <c r="J203" s="33">
        <f t="shared" si="105"/>
        <v>-0.43931002402444574</v>
      </c>
      <c r="K203" s="33">
        <f t="shared" si="105"/>
        <v>-0.22892868329441018</v>
      </c>
      <c r="L203" s="33">
        <f t="shared" si="105"/>
        <v>-1.8547342564374958E-2</v>
      </c>
      <c r="M203" s="33">
        <f t="shared" si="105"/>
        <v>0.19183399816566071</v>
      </c>
      <c r="N203" s="33">
        <f t="shared" si="105"/>
        <v>0.40221533889569594</v>
      </c>
      <c r="O203" s="33">
        <f t="shared" si="105"/>
        <v>0.61259667962573161</v>
      </c>
      <c r="P203" s="33">
        <f t="shared" si="105"/>
        <v>0.82297802035576684</v>
      </c>
      <c r="Q203" s="33">
        <f t="shared" si="105"/>
        <v>1.0333593610858025</v>
      </c>
      <c r="R203" s="33">
        <f t="shared" si="105"/>
        <v>1.2437407018158377</v>
      </c>
      <c r="S203" s="33">
        <f t="shared" si="105"/>
        <v>1.4541220425458734</v>
      </c>
      <c r="T203" s="33">
        <f t="shared" ref="T203:X207" si="107">(T$208 * $P$5) + $P$8 + ($C203 * $P$6) + $P$9</f>
        <v>1.6645033832759086</v>
      </c>
      <c r="U203" s="33">
        <f t="shared" si="107"/>
        <v>1.8748847240059439</v>
      </c>
      <c r="V203" s="33">
        <f t="shared" si="107"/>
        <v>2.0852660647359795</v>
      </c>
      <c r="W203" s="33">
        <f t="shared" si="107"/>
        <v>2.2956474054660148</v>
      </c>
      <c r="X203" s="34">
        <f t="shared" si="107"/>
        <v>2.5060287461960504</v>
      </c>
    </row>
    <row r="204" spans="2:24" x14ac:dyDescent="0.35">
      <c r="B204" s="70"/>
      <c r="C204" s="24">
        <v>0.15</v>
      </c>
      <c r="D204" s="32">
        <f t="shared" si="105"/>
        <v>-1.472626310979444</v>
      </c>
      <c r="E204" s="33">
        <f t="shared" si="105"/>
        <v>-1.2622449702494087</v>
      </c>
      <c r="F204" s="33">
        <f t="shared" si="105"/>
        <v>-1.0518636295193731</v>
      </c>
      <c r="G204" s="33">
        <f t="shared" si="105"/>
        <v>-0.84148228878933773</v>
      </c>
      <c r="H204" s="33">
        <f t="shared" si="105"/>
        <v>-0.63110094805930228</v>
      </c>
      <c r="I204" s="33">
        <f t="shared" si="105"/>
        <v>-0.42071960732926683</v>
      </c>
      <c r="J204" s="33">
        <f t="shared" si="105"/>
        <v>-0.21033826659923138</v>
      </c>
      <c r="K204" s="33">
        <f t="shared" si="105"/>
        <v>4.3074130804177102E-5</v>
      </c>
      <c r="L204" s="33">
        <f t="shared" si="105"/>
        <v>0.2104244148608394</v>
      </c>
      <c r="M204" s="33">
        <f t="shared" si="105"/>
        <v>0.42080575559087507</v>
      </c>
      <c r="N204" s="33">
        <f t="shared" si="105"/>
        <v>0.6311870963209103</v>
      </c>
      <c r="O204" s="33">
        <f t="shared" si="105"/>
        <v>0.84156843705094597</v>
      </c>
      <c r="P204" s="33">
        <f t="shared" si="105"/>
        <v>1.0519497777809812</v>
      </c>
      <c r="Q204" s="33">
        <f t="shared" si="105"/>
        <v>1.2623311185110169</v>
      </c>
      <c r="R204" s="33">
        <f t="shared" si="105"/>
        <v>1.4727124592410521</v>
      </c>
      <c r="S204" s="33">
        <f t="shared" si="105"/>
        <v>1.683093799971088</v>
      </c>
      <c r="T204" s="33">
        <f t="shared" si="107"/>
        <v>1.8934751407011232</v>
      </c>
      <c r="U204" s="33">
        <f t="shared" si="107"/>
        <v>2.1038564814311584</v>
      </c>
      <c r="V204" s="33">
        <f t="shared" si="107"/>
        <v>2.3142378221611937</v>
      </c>
      <c r="W204" s="33">
        <f t="shared" si="107"/>
        <v>2.5246191628912289</v>
      </c>
      <c r="X204" s="34">
        <f t="shared" si="107"/>
        <v>2.735000503621265</v>
      </c>
    </row>
    <row r="205" spans="2:24" x14ac:dyDescent="0.35">
      <c r="B205" s="70"/>
      <c r="C205" s="24">
        <v>0.1</v>
      </c>
      <c r="D205" s="32">
        <f t="shared" si="105"/>
        <v>-1.2436545535542298</v>
      </c>
      <c r="E205" s="33">
        <f t="shared" si="105"/>
        <v>-1.0332732128241942</v>
      </c>
      <c r="F205" s="33">
        <f t="shared" si="105"/>
        <v>-0.82289187209415882</v>
      </c>
      <c r="G205" s="33">
        <f t="shared" si="105"/>
        <v>-0.61251053136412337</v>
      </c>
      <c r="H205" s="33">
        <f t="shared" si="105"/>
        <v>-0.40212919063408792</v>
      </c>
      <c r="I205" s="33">
        <f t="shared" si="105"/>
        <v>-0.19174784990405247</v>
      </c>
      <c r="J205" s="33">
        <f t="shared" si="105"/>
        <v>1.8633490825982979E-2</v>
      </c>
      <c r="K205" s="33">
        <f t="shared" si="105"/>
        <v>0.22901483155601854</v>
      </c>
      <c r="L205" s="33">
        <f t="shared" si="105"/>
        <v>0.43939617228605377</v>
      </c>
      <c r="M205" s="33">
        <f t="shared" si="105"/>
        <v>0.64977751301608944</v>
      </c>
      <c r="N205" s="33">
        <f t="shared" si="105"/>
        <v>0.86015885374612466</v>
      </c>
      <c r="O205" s="33">
        <f t="shared" si="105"/>
        <v>1.0705401944761603</v>
      </c>
      <c r="P205" s="33">
        <f t="shared" si="105"/>
        <v>1.2809215352061956</v>
      </c>
      <c r="Q205" s="33">
        <f t="shared" si="105"/>
        <v>1.4913028759362312</v>
      </c>
      <c r="R205" s="33">
        <f t="shared" si="105"/>
        <v>1.7016842166662665</v>
      </c>
      <c r="S205" s="33">
        <f t="shared" si="105"/>
        <v>1.9120655573963021</v>
      </c>
      <c r="T205" s="33">
        <f t="shared" si="107"/>
        <v>2.1224468981263374</v>
      </c>
      <c r="U205" s="33">
        <f t="shared" si="107"/>
        <v>2.3328282388563726</v>
      </c>
      <c r="V205" s="33">
        <f t="shared" si="107"/>
        <v>2.5432095795864083</v>
      </c>
      <c r="W205" s="33">
        <f t="shared" si="107"/>
        <v>2.7535909203164435</v>
      </c>
      <c r="X205" s="34">
        <f t="shared" si="107"/>
        <v>2.9639722610464792</v>
      </c>
    </row>
    <row r="206" spans="2:24" x14ac:dyDescent="0.35">
      <c r="B206" s="70"/>
      <c r="C206" s="24">
        <v>0.05</v>
      </c>
      <c r="D206" s="32">
        <f t="shared" si="105"/>
        <v>-1.0146827961290152</v>
      </c>
      <c r="E206" s="33">
        <f t="shared" si="105"/>
        <v>-0.8043014553989799</v>
      </c>
      <c r="F206" s="33">
        <f t="shared" si="105"/>
        <v>-0.59392011466894445</v>
      </c>
      <c r="G206" s="33">
        <f t="shared" si="105"/>
        <v>-0.38353877393890901</v>
      </c>
      <c r="H206" s="33">
        <f t="shared" si="105"/>
        <v>-0.17315743320887356</v>
      </c>
      <c r="I206" s="33">
        <f t="shared" si="105"/>
        <v>3.7223907521161892E-2</v>
      </c>
      <c r="J206" s="33">
        <f t="shared" si="105"/>
        <v>0.24760524825119734</v>
      </c>
      <c r="K206" s="33">
        <f t="shared" si="105"/>
        <v>0.4579865889812329</v>
      </c>
      <c r="L206" s="33">
        <f t="shared" si="105"/>
        <v>0.66836792971126813</v>
      </c>
      <c r="M206" s="33">
        <f t="shared" si="105"/>
        <v>0.8787492704413038</v>
      </c>
      <c r="N206" s="33">
        <f t="shared" si="105"/>
        <v>1.089130611171339</v>
      </c>
      <c r="O206" s="33">
        <f t="shared" si="105"/>
        <v>1.2995119519013747</v>
      </c>
      <c r="P206" s="33">
        <f t="shared" si="105"/>
        <v>1.5098932926314099</v>
      </c>
      <c r="Q206" s="33">
        <f t="shared" si="105"/>
        <v>1.7202746333614458</v>
      </c>
      <c r="R206" s="33">
        <f t="shared" si="105"/>
        <v>1.930655974091481</v>
      </c>
      <c r="S206" s="33">
        <f t="shared" si="105"/>
        <v>2.1410373148215163</v>
      </c>
      <c r="T206" s="33">
        <f t="shared" si="107"/>
        <v>2.3514186555515515</v>
      </c>
      <c r="U206" s="33">
        <f t="shared" si="107"/>
        <v>2.5617999962815867</v>
      </c>
      <c r="V206" s="33">
        <f t="shared" si="107"/>
        <v>2.7721813370116228</v>
      </c>
      <c r="W206" s="33">
        <f t="shared" si="107"/>
        <v>2.9825626777416581</v>
      </c>
      <c r="X206" s="34">
        <f t="shared" si="107"/>
        <v>3.1929440184716933</v>
      </c>
    </row>
    <row r="207" spans="2:24" ht="15" thickBot="1" x14ac:dyDescent="0.4">
      <c r="B207" s="71"/>
      <c r="C207" s="25">
        <v>0</v>
      </c>
      <c r="D207" s="35">
        <f t="shared" si="105"/>
        <v>-0.78571103870380099</v>
      </c>
      <c r="E207" s="36">
        <f t="shared" si="105"/>
        <v>-0.57532969797376554</v>
      </c>
      <c r="F207" s="36">
        <f t="shared" si="105"/>
        <v>-0.36494835724373009</v>
      </c>
      <c r="G207" s="36">
        <f t="shared" si="105"/>
        <v>-0.15456701651369464</v>
      </c>
      <c r="H207" s="36">
        <f t="shared" si="105"/>
        <v>5.5814324216340805E-2</v>
      </c>
      <c r="I207" s="36">
        <f t="shared" si="105"/>
        <v>0.26619566494637625</v>
      </c>
      <c r="J207" s="36">
        <f t="shared" si="105"/>
        <v>0.4765770056764117</v>
      </c>
      <c r="K207" s="36">
        <f t="shared" si="105"/>
        <v>0.68695834640644726</v>
      </c>
      <c r="L207" s="36">
        <f t="shared" si="105"/>
        <v>0.89733968713648249</v>
      </c>
      <c r="M207" s="36">
        <f t="shared" si="105"/>
        <v>1.1077210278665182</v>
      </c>
      <c r="N207" s="36">
        <f t="shared" si="105"/>
        <v>1.3181023685965534</v>
      </c>
      <c r="O207" s="36">
        <f t="shared" si="105"/>
        <v>1.5284837093265891</v>
      </c>
      <c r="P207" s="36">
        <f t="shared" si="105"/>
        <v>1.7388650500566243</v>
      </c>
      <c r="Q207" s="36">
        <f t="shared" si="105"/>
        <v>1.94924639078666</v>
      </c>
      <c r="R207" s="36">
        <f t="shared" si="105"/>
        <v>2.1596277315166952</v>
      </c>
      <c r="S207" s="36">
        <f t="shared" si="105"/>
        <v>2.3700090722467309</v>
      </c>
      <c r="T207" s="36">
        <f t="shared" si="107"/>
        <v>2.5803904129767661</v>
      </c>
      <c r="U207" s="36">
        <f t="shared" si="107"/>
        <v>2.7907717537068013</v>
      </c>
      <c r="V207" s="36">
        <f t="shared" si="107"/>
        <v>3.001153094436837</v>
      </c>
      <c r="W207" s="36">
        <f t="shared" si="107"/>
        <v>3.2115344351668722</v>
      </c>
      <c r="X207" s="37">
        <f t="shared" si="107"/>
        <v>3.4219157758969079</v>
      </c>
    </row>
    <row r="208" spans="2:24" x14ac:dyDescent="0.35">
      <c r="C208" s="9"/>
      <c r="D208" s="28">
        <v>0</v>
      </c>
      <c r="E208" s="26">
        <v>0.05</v>
      </c>
      <c r="F208" s="26">
        <v>0.1</v>
      </c>
      <c r="G208" s="26">
        <v>0.15</v>
      </c>
      <c r="H208" s="26">
        <v>0.2</v>
      </c>
      <c r="I208" s="26">
        <v>0.25</v>
      </c>
      <c r="J208" s="26">
        <v>0.3</v>
      </c>
      <c r="K208" s="26">
        <v>0.35</v>
      </c>
      <c r="L208" s="26">
        <v>0.4</v>
      </c>
      <c r="M208" s="26">
        <v>0.45</v>
      </c>
      <c r="N208" s="26">
        <v>0.5</v>
      </c>
      <c r="O208" s="26">
        <v>0.55000000000000004</v>
      </c>
      <c r="P208" s="26">
        <v>0.6</v>
      </c>
      <c r="Q208" s="26">
        <v>0.65</v>
      </c>
      <c r="R208" s="26">
        <v>0.7</v>
      </c>
      <c r="S208" s="26">
        <v>0.75</v>
      </c>
      <c r="T208" s="26">
        <v>0.8</v>
      </c>
      <c r="U208" s="26">
        <v>0.85</v>
      </c>
      <c r="V208" s="26">
        <v>0.9</v>
      </c>
      <c r="W208" s="26">
        <v>0.95</v>
      </c>
      <c r="X208" s="27">
        <v>1</v>
      </c>
    </row>
    <row r="209" spans="3:24" ht="21.5" thickBot="1" x14ac:dyDescent="0.55000000000000004">
      <c r="C209" s="9"/>
      <c r="D209" s="63" t="s">
        <v>64</v>
      </c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5"/>
    </row>
  </sheetData>
  <mergeCells count="21">
    <mergeCell ref="B187:B207"/>
    <mergeCell ref="D209:X209"/>
    <mergeCell ref="D157:X157"/>
    <mergeCell ref="B160:X160"/>
    <mergeCell ref="B161:B181"/>
    <mergeCell ref="D183:X183"/>
    <mergeCell ref="B186:X186"/>
    <mergeCell ref="D131:X131"/>
    <mergeCell ref="B108:X108"/>
    <mergeCell ref="B134:X134"/>
    <mergeCell ref="B135:B155"/>
    <mergeCell ref="B109:B129"/>
    <mergeCell ref="B97:D97"/>
    <mergeCell ref="AP3:AU3"/>
    <mergeCell ref="AW3:BB3"/>
    <mergeCell ref="BD3:BI3"/>
    <mergeCell ref="C3:E3"/>
    <mergeCell ref="G3:I3"/>
    <mergeCell ref="X3:AA3"/>
    <mergeCell ref="AC3:AF3"/>
    <mergeCell ref="AI3:AN3"/>
  </mergeCells>
  <conditionalFormatting sqref="D109:X129">
    <cfRule type="colorScale" priority="1">
      <colorScale>
        <cfvo type="num" val="0"/>
        <cfvo type="num" val="0.5"/>
        <cfvo type="num" val="1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e_model">
                <anchor moveWithCells="1" sizeWithCells="1">
                  <from>
                    <xdr:col>6</xdr:col>
                    <xdr:colOff>419100</xdr:colOff>
                    <xdr:row>25</xdr:row>
                    <xdr:rowOff>107950</xdr:rowOff>
                  </from>
                  <to>
                    <xdr:col>9</xdr:col>
                    <xdr:colOff>330200</xdr:colOff>
                    <xdr:row>28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Iteration_History">
                <anchor moveWithCells="1" sizeWithCells="1">
                  <from>
                    <xdr:col>6</xdr:col>
                    <xdr:colOff>412750</xdr:colOff>
                    <xdr:row>29</xdr:row>
                    <xdr:rowOff>139700</xdr:rowOff>
                  </from>
                  <to>
                    <xdr:col>9</xdr:col>
                    <xdr:colOff>336550</xdr:colOff>
                    <xdr:row>32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tantiate_Weights_Random">
                <anchor moveWithCells="1" sizeWithCells="1">
                  <from>
                    <xdr:col>6</xdr:col>
                    <xdr:colOff>425450</xdr:colOff>
                    <xdr:row>33</xdr:row>
                    <xdr:rowOff>127000</xdr:rowOff>
                  </from>
                  <to>
                    <xdr:col>9</xdr:col>
                    <xdr:colOff>330200</xdr:colOff>
                    <xdr:row>36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450-1EBA-4F07-8F09-71E9E9BDA76C}">
  <sheetPr codeName="Sheet2"/>
  <dimension ref="A1:AM218"/>
  <sheetViews>
    <sheetView zoomScale="60" zoomScaleNormal="60" workbookViewId="0">
      <selection activeCell="A3" sqref="A3:V1002"/>
    </sheetView>
  </sheetViews>
  <sheetFormatPr defaultRowHeight="14.5" x14ac:dyDescent="0.35"/>
  <sheetData>
    <row r="1" spans="1:39" x14ac:dyDescent="0.35">
      <c r="A1" t="s">
        <v>73</v>
      </c>
      <c r="C1" s="62" t="s">
        <v>65</v>
      </c>
      <c r="D1" s="62"/>
      <c r="F1" s="62" t="s">
        <v>68</v>
      </c>
      <c r="G1" s="62"/>
      <c r="I1" s="62" t="s">
        <v>69</v>
      </c>
      <c r="J1" s="62"/>
      <c r="L1" s="62" t="s">
        <v>70</v>
      </c>
      <c r="M1" s="62"/>
      <c r="O1" s="62" t="s">
        <v>71</v>
      </c>
      <c r="P1" s="62"/>
      <c r="R1" s="62" t="s">
        <v>72</v>
      </c>
      <c r="S1" s="62"/>
    </row>
    <row r="2" spans="1:39" x14ac:dyDescent="0.35">
      <c r="A2" t="s">
        <v>21</v>
      </c>
      <c r="C2" t="s">
        <v>66</v>
      </c>
      <c r="D2" t="s">
        <v>67</v>
      </c>
      <c r="F2" t="s">
        <v>74</v>
      </c>
      <c r="G2" t="s">
        <v>67</v>
      </c>
      <c r="I2" t="s">
        <v>66</v>
      </c>
      <c r="J2" t="s">
        <v>67</v>
      </c>
      <c r="L2" t="s">
        <v>74</v>
      </c>
      <c r="M2" t="s">
        <v>67</v>
      </c>
      <c r="O2" t="s">
        <v>66</v>
      </c>
      <c r="P2" t="s">
        <v>67</v>
      </c>
      <c r="R2" t="s">
        <v>74</v>
      </c>
      <c r="S2" t="s">
        <v>67</v>
      </c>
    </row>
    <row r="3" spans="1:39" x14ac:dyDescent="0.35">
      <c r="A3" s="6">
        <v>0.45799119722267861</v>
      </c>
      <c r="B3" s="6"/>
      <c r="C3" s="6">
        <v>4.8672265056650641</v>
      </c>
      <c r="D3" s="6">
        <v>-0.12338298751088442</v>
      </c>
      <c r="E3" s="6"/>
      <c r="F3" s="6">
        <v>-1.6153102425392183</v>
      </c>
      <c r="G3" s="6">
        <v>5.0828152664857837E-2</v>
      </c>
      <c r="H3" s="6"/>
      <c r="I3" s="6">
        <v>-4.5452812383343213</v>
      </c>
      <c r="J3" s="6">
        <v>-2.0638301438432982E-2</v>
      </c>
      <c r="K3" s="6"/>
      <c r="L3" s="6">
        <v>-0.20638891580021543</v>
      </c>
      <c r="M3" s="6">
        <v>-0.18364264161515945</v>
      </c>
      <c r="N3" s="6"/>
      <c r="O3" s="6">
        <v>3.7845167721909609</v>
      </c>
      <c r="P3" s="6">
        <v>-0.16303791559143568</v>
      </c>
      <c r="Q3" s="6"/>
      <c r="R3" s="6">
        <v>-0.68564994370985188</v>
      </c>
      <c r="S3" s="6">
        <v>-0.18364264161515945</v>
      </c>
      <c r="T3" s="6"/>
      <c r="U3" s="6"/>
      <c r="X3" s="6">
        <v>-0.10136190985284746</v>
      </c>
      <c r="Y3" s="6"/>
      <c r="AA3" s="6">
        <v>3.2902795085809615E-2</v>
      </c>
      <c r="AB3" s="6"/>
      <c r="AD3" s="6">
        <v>2.9608754368150872E-2</v>
      </c>
      <c r="AE3" s="6"/>
      <c r="AG3" s="6">
        <v>-4.0962791918019589E-2</v>
      </c>
      <c r="AH3" s="6"/>
      <c r="AJ3" s="6">
        <v>-8.1372974653972058E-2</v>
      </c>
      <c r="AK3" s="6"/>
      <c r="AM3" s="6">
        <v>-4.0962791918019589E-2</v>
      </c>
    </row>
    <row r="4" spans="1:39" x14ac:dyDescent="0.35">
      <c r="A4" s="6">
        <v>0.40375870270131398</v>
      </c>
      <c r="B4" s="6"/>
      <c r="C4" s="6">
        <v>4.9706269291921155</v>
      </c>
      <c r="D4" s="6">
        <v>-0.11658515652356111</v>
      </c>
      <c r="E4" s="6"/>
      <c r="F4" s="6">
        <v>-1.7762328032237278</v>
      </c>
      <c r="G4" s="6">
        <v>4.268738773649175E-2</v>
      </c>
      <c r="H4" s="6"/>
      <c r="I4" s="6">
        <v>-4.5488425693000609</v>
      </c>
      <c r="J4" s="6">
        <v>-9.2438870154978748E-3</v>
      </c>
      <c r="K4" s="6"/>
      <c r="L4" s="6">
        <v>-0.24499875620799369</v>
      </c>
      <c r="M4" s="6">
        <v>-0.14753611165268413</v>
      </c>
      <c r="N4" s="6"/>
      <c r="O4" s="6">
        <v>3.9475546877823966</v>
      </c>
      <c r="P4" s="6">
        <v>-0.13928062226049112</v>
      </c>
      <c r="Q4" s="6"/>
      <c r="R4" s="6">
        <v>-0.58828763158920028</v>
      </c>
      <c r="S4" s="6">
        <v>-0.14753611165268413</v>
      </c>
      <c r="T4" s="6"/>
      <c r="U4" s="6"/>
    </row>
    <row r="5" spans="1:39" x14ac:dyDescent="0.35">
      <c r="A5" s="6">
        <v>0.36489641409828033</v>
      </c>
      <c r="B5" s="6"/>
      <c r="C5" s="6">
        <v>5.0702432820349745</v>
      </c>
      <c r="D5" s="6">
        <v>-0.1097982976691903</v>
      </c>
      <c r="E5" s="6"/>
      <c r="F5" s="6">
        <v>-1.9022738270873609</v>
      </c>
      <c r="G5" s="6">
        <v>3.9162689133088978E-2</v>
      </c>
      <c r="H5" s="6"/>
      <c r="I5" s="6">
        <v>-4.5610337973512136</v>
      </c>
      <c r="J5" s="6">
        <v>-5.1851472722615893E-4</v>
      </c>
      <c r="K5" s="6"/>
      <c r="L5" s="6">
        <v>-0.28487423871745998</v>
      </c>
      <c r="M5" s="6">
        <v>-0.11978277239689521</v>
      </c>
      <c r="N5" s="6"/>
      <c r="O5" s="6">
        <v>4.086835310042888</v>
      </c>
      <c r="P5" s="6">
        <v>-0.12079150455782117</v>
      </c>
      <c r="Q5" s="6"/>
      <c r="R5" s="6">
        <v>-0.515586731790311</v>
      </c>
      <c r="S5" s="6">
        <v>-0.11978277239689521</v>
      </c>
      <c r="T5" s="6"/>
      <c r="U5" s="6"/>
    </row>
    <row r="6" spans="1:39" x14ac:dyDescent="0.35">
      <c r="A6" s="6">
        <v>0.33536950416891559</v>
      </c>
      <c r="B6" s="6"/>
      <c r="C6" s="6">
        <v>5.1657587027824965</v>
      </c>
      <c r="D6" s="6">
        <v>-0.10420012897003415</v>
      </c>
      <c r="E6" s="6"/>
      <c r="F6" s="6">
        <v>-2.0050911795080713</v>
      </c>
      <c r="G6" s="6">
        <v>3.5733495691685366E-2</v>
      </c>
      <c r="H6" s="6"/>
      <c r="I6" s="6">
        <v>-4.5794351485042872</v>
      </c>
      <c r="J6" s="6">
        <v>5.0890673126544744E-3</v>
      </c>
      <c r="K6" s="6"/>
      <c r="L6" s="6">
        <v>-0.32502798837442359</v>
      </c>
      <c r="M6" s="6">
        <v>-0.10079273575523166</v>
      </c>
      <c r="N6" s="6"/>
      <c r="O6" s="6">
        <v>4.207626814600709</v>
      </c>
      <c r="P6" s="6">
        <v>-0.10762768031549461</v>
      </c>
      <c r="Q6" s="6"/>
      <c r="R6" s="6">
        <v>-0.4606830503293774</v>
      </c>
      <c r="S6" s="6">
        <v>-0.10079273575523166</v>
      </c>
      <c r="T6" s="6"/>
      <c r="U6" s="6"/>
    </row>
    <row r="7" spans="1:39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</row>
    <row r="8" spans="1:39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W8" s="6">
        <v>5.3959761918004633E-2</v>
      </c>
    </row>
    <row r="9" spans="1:39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W9" s="6">
        <v>3.8292708250731597</v>
      </c>
    </row>
    <row r="10" spans="1:39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W10" s="6">
        <v>-0.37352446973239983</v>
      </c>
    </row>
    <row r="11" spans="1:39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W11" s="6">
        <v>-4.6075839925890278</v>
      </c>
    </row>
    <row r="12" spans="1:39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W12" s="6">
        <v>-2.2271735672214583</v>
      </c>
    </row>
    <row r="13" spans="1:39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W13" s="6">
        <v>5.1687195328468158</v>
      </c>
    </row>
    <row r="14" spans="1:39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39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39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1:2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1:2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</row>
    <row r="24" spans="1:2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</row>
    <row r="25" spans="1:2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</row>
    <row r="26" spans="1:2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</row>
    <row r="27" spans="1:2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</row>
    <row r="28" spans="1:2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</row>
    <row r="30" spans="1:2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</row>
    <row r="31" spans="1:2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</row>
    <row r="36" spans="1:20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</row>
    <row r="37" spans="1:20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  <row r="103" spans="1:20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</row>
    <row r="104" spans="1:20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</row>
    <row r="105" spans="1:20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</row>
    <row r="107" spans="1:20" x14ac:dyDescent="0.3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</row>
    <row r="108" spans="1:20" x14ac:dyDescent="0.3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x14ac:dyDescent="0.3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x14ac:dyDescent="0.3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1:20" x14ac:dyDescent="0.3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x14ac:dyDescent="0.3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</row>
    <row r="113" spans="1:20" x14ac:dyDescent="0.3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</row>
    <row r="114" spans="1:20" x14ac:dyDescent="0.3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</row>
    <row r="115" spans="1:20" x14ac:dyDescent="0.3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1:20" x14ac:dyDescent="0.3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</row>
    <row r="117" spans="1:20" x14ac:dyDescent="0.3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</row>
    <row r="118" spans="1:20" x14ac:dyDescent="0.3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x14ac:dyDescent="0.3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</row>
    <row r="120" spans="1:20" x14ac:dyDescent="0.3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</row>
    <row r="121" spans="1:20" x14ac:dyDescent="0.3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</row>
    <row r="122" spans="1:20" x14ac:dyDescent="0.3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</row>
    <row r="123" spans="1:20" x14ac:dyDescent="0.3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</row>
    <row r="124" spans="1:20" x14ac:dyDescent="0.3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</row>
    <row r="125" spans="1:20" x14ac:dyDescent="0.3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</row>
    <row r="126" spans="1:20" x14ac:dyDescent="0.3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</row>
    <row r="127" spans="1:20" x14ac:dyDescent="0.3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</row>
    <row r="128" spans="1:20" x14ac:dyDescent="0.3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</row>
    <row r="129" spans="1:20" x14ac:dyDescent="0.3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</row>
    <row r="130" spans="1:20" x14ac:dyDescent="0.3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</row>
    <row r="131" spans="1:20" x14ac:dyDescent="0.3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</row>
    <row r="132" spans="1:20" x14ac:dyDescent="0.3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</row>
    <row r="133" spans="1:20" x14ac:dyDescent="0.3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</row>
    <row r="134" spans="1:20" x14ac:dyDescent="0.3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</row>
    <row r="135" spans="1:20" x14ac:dyDescent="0.3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</row>
    <row r="136" spans="1:20" x14ac:dyDescent="0.3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</row>
    <row r="137" spans="1:20" x14ac:dyDescent="0.3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</row>
    <row r="138" spans="1:20" x14ac:dyDescent="0.3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</row>
    <row r="139" spans="1:20" x14ac:dyDescent="0.3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</row>
    <row r="140" spans="1:20" x14ac:dyDescent="0.3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</row>
    <row r="141" spans="1:20" x14ac:dyDescent="0.3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</row>
    <row r="142" spans="1:20" x14ac:dyDescent="0.3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</row>
    <row r="143" spans="1:20" x14ac:dyDescent="0.3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</row>
    <row r="144" spans="1:20" x14ac:dyDescent="0.3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</row>
    <row r="145" spans="1:20" x14ac:dyDescent="0.3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</row>
    <row r="146" spans="1:20" x14ac:dyDescent="0.3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</row>
    <row r="147" spans="1:20" x14ac:dyDescent="0.3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</row>
    <row r="148" spans="1:20" x14ac:dyDescent="0.3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</row>
    <row r="149" spans="1:20" x14ac:dyDescent="0.3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</row>
    <row r="150" spans="1:20" x14ac:dyDescent="0.3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</row>
    <row r="151" spans="1:20" x14ac:dyDescent="0.3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</row>
    <row r="152" spans="1:20" x14ac:dyDescent="0.3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</row>
    <row r="153" spans="1:20" x14ac:dyDescent="0.3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</row>
    <row r="154" spans="1:20" x14ac:dyDescent="0.3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</row>
    <row r="155" spans="1:20" x14ac:dyDescent="0.3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</row>
    <row r="156" spans="1:20" x14ac:dyDescent="0.3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</row>
    <row r="157" spans="1:20" x14ac:dyDescent="0.3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</row>
    <row r="158" spans="1:20" x14ac:dyDescent="0.3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x14ac:dyDescent="0.3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</row>
    <row r="160" spans="1:20" x14ac:dyDescent="0.3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</row>
    <row r="161" spans="1:20" x14ac:dyDescent="0.3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3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3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</row>
    <row r="164" spans="1:20" x14ac:dyDescent="0.3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</row>
    <row r="165" spans="1:20" x14ac:dyDescent="0.3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x14ac:dyDescent="0.3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</row>
    <row r="167" spans="1:20" x14ac:dyDescent="0.3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</row>
    <row r="168" spans="1:20" x14ac:dyDescent="0.3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</row>
    <row r="169" spans="1:20" x14ac:dyDescent="0.3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</row>
    <row r="170" spans="1:20" x14ac:dyDescent="0.3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  <row r="171" spans="1:20" x14ac:dyDescent="0.3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</row>
    <row r="172" spans="1:20" x14ac:dyDescent="0.3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</row>
    <row r="173" spans="1:20" x14ac:dyDescent="0.3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</row>
    <row r="174" spans="1:20" x14ac:dyDescent="0.3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</row>
    <row r="175" spans="1:20" x14ac:dyDescent="0.3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</row>
    <row r="176" spans="1:20" x14ac:dyDescent="0.3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3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3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3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x14ac:dyDescent="0.3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3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</row>
    <row r="182" spans="1:20" x14ac:dyDescent="0.3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3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3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</row>
    <row r="185" spans="1:20" x14ac:dyDescent="0.3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</row>
    <row r="186" spans="1:20" x14ac:dyDescent="0.3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x14ac:dyDescent="0.3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3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</row>
    <row r="189" spans="1:20" x14ac:dyDescent="0.3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3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3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</row>
    <row r="192" spans="1:20" x14ac:dyDescent="0.3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</row>
    <row r="193" spans="1:20" x14ac:dyDescent="0.3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</row>
    <row r="194" spans="1:20" x14ac:dyDescent="0.3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</row>
    <row r="195" spans="1:20" x14ac:dyDescent="0.3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3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</row>
    <row r="197" spans="1:20" x14ac:dyDescent="0.3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</row>
    <row r="198" spans="1:20" x14ac:dyDescent="0.3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3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</row>
    <row r="200" spans="1:20" x14ac:dyDescent="0.3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3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3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3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</row>
    <row r="204" spans="1:20" x14ac:dyDescent="0.3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</row>
    <row r="205" spans="1:20" x14ac:dyDescent="0.3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</row>
    <row r="206" spans="1:20" x14ac:dyDescent="0.3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</row>
    <row r="207" spans="1:20" x14ac:dyDescent="0.3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</row>
    <row r="208" spans="1:20" x14ac:dyDescent="0.3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x14ac:dyDescent="0.3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</row>
    <row r="210" spans="1:20" x14ac:dyDescent="0.3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</row>
    <row r="211" spans="1:20" x14ac:dyDescent="0.3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</row>
    <row r="212" spans="1:20" x14ac:dyDescent="0.3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</row>
    <row r="213" spans="1:20" x14ac:dyDescent="0.3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</row>
    <row r="214" spans="1:20" x14ac:dyDescent="0.3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</row>
    <row r="215" spans="1:20" x14ac:dyDescent="0.3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</row>
    <row r="216" spans="1:20" x14ac:dyDescent="0.3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3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3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</row>
  </sheetData>
  <mergeCells count="6">
    <mergeCell ref="R1:S1"/>
    <mergeCell ref="C1:D1"/>
    <mergeCell ref="F1:G1"/>
    <mergeCell ref="I1:J1"/>
    <mergeCell ref="L1:M1"/>
    <mergeCell ref="O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Page</vt:lpstr>
      <vt:lpstr>Iteration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Haythornthwaite</dc:creator>
  <cp:lastModifiedBy>Matthew Haythornthwaite</cp:lastModifiedBy>
  <dcterms:created xsi:type="dcterms:W3CDTF">2021-02-28T18:00:16Z</dcterms:created>
  <dcterms:modified xsi:type="dcterms:W3CDTF">2021-03-27T14:01:19Z</dcterms:modified>
</cp:coreProperties>
</file>