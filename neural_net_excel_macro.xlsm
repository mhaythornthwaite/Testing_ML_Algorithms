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theme/themeOverride1.xml" ContentType="application/vnd.openxmlformats-officedocument.themeOverrid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U:\2020_Moray_Firth_ML_Project\2020_Q4_MF_Pilot_Project_Deliverables\04_21_TechnoTea\"/>
    </mc:Choice>
  </mc:AlternateContent>
  <xr:revisionPtr revIDLastSave="0" documentId="13_ncr:1_{419DB33B-1F44-4DEF-8A00-3CADBA9EDF9C}" xr6:coauthVersionLast="45" xr6:coauthVersionMax="45" xr10:uidLastSave="{00000000-0000-0000-0000-000000000000}"/>
  <bookViews>
    <workbookView xWindow="28680" yWindow="120" windowWidth="51840" windowHeight="21240" xr2:uid="{0902341D-AD10-4A63-AC83-5FCE75AC7723}"/>
  </bookViews>
  <sheets>
    <sheet name="Main Page" sheetId="1" r:id="rId1"/>
    <sheet name="Iteration Data" sheetId="2" r:id="rId2"/>
    <sheet name="Figure Backup"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98" i="1" l="1"/>
  <c r="D187" i="1"/>
  <c r="D161" i="1" s="1"/>
  <c r="D135" i="1" s="1"/>
  <c r="D188" i="1"/>
  <c r="D189" i="1"/>
  <c r="D190" i="1"/>
  <c r="D191" i="1"/>
  <c r="D192" i="1"/>
  <c r="D193" i="1"/>
  <c r="D194" i="1"/>
  <c r="D195" i="1"/>
  <c r="D196" i="1"/>
  <c r="D197" i="1"/>
  <c r="D198" i="1"/>
  <c r="D199" i="1"/>
  <c r="D200" i="1"/>
  <c r="D201" i="1"/>
  <c r="D202" i="1"/>
  <c r="D203" i="1"/>
  <c r="D204" i="1"/>
  <c r="D205" i="1"/>
  <c r="D206" i="1"/>
  <c r="D207" i="1"/>
  <c r="E188" i="1"/>
  <c r="F188" i="1"/>
  <c r="G188" i="1"/>
  <c r="H188" i="1"/>
  <c r="I188" i="1"/>
  <c r="J188" i="1"/>
  <c r="K188" i="1"/>
  <c r="L188" i="1"/>
  <c r="M188" i="1"/>
  <c r="N188" i="1"/>
  <c r="O188" i="1"/>
  <c r="P188" i="1"/>
  <c r="Q188" i="1"/>
  <c r="R188" i="1"/>
  <c r="S188" i="1"/>
  <c r="T188" i="1"/>
  <c r="U188" i="1"/>
  <c r="V188" i="1"/>
  <c r="W188" i="1"/>
  <c r="X188" i="1"/>
  <c r="E189" i="1"/>
  <c r="F189" i="1"/>
  <c r="G189" i="1"/>
  <c r="H189" i="1"/>
  <c r="I189" i="1"/>
  <c r="J189" i="1"/>
  <c r="K189" i="1"/>
  <c r="L189" i="1"/>
  <c r="M189" i="1"/>
  <c r="N189" i="1"/>
  <c r="O189" i="1"/>
  <c r="P189" i="1"/>
  <c r="Q189" i="1"/>
  <c r="R189" i="1"/>
  <c r="S189" i="1"/>
  <c r="T189" i="1"/>
  <c r="U189" i="1"/>
  <c r="V189" i="1"/>
  <c r="W189" i="1"/>
  <c r="X189" i="1"/>
  <c r="E190" i="1"/>
  <c r="F190" i="1"/>
  <c r="G190" i="1"/>
  <c r="H190" i="1"/>
  <c r="I190" i="1"/>
  <c r="J190" i="1"/>
  <c r="K190" i="1"/>
  <c r="L190" i="1"/>
  <c r="M190" i="1"/>
  <c r="N190" i="1"/>
  <c r="O190" i="1"/>
  <c r="P190" i="1"/>
  <c r="Q190" i="1"/>
  <c r="R190" i="1"/>
  <c r="S190" i="1"/>
  <c r="T190" i="1"/>
  <c r="U190" i="1"/>
  <c r="V190" i="1"/>
  <c r="W190" i="1"/>
  <c r="X190" i="1"/>
  <c r="E191" i="1"/>
  <c r="F191" i="1"/>
  <c r="G191" i="1"/>
  <c r="H191" i="1"/>
  <c r="I191" i="1"/>
  <c r="J191" i="1"/>
  <c r="K191" i="1"/>
  <c r="L191" i="1"/>
  <c r="M191" i="1"/>
  <c r="N191" i="1"/>
  <c r="O191" i="1"/>
  <c r="P191" i="1"/>
  <c r="Q191" i="1"/>
  <c r="R191" i="1"/>
  <c r="S191" i="1"/>
  <c r="T191" i="1"/>
  <c r="U191" i="1"/>
  <c r="V191" i="1"/>
  <c r="W191" i="1"/>
  <c r="X191" i="1"/>
  <c r="E192" i="1"/>
  <c r="F192" i="1"/>
  <c r="G192" i="1"/>
  <c r="H192" i="1"/>
  <c r="I192" i="1"/>
  <c r="J192" i="1"/>
  <c r="K192" i="1"/>
  <c r="L192" i="1"/>
  <c r="M192" i="1"/>
  <c r="N192" i="1"/>
  <c r="O192" i="1"/>
  <c r="P192" i="1"/>
  <c r="Q192" i="1"/>
  <c r="R192" i="1"/>
  <c r="S192" i="1"/>
  <c r="T192" i="1"/>
  <c r="U192" i="1"/>
  <c r="V192" i="1"/>
  <c r="W192" i="1"/>
  <c r="X192" i="1"/>
  <c r="E193" i="1"/>
  <c r="F193" i="1"/>
  <c r="G193" i="1"/>
  <c r="H193" i="1"/>
  <c r="I193" i="1"/>
  <c r="J193" i="1"/>
  <c r="K193" i="1"/>
  <c r="L193" i="1"/>
  <c r="M193" i="1"/>
  <c r="N193" i="1"/>
  <c r="O193" i="1"/>
  <c r="P193" i="1"/>
  <c r="Q193" i="1"/>
  <c r="R193" i="1"/>
  <c r="S193" i="1"/>
  <c r="T193" i="1"/>
  <c r="U193" i="1"/>
  <c r="V193" i="1"/>
  <c r="W193" i="1"/>
  <c r="X193" i="1"/>
  <c r="E194" i="1"/>
  <c r="F194" i="1"/>
  <c r="G194" i="1"/>
  <c r="H194" i="1"/>
  <c r="I194" i="1"/>
  <c r="J194" i="1"/>
  <c r="K194" i="1"/>
  <c r="L194" i="1"/>
  <c r="M194" i="1"/>
  <c r="N194" i="1"/>
  <c r="O194" i="1"/>
  <c r="P194" i="1"/>
  <c r="Q194" i="1"/>
  <c r="R194" i="1"/>
  <c r="S194" i="1"/>
  <c r="T194" i="1"/>
  <c r="U194" i="1"/>
  <c r="V194" i="1"/>
  <c r="W194" i="1"/>
  <c r="X194" i="1"/>
  <c r="E195" i="1"/>
  <c r="F195" i="1"/>
  <c r="G195" i="1"/>
  <c r="H195" i="1"/>
  <c r="I195" i="1"/>
  <c r="J195" i="1"/>
  <c r="K195" i="1"/>
  <c r="L195" i="1"/>
  <c r="M195" i="1"/>
  <c r="N195" i="1"/>
  <c r="O195" i="1"/>
  <c r="P195" i="1"/>
  <c r="Q195" i="1"/>
  <c r="R195" i="1"/>
  <c r="S195" i="1"/>
  <c r="T195" i="1"/>
  <c r="U195" i="1"/>
  <c r="V195" i="1"/>
  <c r="W195" i="1"/>
  <c r="X195" i="1"/>
  <c r="E196" i="1"/>
  <c r="F196" i="1"/>
  <c r="G196" i="1"/>
  <c r="H196" i="1"/>
  <c r="I196" i="1"/>
  <c r="J196" i="1"/>
  <c r="K196" i="1"/>
  <c r="L196" i="1"/>
  <c r="M196" i="1"/>
  <c r="N196" i="1"/>
  <c r="O196" i="1"/>
  <c r="P196" i="1"/>
  <c r="Q196" i="1"/>
  <c r="R196" i="1"/>
  <c r="S196" i="1"/>
  <c r="T196" i="1"/>
  <c r="U196" i="1"/>
  <c r="V196" i="1"/>
  <c r="W196" i="1"/>
  <c r="X196" i="1"/>
  <c r="E197" i="1"/>
  <c r="F197" i="1"/>
  <c r="G197" i="1"/>
  <c r="H197" i="1"/>
  <c r="I197" i="1"/>
  <c r="J197" i="1"/>
  <c r="K197" i="1"/>
  <c r="L197" i="1"/>
  <c r="M197" i="1"/>
  <c r="N197" i="1"/>
  <c r="O197" i="1"/>
  <c r="P197" i="1"/>
  <c r="Q197" i="1"/>
  <c r="R197" i="1"/>
  <c r="S197" i="1"/>
  <c r="T197" i="1"/>
  <c r="U197" i="1"/>
  <c r="V197" i="1"/>
  <c r="W197" i="1"/>
  <c r="X197" i="1"/>
  <c r="E198" i="1"/>
  <c r="F198" i="1"/>
  <c r="G198" i="1"/>
  <c r="H198" i="1"/>
  <c r="I198" i="1"/>
  <c r="J198" i="1"/>
  <c r="K198" i="1"/>
  <c r="L198" i="1"/>
  <c r="M198" i="1"/>
  <c r="N198" i="1"/>
  <c r="O198" i="1"/>
  <c r="P198" i="1"/>
  <c r="Q198" i="1"/>
  <c r="R198" i="1"/>
  <c r="S198" i="1"/>
  <c r="T198" i="1"/>
  <c r="U198" i="1"/>
  <c r="V198" i="1"/>
  <c r="W198" i="1"/>
  <c r="X198" i="1"/>
  <c r="E199" i="1"/>
  <c r="F199" i="1"/>
  <c r="G199" i="1"/>
  <c r="H199" i="1"/>
  <c r="I199" i="1"/>
  <c r="J199" i="1"/>
  <c r="K199" i="1"/>
  <c r="L199" i="1"/>
  <c r="M199" i="1"/>
  <c r="N199" i="1"/>
  <c r="O199" i="1"/>
  <c r="P199" i="1"/>
  <c r="Q199" i="1"/>
  <c r="R199" i="1"/>
  <c r="S199" i="1"/>
  <c r="T199" i="1"/>
  <c r="U199" i="1"/>
  <c r="V199" i="1"/>
  <c r="W199" i="1"/>
  <c r="X199" i="1"/>
  <c r="E200" i="1"/>
  <c r="F200" i="1"/>
  <c r="G200" i="1"/>
  <c r="H200" i="1"/>
  <c r="I200" i="1"/>
  <c r="J200" i="1"/>
  <c r="K200" i="1"/>
  <c r="L200" i="1"/>
  <c r="M200" i="1"/>
  <c r="N200" i="1"/>
  <c r="O200" i="1"/>
  <c r="P200" i="1"/>
  <c r="Q200" i="1"/>
  <c r="R200" i="1"/>
  <c r="S200" i="1"/>
  <c r="T200" i="1"/>
  <c r="U200" i="1"/>
  <c r="V200" i="1"/>
  <c r="W200" i="1"/>
  <c r="X200" i="1"/>
  <c r="E201" i="1"/>
  <c r="F201" i="1"/>
  <c r="G201" i="1"/>
  <c r="H201" i="1"/>
  <c r="I201" i="1"/>
  <c r="J201" i="1"/>
  <c r="K201" i="1"/>
  <c r="L201" i="1"/>
  <c r="M201" i="1"/>
  <c r="N201" i="1"/>
  <c r="O201" i="1"/>
  <c r="P201" i="1"/>
  <c r="Q201" i="1"/>
  <c r="R201" i="1"/>
  <c r="S201" i="1"/>
  <c r="T201" i="1"/>
  <c r="U201" i="1"/>
  <c r="V201" i="1"/>
  <c r="W201" i="1"/>
  <c r="X201" i="1"/>
  <c r="E202" i="1"/>
  <c r="F202" i="1"/>
  <c r="G202" i="1"/>
  <c r="H202" i="1"/>
  <c r="I202" i="1"/>
  <c r="J202" i="1"/>
  <c r="K202" i="1"/>
  <c r="L202" i="1"/>
  <c r="M202" i="1"/>
  <c r="N202" i="1"/>
  <c r="O202" i="1"/>
  <c r="P202" i="1"/>
  <c r="Q202" i="1"/>
  <c r="R202" i="1"/>
  <c r="S202" i="1"/>
  <c r="T202" i="1"/>
  <c r="U202" i="1"/>
  <c r="V202" i="1"/>
  <c r="W202" i="1"/>
  <c r="X202" i="1"/>
  <c r="E203" i="1"/>
  <c r="F203" i="1"/>
  <c r="G203" i="1"/>
  <c r="H203" i="1"/>
  <c r="I203" i="1"/>
  <c r="J203" i="1"/>
  <c r="K203" i="1"/>
  <c r="L203" i="1"/>
  <c r="M203" i="1"/>
  <c r="N203" i="1"/>
  <c r="O203" i="1"/>
  <c r="P203" i="1"/>
  <c r="Q203" i="1"/>
  <c r="R203" i="1"/>
  <c r="S203" i="1"/>
  <c r="T203" i="1"/>
  <c r="U203" i="1"/>
  <c r="V203" i="1"/>
  <c r="W203" i="1"/>
  <c r="X203" i="1"/>
  <c r="E204" i="1"/>
  <c r="F204" i="1"/>
  <c r="G204" i="1"/>
  <c r="H204" i="1"/>
  <c r="I204" i="1"/>
  <c r="J204" i="1"/>
  <c r="K204" i="1"/>
  <c r="L204" i="1"/>
  <c r="M204" i="1"/>
  <c r="N204" i="1"/>
  <c r="O204" i="1"/>
  <c r="P204" i="1"/>
  <c r="Q204" i="1"/>
  <c r="R204" i="1"/>
  <c r="S204" i="1"/>
  <c r="T204" i="1"/>
  <c r="U204" i="1"/>
  <c r="V204" i="1"/>
  <c r="W204" i="1"/>
  <c r="X204" i="1"/>
  <c r="E205" i="1"/>
  <c r="F205" i="1"/>
  <c r="G205" i="1"/>
  <c r="H205" i="1"/>
  <c r="I205" i="1"/>
  <c r="J205" i="1"/>
  <c r="K205" i="1"/>
  <c r="L205" i="1"/>
  <c r="M205" i="1"/>
  <c r="N205" i="1"/>
  <c r="O205" i="1"/>
  <c r="P205" i="1"/>
  <c r="Q205" i="1"/>
  <c r="R205" i="1"/>
  <c r="S205" i="1"/>
  <c r="T205" i="1"/>
  <c r="U205" i="1"/>
  <c r="V205" i="1"/>
  <c r="W205" i="1"/>
  <c r="X205" i="1"/>
  <c r="E206" i="1"/>
  <c r="F206" i="1"/>
  <c r="G206" i="1"/>
  <c r="H206" i="1"/>
  <c r="I206" i="1"/>
  <c r="J206" i="1"/>
  <c r="K206" i="1"/>
  <c r="L206" i="1"/>
  <c r="M206" i="1"/>
  <c r="N206" i="1"/>
  <c r="O206" i="1"/>
  <c r="P206" i="1"/>
  <c r="Q206" i="1"/>
  <c r="R206" i="1"/>
  <c r="S206" i="1"/>
  <c r="T206" i="1"/>
  <c r="U206" i="1"/>
  <c r="V206" i="1"/>
  <c r="W206" i="1"/>
  <c r="X206" i="1"/>
  <c r="E207" i="1"/>
  <c r="F207" i="1"/>
  <c r="G207" i="1"/>
  <c r="H207" i="1"/>
  <c r="I207" i="1"/>
  <c r="J207" i="1"/>
  <c r="K207" i="1"/>
  <c r="L207" i="1"/>
  <c r="M207" i="1"/>
  <c r="N207" i="1"/>
  <c r="O207" i="1"/>
  <c r="P207" i="1"/>
  <c r="Q207" i="1"/>
  <c r="R207" i="1"/>
  <c r="S207" i="1"/>
  <c r="T207" i="1"/>
  <c r="U207" i="1"/>
  <c r="V207" i="1"/>
  <c r="W207" i="1"/>
  <c r="X207" i="1"/>
  <c r="F187" i="1"/>
  <c r="G187" i="1"/>
  <c r="H187" i="1"/>
  <c r="I187" i="1"/>
  <c r="J187" i="1"/>
  <c r="K187" i="1"/>
  <c r="L187" i="1"/>
  <c r="M187" i="1"/>
  <c r="N187" i="1"/>
  <c r="O187" i="1"/>
  <c r="P187" i="1"/>
  <c r="Q187" i="1"/>
  <c r="R187" i="1"/>
  <c r="S187" i="1"/>
  <c r="T187" i="1"/>
  <c r="U187" i="1"/>
  <c r="V187" i="1"/>
  <c r="W187" i="1"/>
  <c r="X187" i="1"/>
  <c r="E187" i="1"/>
  <c r="S12" i="1"/>
  <c r="S6" i="1"/>
  <c r="S7" i="1"/>
  <c r="S8" i="1"/>
  <c r="S9" i="1"/>
  <c r="S10" i="1"/>
  <c r="S11" i="1"/>
  <c r="S5" i="1"/>
  <c r="B102" i="1" l="1"/>
  <c r="D99" i="1" s="1"/>
  <c r="T163" i="1"/>
  <c r="T137" i="1" s="1"/>
  <c r="H163" i="1"/>
  <c r="O163" i="1"/>
  <c r="O137" i="1" s="1"/>
  <c r="P163" i="1"/>
  <c r="O164" i="1"/>
  <c r="O138" i="1" s="1"/>
  <c r="U164" i="1"/>
  <c r="W164" i="1"/>
  <c r="W138" i="1" s="1"/>
  <c r="J165" i="1"/>
  <c r="J139" i="1" s="1"/>
  <c r="W165" i="1"/>
  <c r="X165" i="1"/>
  <c r="E166" i="1"/>
  <c r="E140" i="1" s="1"/>
  <c r="R166" i="1"/>
  <c r="S166" i="1"/>
  <c r="F167" i="1"/>
  <c r="H167" i="1"/>
  <c r="H141" i="1" s="1"/>
  <c r="M167" i="1"/>
  <c r="U167" i="1"/>
  <c r="V167" i="1"/>
  <c r="H168" i="1"/>
  <c r="I168" i="1"/>
  <c r="K168" i="1"/>
  <c r="K142" i="1" s="1"/>
  <c r="S168" i="1"/>
  <c r="X168" i="1"/>
  <c r="F169" i="1"/>
  <c r="K169" i="1"/>
  <c r="L169" i="1"/>
  <c r="S169" i="1"/>
  <c r="T169" i="1"/>
  <c r="E170" i="1"/>
  <c r="F170" i="1"/>
  <c r="I170" i="1"/>
  <c r="O170" i="1"/>
  <c r="Q170" i="1"/>
  <c r="V170" i="1"/>
  <c r="W170" i="1"/>
  <c r="D171" i="1"/>
  <c r="J171" i="1"/>
  <c r="M171" i="1"/>
  <c r="Q171" i="1"/>
  <c r="T171" i="1"/>
  <c r="U171" i="1"/>
  <c r="G172" i="1"/>
  <c r="H172" i="1"/>
  <c r="M172" i="1"/>
  <c r="O172" i="1"/>
  <c r="S172" i="1"/>
  <c r="X172" i="1"/>
  <c r="F173" i="1"/>
  <c r="J173" i="1"/>
  <c r="K173" i="1"/>
  <c r="N173" i="1"/>
  <c r="S173" i="1"/>
  <c r="W173" i="1"/>
  <c r="E174" i="1"/>
  <c r="I174" i="1"/>
  <c r="J174" i="1"/>
  <c r="Q174" i="1"/>
  <c r="R174" i="1"/>
  <c r="U174" i="1"/>
  <c r="V174" i="1"/>
  <c r="X174" i="1"/>
  <c r="G175" i="1"/>
  <c r="H175" i="1"/>
  <c r="K175" i="1"/>
  <c r="L175" i="1"/>
  <c r="M175" i="1"/>
  <c r="Q175" i="1"/>
  <c r="S175" i="1"/>
  <c r="T175" i="1"/>
  <c r="U175" i="1"/>
  <c r="W175" i="1"/>
  <c r="X175" i="1"/>
  <c r="G176" i="1"/>
  <c r="H176" i="1"/>
  <c r="J176" i="1"/>
  <c r="K176" i="1"/>
  <c r="L176" i="1"/>
  <c r="N176" i="1"/>
  <c r="R176" i="1"/>
  <c r="S176" i="1"/>
  <c r="T176" i="1"/>
  <c r="V176" i="1"/>
  <c r="W176" i="1"/>
  <c r="X176" i="1"/>
  <c r="G177" i="1"/>
  <c r="I177" i="1"/>
  <c r="J177" i="1"/>
  <c r="K177" i="1"/>
  <c r="M177" i="1"/>
  <c r="N177" i="1"/>
  <c r="Q177" i="1"/>
  <c r="R177" i="1"/>
  <c r="S177" i="1"/>
  <c r="U177" i="1"/>
  <c r="V177" i="1"/>
  <c r="W177" i="1"/>
  <c r="D178" i="1"/>
  <c r="F178" i="1"/>
  <c r="H178" i="1"/>
  <c r="I178" i="1"/>
  <c r="J178" i="1"/>
  <c r="L178" i="1"/>
  <c r="M178" i="1"/>
  <c r="N178" i="1"/>
  <c r="P178" i="1"/>
  <c r="Q178" i="1"/>
  <c r="R178" i="1"/>
  <c r="T178" i="1"/>
  <c r="U178" i="1"/>
  <c r="V178" i="1"/>
  <c r="X178" i="1"/>
  <c r="D179" i="1"/>
  <c r="E179" i="1"/>
  <c r="G179" i="1"/>
  <c r="H179" i="1"/>
  <c r="I179" i="1"/>
  <c r="K179" i="1"/>
  <c r="L179" i="1"/>
  <c r="M179" i="1"/>
  <c r="O179" i="1"/>
  <c r="P179" i="1"/>
  <c r="Q179" i="1"/>
  <c r="S179" i="1"/>
  <c r="T179" i="1"/>
  <c r="U179" i="1"/>
  <c r="W179" i="1"/>
  <c r="X179" i="1"/>
  <c r="D180" i="1"/>
  <c r="F180" i="1"/>
  <c r="G180" i="1"/>
  <c r="H180" i="1"/>
  <c r="J180" i="1"/>
  <c r="K180" i="1"/>
  <c r="L180" i="1"/>
  <c r="M180" i="1"/>
  <c r="N180" i="1"/>
  <c r="O180" i="1"/>
  <c r="P180" i="1"/>
  <c r="Q180" i="1"/>
  <c r="R180" i="1"/>
  <c r="S180" i="1"/>
  <c r="T180" i="1"/>
  <c r="U180" i="1"/>
  <c r="V180" i="1"/>
  <c r="W180" i="1"/>
  <c r="X180" i="1"/>
  <c r="D181" i="1"/>
  <c r="E181" i="1"/>
  <c r="F181" i="1"/>
  <c r="G181" i="1"/>
  <c r="H181" i="1"/>
  <c r="I181" i="1"/>
  <c r="J181" i="1"/>
  <c r="K181" i="1"/>
  <c r="L181" i="1"/>
  <c r="M181" i="1"/>
  <c r="N181" i="1"/>
  <c r="O181" i="1"/>
  <c r="P181" i="1"/>
  <c r="Q181" i="1"/>
  <c r="R181" i="1"/>
  <c r="S181" i="1"/>
  <c r="T181" i="1"/>
  <c r="U181" i="1"/>
  <c r="V181" i="1"/>
  <c r="W181" i="1"/>
  <c r="X181" i="1"/>
  <c r="J162" i="1"/>
  <c r="F162" i="1"/>
  <c r="G162" i="1"/>
  <c r="H162" i="1"/>
  <c r="I162" i="1"/>
  <c r="K162" i="1"/>
  <c r="L162" i="1"/>
  <c r="M162" i="1"/>
  <c r="N162" i="1"/>
  <c r="O162" i="1"/>
  <c r="P162" i="1"/>
  <c r="Q162" i="1"/>
  <c r="R162" i="1"/>
  <c r="S162" i="1"/>
  <c r="T162" i="1"/>
  <c r="U162" i="1"/>
  <c r="V162" i="1"/>
  <c r="W162" i="1"/>
  <c r="X162" i="1"/>
  <c r="E162" i="1"/>
  <c r="D162" i="1"/>
  <c r="H161" i="1"/>
  <c r="I161" i="1"/>
  <c r="J161" i="1"/>
  <c r="K161" i="1"/>
  <c r="L161" i="1"/>
  <c r="M161" i="1"/>
  <c r="N161" i="1"/>
  <c r="O161" i="1"/>
  <c r="P161" i="1"/>
  <c r="Q161" i="1"/>
  <c r="R161" i="1"/>
  <c r="S161" i="1"/>
  <c r="T161" i="1"/>
  <c r="U161" i="1"/>
  <c r="V161" i="1"/>
  <c r="W161" i="1"/>
  <c r="X161" i="1"/>
  <c r="G161" i="1"/>
  <c r="E161" i="1"/>
  <c r="F161" i="1"/>
  <c r="AZ12" i="1"/>
  <c r="AZ11" i="1"/>
  <c r="AZ10" i="1"/>
  <c r="AZ9" i="1"/>
  <c r="AZ8" i="1"/>
  <c r="AZ7" i="1"/>
  <c r="AZ6" i="1"/>
  <c r="AZ5" i="1"/>
  <c r="AS12" i="1"/>
  <c r="AS11" i="1"/>
  <c r="AS10" i="1"/>
  <c r="AS9" i="1"/>
  <c r="AS8" i="1"/>
  <c r="AS7" i="1"/>
  <c r="AS6" i="1"/>
  <c r="AS5" i="1"/>
  <c r="AL6" i="1"/>
  <c r="AL7" i="1"/>
  <c r="AL8" i="1"/>
  <c r="AL9" i="1"/>
  <c r="AL10" i="1"/>
  <c r="AL11" i="1"/>
  <c r="AL12" i="1"/>
  <c r="AL5" i="1"/>
  <c r="J135" i="1" l="1"/>
  <c r="J109" i="1" s="1"/>
  <c r="U154" i="1"/>
  <c r="U128" i="1" s="1"/>
  <c r="X153" i="1"/>
  <c r="X127" i="1" s="1"/>
  <c r="X152" i="1"/>
  <c r="X126" i="1" s="1"/>
  <c r="V151" i="1"/>
  <c r="V125" i="1" s="1"/>
  <c r="R150" i="1"/>
  <c r="R124" i="1" s="1"/>
  <c r="W149" i="1"/>
  <c r="W123" i="1" s="1"/>
  <c r="I148" i="1"/>
  <c r="I122" i="1" s="1"/>
  <c r="X146" i="1"/>
  <c r="X120" i="1" s="1"/>
  <c r="Q145" i="1"/>
  <c r="Q119" i="1" s="1"/>
  <c r="I144" i="1"/>
  <c r="I118" i="1" s="1"/>
  <c r="G135" i="1"/>
  <c r="G109" i="1" s="1"/>
  <c r="Q135" i="1"/>
  <c r="Q109" i="1" s="1"/>
  <c r="I135" i="1"/>
  <c r="I109" i="1" s="1"/>
  <c r="T136" i="1"/>
  <c r="T110" i="1" s="1"/>
  <c r="L136" i="1"/>
  <c r="L110" i="1" s="1"/>
  <c r="W155" i="1"/>
  <c r="W129" i="1" s="1"/>
  <c r="O155" i="1"/>
  <c r="O129" i="1" s="1"/>
  <c r="G155" i="1"/>
  <c r="G129" i="1" s="1"/>
  <c r="T154" i="1"/>
  <c r="T128" i="1" s="1"/>
  <c r="L154" i="1"/>
  <c r="L128" i="1" s="1"/>
  <c r="W153" i="1"/>
  <c r="W127" i="1" s="1"/>
  <c r="L153" i="1"/>
  <c r="L127" i="1" s="1"/>
  <c r="V152" i="1"/>
  <c r="V126" i="1" s="1"/>
  <c r="L152" i="1"/>
  <c r="L126" i="1" s="1"/>
  <c r="U151" i="1"/>
  <c r="U125" i="1" s="1"/>
  <c r="I151" i="1"/>
  <c r="I125" i="1" s="1"/>
  <c r="N150" i="1"/>
  <c r="N124" i="1" s="1"/>
  <c r="U149" i="1"/>
  <c r="U123" i="1" s="1"/>
  <c r="G149" i="1"/>
  <c r="G123" i="1" s="1"/>
  <c r="E148" i="1"/>
  <c r="E122" i="1" s="1"/>
  <c r="S146" i="1"/>
  <c r="S120" i="1" s="1"/>
  <c r="M145" i="1"/>
  <c r="M119" i="1" s="1"/>
  <c r="F144" i="1"/>
  <c r="F118" i="1" s="1"/>
  <c r="S142" i="1"/>
  <c r="S116" i="1" s="1"/>
  <c r="F141" i="1"/>
  <c r="F115" i="1" s="1"/>
  <c r="U138" i="1"/>
  <c r="U112" i="1" s="1"/>
  <c r="R135" i="1"/>
  <c r="R109" i="1" s="1"/>
  <c r="H155" i="1"/>
  <c r="H129" i="1" s="1"/>
  <c r="M154" i="1"/>
  <c r="M128" i="1" s="1"/>
  <c r="M153" i="1"/>
  <c r="M127" i="1" s="1"/>
  <c r="M152" i="1"/>
  <c r="M126" i="1" s="1"/>
  <c r="J151" i="1"/>
  <c r="J125" i="1" s="1"/>
  <c r="H149" i="1"/>
  <c r="H123" i="1" s="1"/>
  <c r="X142" i="1"/>
  <c r="X116" i="1" s="1"/>
  <c r="X135" i="1"/>
  <c r="X109" i="1" s="1"/>
  <c r="P135" i="1"/>
  <c r="P109" i="1" s="1"/>
  <c r="H135" i="1"/>
  <c r="H109" i="1" s="1"/>
  <c r="S136" i="1"/>
  <c r="S110" i="1" s="1"/>
  <c r="K136" i="1"/>
  <c r="K110" i="1" s="1"/>
  <c r="V155" i="1"/>
  <c r="V129" i="1" s="1"/>
  <c r="N155" i="1"/>
  <c r="N129" i="1" s="1"/>
  <c r="F155" i="1"/>
  <c r="F129" i="1" s="1"/>
  <c r="S154" i="1"/>
  <c r="S128" i="1" s="1"/>
  <c r="K154" i="1"/>
  <c r="K128" i="1" s="1"/>
  <c r="U153" i="1"/>
  <c r="U127" i="1" s="1"/>
  <c r="K153" i="1"/>
  <c r="K127" i="1" s="1"/>
  <c r="U152" i="1"/>
  <c r="U126" i="1" s="1"/>
  <c r="J152" i="1"/>
  <c r="J126" i="1" s="1"/>
  <c r="S151" i="1"/>
  <c r="S125" i="1" s="1"/>
  <c r="G151" i="1"/>
  <c r="G125" i="1" s="1"/>
  <c r="L150" i="1"/>
  <c r="L124" i="1" s="1"/>
  <c r="T149" i="1"/>
  <c r="T123" i="1" s="1"/>
  <c r="X148" i="1"/>
  <c r="X122" i="1" s="1"/>
  <c r="W147" i="1"/>
  <c r="W121" i="1" s="1"/>
  <c r="O146" i="1"/>
  <c r="O120" i="1" s="1"/>
  <c r="J145" i="1"/>
  <c r="J119" i="1" s="1"/>
  <c r="E144" i="1"/>
  <c r="E118" i="1" s="1"/>
  <c r="S140" i="1"/>
  <c r="S114" i="1" s="1"/>
  <c r="X155" i="1"/>
  <c r="X129" i="1" s="1"/>
  <c r="O135" i="1"/>
  <c r="O109" i="1" s="1"/>
  <c r="U155" i="1"/>
  <c r="U129" i="1" s="1"/>
  <c r="J154" i="1"/>
  <c r="J128" i="1" s="1"/>
  <c r="I152" i="1"/>
  <c r="I126" i="1" s="1"/>
  <c r="S149" i="1"/>
  <c r="S123" i="1" s="1"/>
  <c r="D145" i="1"/>
  <c r="D119" i="1" s="1"/>
  <c r="R140" i="1"/>
  <c r="R114" i="1" s="1"/>
  <c r="N135" i="1"/>
  <c r="N109" i="1" s="1"/>
  <c r="T155" i="1"/>
  <c r="T129" i="1" s="1"/>
  <c r="D155" i="1"/>
  <c r="D129" i="1" s="1"/>
  <c r="H154" i="1"/>
  <c r="H128" i="1" s="1"/>
  <c r="H153" i="1"/>
  <c r="H127" i="1" s="1"/>
  <c r="R152" i="1"/>
  <c r="R126" i="1" s="1"/>
  <c r="H152" i="1"/>
  <c r="H126" i="1" s="1"/>
  <c r="Q151" i="1"/>
  <c r="Q125" i="1" s="1"/>
  <c r="W150" i="1"/>
  <c r="W124" i="1" s="1"/>
  <c r="J150" i="1"/>
  <c r="J124" i="1" s="1"/>
  <c r="Q149" i="1"/>
  <c r="Q123" i="1" s="1"/>
  <c r="U148" i="1"/>
  <c r="U122" i="1" s="1"/>
  <c r="N147" i="1"/>
  <c r="N121" i="1" s="1"/>
  <c r="H146" i="1"/>
  <c r="H120" i="1" s="1"/>
  <c r="W144" i="1"/>
  <c r="W118" i="1" s="1"/>
  <c r="S143" i="1"/>
  <c r="S117" i="1" s="1"/>
  <c r="H142" i="1"/>
  <c r="H116" i="1" s="1"/>
  <c r="M136" i="1"/>
  <c r="M110" i="1" s="1"/>
  <c r="D136" i="1"/>
  <c r="D110" i="1" s="1"/>
  <c r="M155" i="1"/>
  <c r="M129" i="1" s="1"/>
  <c r="T152" i="1"/>
  <c r="T126" i="1" s="1"/>
  <c r="V148" i="1"/>
  <c r="V122" i="1" s="1"/>
  <c r="T143" i="1"/>
  <c r="T117" i="1" s="1"/>
  <c r="E136" i="1"/>
  <c r="E110" i="1" s="1"/>
  <c r="Q154" i="1"/>
  <c r="Q128" i="1" s="1"/>
  <c r="U135" i="1"/>
  <c r="U109" i="1" s="1"/>
  <c r="M135" i="1"/>
  <c r="M109" i="1" s="1"/>
  <c r="X136" i="1"/>
  <c r="X110" i="1" s="1"/>
  <c r="P136" i="1"/>
  <c r="P110" i="1" s="1"/>
  <c r="G136" i="1"/>
  <c r="G110" i="1" s="1"/>
  <c r="S155" i="1"/>
  <c r="S129" i="1" s="1"/>
  <c r="K155" i="1"/>
  <c r="K129" i="1" s="1"/>
  <c r="X154" i="1"/>
  <c r="X128" i="1" s="1"/>
  <c r="P154" i="1"/>
  <c r="P128" i="1" s="1"/>
  <c r="G154" i="1"/>
  <c r="G128" i="1" s="1"/>
  <c r="Q153" i="1"/>
  <c r="Q127" i="1" s="1"/>
  <c r="G153" i="1"/>
  <c r="G127" i="1" s="1"/>
  <c r="Q152" i="1"/>
  <c r="Q126" i="1" s="1"/>
  <c r="F152" i="1"/>
  <c r="F126" i="1" s="1"/>
  <c r="N151" i="1"/>
  <c r="N125" i="1" s="1"/>
  <c r="V150" i="1"/>
  <c r="V124" i="1" s="1"/>
  <c r="H150" i="1"/>
  <c r="H124" i="1" s="1"/>
  <c r="M149" i="1"/>
  <c r="M123" i="1" s="1"/>
  <c r="R148" i="1"/>
  <c r="R122" i="1" s="1"/>
  <c r="K147" i="1"/>
  <c r="K121" i="1" s="1"/>
  <c r="G146" i="1"/>
  <c r="G120" i="1" s="1"/>
  <c r="V144" i="1"/>
  <c r="V118" i="1" s="1"/>
  <c r="L143" i="1"/>
  <c r="L117" i="1" s="1"/>
  <c r="V141" i="1"/>
  <c r="V115" i="1" s="1"/>
  <c r="X139" i="1"/>
  <c r="X113" i="1" s="1"/>
  <c r="H137" i="1"/>
  <c r="H111" i="1" s="1"/>
  <c r="E135" i="1"/>
  <c r="E109" i="1" s="1"/>
  <c r="U136" i="1"/>
  <c r="U110" i="1" s="1"/>
  <c r="R136" i="1"/>
  <c r="R110" i="1" s="1"/>
  <c r="E155" i="1"/>
  <c r="E129" i="1" s="1"/>
  <c r="T153" i="1"/>
  <c r="T127" i="1" s="1"/>
  <c r="R151" i="1"/>
  <c r="R125" i="1" s="1"/>
  <c r="K150" i="1"/>
  <c r="K124" i="1" s="1"/>
  <c r="S147" i="1"/>
  <c r="S121" i="1" s="1"/>
  <c r="I142" i="1"/>
  <c r="I116" i="1" s="1"/>
  <c r="V135" i="1"/>
  <c r="V109" i="1" s="1"/>
  <c r="Q136" i="1"/>
  <c r="Q110" i="1" s="1"/>
  <c r="L155" i="1"/>
  <c r="L129" i="1" s="1"/>
  <c r="S153" i="1"/>
  <c r="S127" i="1" s="1"/>
  <c r="T135" i="1"/>
  <c r="T109" i="1" s="1"/>
  <c r="L135" i="1"/>
  <c r="L109" i="1" s="1"/>
  <c r="W136" i="1"/>
  <c r="W110" i="1" s="1"/>
  <c r="O136" i="1"/>
  <c r="O110" i="1" s="1"/>
  <c r="F136" i="1"/>
  <c r="F110" i="1" s="1"/>
  <c r="R155" i="1"/>
  <c r="R129" i="1" s="1"/>
  <c r="J155" i="1"/>
  <c r="J129" i="1" s="1"/>
  <c r="W154" i="1"/>
  <c r="W128" i="1" s="1"/>
  <c r="O154" i="1"/>
  <c r="O128" i="1" s="1"/>
  <c r="F154" i="1"/>
  <c r="F128" i="1" s="1"/>
  <c r="P153" i="1"/>
  <c r="P127" i="1" s="1"/>
  <c r="E153" i="1"/>
  <c r="E127" i="1" s="1"/>
  <c r="P152" i="1"/>
  <c r="P126" i="1" s="1"/>
  <c r="D152" i="1"/>
  <c r="D126" i="1" s="1"/>
  <c r="M151" i="1"/>
  <c r="M125" i="1" s="1"/>
  <c r="T150" i="1"/>
  <c r="T124" i="1" s="1"/>
  <c r="G150" i="1"/>
  <c r="G124" i="1" s="1"/>
  <c r="L149" i="1"/>
  <c r="L123" i="1" s="1"/>
  <c r="Q148" i="1"/>
  <c r="Q122" i="1" s="1"/>
  <c r="J147" i="1"/>
  <c r="J121" i="1" s="1"/>
  <c r="U145" i="1"/>
  <c r="U119" i="1" s="1"/>
  <c r="Q144" i="1"/>
  <c r="Q118" i="1" s="1"/>
  <c r="K143" i="1"/>
  <c r="K117" i="1" s="1"/>
  <c r="U141" i="1"/>
  <c r="U115" i="1" s="1"/>
  <c r="W139" i="1"/>
  <c r="W113" i="1" s="1"/>
  <c r="P155" i="1"/>
  <c r="P129" i="1" s="1"/>
  <c r="W135" i="1"/>
  <c r="W109" i="1" s="1"/>
  <c r="I136" i="1"/>
  <c r="I110" i="1" s="1"/>
  <c r="R154" i="1"/>
  <c r="R128" i="1" s="1"/>
  <c r="I153" i="1"/>
  <c r="I127" i="1" s="1"/>
  <c r="X150" i="1"/>
  <c r="X124" i="1" s="1"/>
  <c r="M146" i="1"/>
  <c r="M120" i="1" s="1"/>
  <c r="P137" i="1"/>
  <c r="P111" i="1" s="1"/>
  <c r="H136" i="1"/>
  <c r="H110" i="1" s="1"/>
  <c r="F135" i="1"/>
  <c r="F109" i="1" s="1"/>
  <c r="S135" i="1"/>
  <c r="S109" i="1" s="1"/>
  <c r="K135" i="1"/>
  <c r="K109" i="1" s="1"/>
  <c r="V136" i="1"/>
  <c r="V110" i="1" s="1"/>
  <c r="N136" i="1"/>
  <c r="N110" i="1" s="1"/>
  <c r="J136" i="1"/>
  <c r="J110" i="1" s="1"/>
  <c r="Q155" i="1"/>
  <c r="Q129" i="1" s="1"/>
  <c r="I155" i="1"/>
  <c r="I129" i="1" s="1"/>
  <c r="V154" i="1"/>
  <c r="V128" i="1" s="1"/>
  <c r="N154" i="1"/>
  <c r="N128" i="1" s="1"/>
  <c r="D154" i="1"/>
  <c r="D128" i="1" s="1"/>
  <c r="O153" i="1"/>
  <c r="O127" i="1" s="1"/>
  <c r="D153" i="1"/>
  <c r="D127" i="1" s="1"/>
  <c r="N152" i="1"/>
  <c r="N126" i="1" s="1"/>
  <c r="W151" i="1"/>
  <c r="W125" i="1" s="1"/>
  <c r="K151" i="1"/>
  <c r="K125" i="1" s="1"/>
  <c r="S150" i="1"/>
  <c r="S124" i="1" s="1"/>
  <c r="X149" i="1"/>
  <c r="X123" i="1" s="1"/>
  <c r="K149" i="1"/>
  <c r="K123" i="1" s="1"/>
  <c r="J148" i="1"/>
  <c r="J122" i="1" s="1"/>
  <c r="F147" i="1"/>
  <c r="F121" i="1" s="1"/>
  <c r="T145" i="1"/>
  <c r="T119" i="1" s="1"/>
  <c r="O144" i="1"/>
  <c r="O118" i="1" s="1"/>
  <c r="F143" i="1"/>
  <c r="F117" i="1" s="1"/>
  <c r="M141" i="1"/>
  <c r="M115" i="1" s="1"/>
  <c r="D102" i="1"/>
  <c r="D101" i="1"/>
  <c r="D100" i="1"/>
  <c r="I175" i="1"/>
  <c r="T174" i="1"/>
  <c r="X173" i="1"/>
  <c r="G173" i="1"/>
  <c r="L172" i="1"/>
  <c r="P171" i="1"/>
  <c r="R170" i="1"/>
  <c r="W169" i="1"/>
  <c r="D169" i="1"/>
  <c r="X167" i="1"/>
  <c r="U166" i="1"/>
  <c r="R165" i="1"/>
  <c r="M164" i="1"/>
  <c r="F163" i="1"/>
  <c r="P165" i="1"/>
  <c r="L164" i="1"/>
  <c r="G164" i="1"/>
  <c r="F177" i="1"/>
  <c r="P176" i="1"/>
  <c r="F176" i="1"/>
  <c r="P175" i="1"/>
  <c r="E175" i="1"/>
  <c r="N174" i="1"/>
  <c r="R173" i="1"/>
  <c r="U172" i="1"/>
  <c r="E172" i="1"/>
  <c r="I171" i="1"/>
  <c r="M170" i="1"/>
  <c r="R169" i="1"/>
  <c r="Q168" i="1"/>
  <c r="P167" i="1"/>
  <c r="M166" i="1"/>
  <c r="H165" i="1"/>
  <c r="E164" i="1"/>
  <c r="I163" i="1"/>
  <c r="E178" i="1"/>
  <c r="O177" i="1"/>
  <c r="E177" i="1"/>
  <c r="O176" i="1"/>
  <c r="D176" i="1"/>
  <c r="O175" i="1"/>
  <c r="D175" i="1"/>
  <c r="K174" i="1"/>
  <c r="P173" i="1"/>
  <c r="T172" i="1"/>
  <c r="X171" i="1"/>
  <c r="H171" i="1"/>
  <c r="J170" i="1"/>
  <c r="N169" i="1"/>
  <c r="P168" i="1"/>
  <c r="N167" i="1"/>
  <c r="K166" i="1"/>
  <c r="G165" i="1"/>
  <c r="L163" i="1"/>
  <c r="U163" i="1"/>
  <c r="I180" i="1"/>
  <c r="V179" i="1"/>
  <c r="N179" i="1"/>
  <c r="F179" i="1"/>
  <c r="S178" i="1"/>
  <c r="K178" i="1"/>
  <c r="X177" i="1"/>
  <c r="P177" i="1"/>
  <c r="H177" i="1"/>
  <c r="U176" i="1"/>
  <c r="M176" i="1"/>
  <c r="E176" i="1"/>
  <c r="R175" i="1"/>
  <c r="J175" i="1"/>
  <c r="W174" i="1"/>
  <c r="M174" i="1"/>
  <c r="V173" i="1"/>
  <c r="H173" i="1"/>
  <c r="P172" i="1"/>
  <c r="D172" i="1"/>
  <c r="L171" i="1"/>
  <c r="U170" i="1"/>
  <c r="G170" i="1"/>
  <c r="O169" i="1"/>
  <c r="T168" i="1"/>
  <c r="D168" i="1"/>
  <c r="I167" i="1"/>
  <c r="N166" i="1"/>
  <c r="S165" i="1"/>
  <c r="X164" i="1"/>
  <c r="H164" i="1"/>
  <c r="K163" i="1"/>
  <c r="E167" i="1"/>
  <c r="J166" i="1"/>
  <c r="O165" i="1"/>
  <c r="T164" i="1"/>
  <c r="D164" i="1"/>
  <c r="E180" i="1"/>
  <c r="R179" i="1"/>
  <c r="J179" i="1"/>
  <c r="W178" i="1"/>
  <c r="O178" i="1"/>
  <c r="G178" i="1"/>
  <c r="T177" i="1"/>
  <c r="L177" i="1"/>
  <c r="D177" i="1"/>
  <c r="Q176" i="1"/>
  <c r="I176" i="1"/>
  <c r="V175" i="1"/>
  <c r="N175" i="1"/>
  <c r="F175" i="1"/>
  <c r="S174" i="1"/>
  <c r="F174" i="1"/>
  <c r="O173" i="1"/>
  <c r="W172" i="1"/>
  <c r="K172" i="1"/>
  <c r="R171" i="1"/>
  <c r="E171" i="1"/>
  <c r="N170" i="1"/>
  <c r="V169" i="1"/>
  <c r="G169" i="1"/>
  <c r="L168" i="1"/>
  <c r="Q167" i="1"/>
  <c r="V166" i="1"/>
  <c r="F166" i="1"/>
  <c r="K165" i="1"/>
  <c r="P164" i="1"/>
  <c r="L174" i="1"/>
  <c r="D174" i="1"/>
  <c r="Q173" i="1"/>
  <c r="I173" i="1"/>
  <c r="V172" i="1"/>
  <c r="N172" i="1"/>
  <c r="F172" i="1"/>
  <c r="S171" i="1"/>
  <c r="K171" i="1"/>
  <c r="X170" i="1"/>
  <c r="P170" i="1"/>
  <c r="H170" i="1"/>
  <c r="U169" i="1"/>
  <c r="M169" i="1"/>
  <c r="E169" i="1"/>
  <c r="R168" i="1"/>
  <c r="J168" i="1"/>
  <c r="W167" i="1"/>
  <c r="O167" i="1"/>
  <c r="G167" i="1"/>
  <c r="T166" i="1"/>
  <c r="L166" i="1"/>
  <c r="D166" i="1"/>
  <c r="Q165" i="1"/>
  <c r="I165" i="1"/>
  <c r="V164" i="1"/>
  <c r="N164" i="1"/>
  <c r="F164" i="1"/>
  <c r="F138" i="1" s="1"/>
  <c r="F112" i="1" s="1"/>
  <c r="S163" i="1"/>
  <c r="G163" i="1"/>
  <c r="E163" i="1"/>
  <c r="J169" i="1"/>
  <c r="W168" i="1"/>
  <c r="O168" i="1"/>
  <c r="G168" i="1"/>
  <c r="T167" i="1"/>
  <c r="L167" i="1"/>
  <c r="D167" i="1"/>
  <c r="Q166" i="1"/>
  <c r="I166" i="1"/>
  <c r="V165" i="1"/>
  <c r="N165" i="1"/>
  <c r="F165" i="1"/>
  <c r="S164" i="1"/>
  <c r="K164" i="1"/>
  <c r="X163" i="1"/>
  <c r="N163" i="1"/>
  <c r="D109" i="1"/>
  <c r="P174" i="1"/>
  <c r="H174" i="1"/>
  <c r="U173" i="1"/>
  <c r="M173" i="1"/>
  <c r="E173" i="1"/>
  <c r="R172" i="1"/>
  <c r="J172" i="1"/>
  <c r="W171" i="1"/>
  <c r="O171" i="1"/>
  <c r="G171" i="1"/>
  <c r="T170" i="1"/>
  <c r="L170" i="1"/>
  <c r="D170" i="1"/>
  <c r="Q169" i="1"/>
  <c r="I169" i="1"/>
  <c r="V168" i="1"/>
  <c r="N168" i="1"/>
  <c r="F168" i="1"/>
  <c r="S167" i="1"/>
  <c r="K167" i="1"/>
  <c r="X166" i="1"/>
  <c r="P166" i="1"/>
  <c r="H166" i="1"/>
  <c r="U165" i="1"/>
  <c r="M165" i="1"/>
  <c r="E165" i="1"/>
  <c r="R164" i="1"/>
  <c r="J164" i="1"/>
  <c r="W163" i="1"/>
  <c r="M163" i="1"/>
  <c r="O174" i="1"/>
  <c r="G174" i="1"/>
  <c r="T173" i="1"/>
  <c r="L173" i="1"/>
  <c r="D173" i="1"/>
  <c r="Q172" i="1"/>
  <c r="I172" i="1"/>
  <c r="V171" i="1"/>
  <c r="N171" i="1"/>
  <c r="F171" i="1"/>
  <c r="S170" i="1"/>
  <c r="K170" i="1"/>
  <c r="X169" i="1"/>
  <c r="P169" i="1"/>
  <c r="H169" i="1"/>
  <c r="U168" i="1"/>
  <c r="M168" i="1"/>
  <c r="E168" i="1"/>
  <c r="R167" i="1"/>
  <c r="J167" i="1"/>
  <c r="W166" i="1"/>
  <c r="O166" i="1"/>
  <c r="G166" i="1"/>
  <c r="T165" i="1"/>
  <c r="L165" i="1"/>
  <c r="D165" i="1"/>
  <c r="Q164" i="1"/>
  <c r="I164" i="1"/>
  <c r="V163" i="1"/>
  <c r="D163" i="1"/>
  <c r="R163" i="1"/>
  <c r="J163" i="1"/>
  <c r="Q163" i="1"/>
  <c r="O111" i="1"/>
  <c r="K116" i="1"/>
  <c r="H115" i="1"/>
  <c r="E114" i="1"/>
  <c r="J113" i="1"/>
  <c r="W112" i="1"/>
  <c r="O112" i="1"/>
  <c r="T111" i="1"/>
  <c r="I6" i="1"/>
  <c r="I7" i="1"/>
  <c r="I8" i="1"/>
  <c r="I9" i="1"/>
  <c r="I10" i="1"/>
  <c r="I11" i="1"/>
  <c r="I12" i="1"/>
  <c r="H6" i="1"/>
  <c r="AJ6" i="1" s="1"/>
  <c r="H7" i="1"/>
  <c r="AJ7" i="1" s="1"/>
  <c r="H8" i="1"/>
  <c r="AJ8" i="1" s="1"/>
  <c r="H9" i="1"/>
  <c r="AJ9" i="1" s="1"/>
  <c r="H10" i="1"/>
  <c r="AJ10" i="1" s="1"/>
  <c r="H11" i="1"/>
  <c r="AJ11" i="1" s="1"/>
  <c r="H12" i="1"/>
  <c r="AJ12" i="1" s="1"/>
  <c r="H5" i="1"/>
  <c r="AJ5" i="1" s="1"/>
  <c r="G6" i="1"/>
  <c r="G7" i="1"/>
  <c r="G8" i="1"/>
  <c r="G9" i="1"/>
  <c r="G10" i="1"/>
  <c r="G11" i="1"/>
  <c r="G12" i="1"/>
  <c r="G5" i="1"/>
  <c r="I5" i="1"/>
  <c r="L147" i="1" l="1"/>
  <c r="L121" i="1" s="1"/>
  <c r="O142" i="1"/>
  <c r="O116" i="1" s="1"/>
  <c r="F148" i="1"/>
  <c r="F122" i="1" s="1"/>
  <c r="S152" i="1"/>
  <c r="S126" i="1" s="1"/>
  <c r="F150" i="1"/>
  <c r="F124" i="1" s="1"/>
  <c r="S144" i="1"/>
  <c r="S118" i="1" s="1"/>
  <c r="P148" i="1"/>
  <c r="P122" i="1" s="1"/>
  <c r="K145" i="1"/>
  <c r="K119" i="1" s="1"/>
  <c r="N140" i="1"/>
  <c r="N114" i="1" s="1"/>
  <c r="N141" i="1"/>
  <c r="N115" i="1" s="1"/>
  <c r="U140" i="1"/>
  <c r="U114" i="1" s="1"/>
  <c r="N145" i="1"/>
  <c r="N119" i="1" s="1"/>
  <c r="Q140" i="1"/>
  <c r="Q114" i="1" s="1"/>
  <c r="F146" i="1"/>
  <c r="F120" i="1" s="1"/>
  <c r="J140" i="1"/>
  <c r="J114" i="1" s="1"/>
  <c r="V153" i="1"/>
  <c r="V127" i="1" s="1"/>
  <c r="I149" i="1"/>
  <c r="I123" i="1" s="1"/>
  <c r="J137" i="1"/>
  <c r="J111" i="1" s="1"/>
  <c r="M137" i="1"/>
  <c r="M111" i="1" s="1"/>
  <c r="D141" i="1"/>
  <c r="D115" i="1" s="1"/>
  <c r="D137" i="1"/>
  <c r="D111" i="1" s="1"/>
  <c r="P143" i="1"/>
  <c r="P117" i="1" s="1"/>
  <c r="V137" i="1"/>
  <c r="V111" i="1" s="1"/>
  <c r="W140" i="1"/>
  <c r="W114" i="1" s="1"/>
  <c r="X143" i="1"/>
  <c r="X117" i="1" s="1"/>
  <c r="D147" i="1"/>
  <c r="D121" i="1" s="1"/>
  <c r="R138" i="1"/>
  <c r="R112" i="1" s="1"/>
  <c r="S141" i="1"/>
  <c r="S115" i="1" s="1"/>
  <c r="T144" i="1"/>
  <c r="T118" i="1" s="1"/>
  <c r="U147" i="1"/>
  <c r="U121" i="1" s="1"/>
  <c r="F139" i="1"/>
  <c r="F113" i="1" s="1"/>
  <c r="G142" i="1"/>
  <c r="G116" i="1" s="1"/>
  <c r="N138" i="1"/>
  <c r="N112" i="1" s="1"/>
  <c r="O141" i="1"/>
  <c r="O115" i="1" s="1"/>
  <c r="P144" i="1"/>
  <c r="P118" i="1" s="1"/>
  <c r="Q147" i="1"/>
  <c r="Q121" i="1" s="1"/>
  <c r="L142" i="1"/>
  <c r="L116" i="1" s="1"/>
  <c r="O147" i="1"/>
  <c r="O121" i="1" s="1"/>
  <c r="D151" i="1"/>
  <c r="D125" i="1" s="1"/>
  <c r="E154" i="1"/>
  <c r="E128" i="1" s="1"/>
  <c r="X138" i="1"/>
  <c r="X112" i="1" s="1"/>
  <c r="U144" i="1"/>
  <c r="U118" i="1" s="1"/>
  <c r="J149" i="1"/>
  <c r="J123" i="1" s="1"/>
  <c r="K152" i="1"/>
  <c r="K126" i="1" s="1"/>
  <c r="G139" i="1"/>
  <c r="G113" i="1" s="1"/>
  <c r="T146" i="1"/>
  <c r="T120" i="1" s="1"/>
  <c r="O151" i="1"/>
  <c r="O125" i="1" s="1"/>
  <c r="R143" i="1"/>
  <c r="R117" i="1" s="1"/>
  <c r="P149" i="1"/>
  <c r="P123" i="1" s="1"/>
  <c r="M138" i="1"/>
  <c r="M112" i="1" s="1"/>
  <c r="L146" i="1"/>
  <c r="L120" i="1" s="1"/>
  <c r="K144" i="1"/>
  <c r="K118" i="1" s="1"/>
  <c r="W141" i="1"/>
  <c r="W115" i="1" s="1"/>
  <c r="S139" i="1"/>
  <c r="S113" i="1" s="1"/>
  <c r="R139" i="1"/>
  <c r="R113" i="1" s="1"/>
  <c r="O145" i="1"/>
  <c r="O119" i="1" s="1"/>
  <c r="I138" i="1"/>
  <c r="I112" i="1" s="1"/>
  <c r="G145" i="1"/>
  <c r="G119" i="1" s="1"/>
  <c r="V138" i="1"/>
  <c r="V112" i="1" s="1"/>
  <c r="L151" i="1"/>
  <c r="L125" i="1" s="1"/>
  <c r="K140" i="1"/>
  <c r="K114" i="1" s="1"/>
  <c r="G147" i="1"/>
  <c r="G121" i="1" s="1"/>
  <c r="T147" i="1"/>
  <c r="T121" i="1" s="1"/>
  <c r="V139" i="1"/>
  <c r="V113" i="1" s="1"/>
  <c r="L148" i="1"/>
  <c r="L122" i="1" s="1"/>
  <c r="D146" i="1"/>
  <c r="D120" i="1" s="1"/>
  <c r="K148" i="1"/>
  <c r="K122" i="1" s="1"/>
  <c r="X147" i="1"/>
  <c r="X121" i="1" s="1"/>
  <c r="D139" i="1"/>
  <c r="D113" i="1" s="1"/>
  <c r="E142" i="1"/>
  <c r="E116" i="1" s="1"/>
  <c r="F145" i="1"/>
  <c r="F119" i="1" s="1"/>
  <c r="G148" i="1"/>
  <c r="G122" i="1" s="1"/>
  <c r="U139" i="1"/>
  <c r="U113" i="1" s="1"/>
  <c r="V142" i="1"/>
  <c r="V116" i="1" s="1"/>
  <c r="W145" i="1"/>
  <c r="W119" i="1" s="1"/>
  <c r="I140" i="1"/>
  <c r="I114" i="1" s="1"/>
  <c r="J143" i="1"/>
  <c r="J117" i="1" s="1"/>
  <c r="Q139" i="1"/>
  <c r="Q113" i="1" s="1"/>
  <c r="R142" i="1"/>
  <c r="R116" i="1" s="1"/>
  <c r="S145" i="1"/>
  <c r="S119" i="1" s="1"/>
  <c r="P138" i="1"/>
  <c r="P112" i="1" s="1"/>
  <c r="N144" i="1"/>
  <c r="N118" i="1" s="1"/>
  <c r="F149" i="1"/>
  <c r="F123" i="1" s="1"/>
  <c r="G152" i="1"/>
  <c r="G126" i="1" s="1"/>
  <c r="O139" i="1"/>
  <c r="O113" i="1" s="1"/>
  <c r="I141" i="1"/>
  <c r="I115" i="1" s="1"/>
  <c r="P146" i="1"/>
  <c r="P120" i="1" s="1"/>
  <c r="M150" i="1"/>
  <c r="M124" i="1" s="1"/>
  <c r="N153" i="1"/>
  <c r="N127" i="1" s="1"/>
  <c r="P142" i="1"/>
  <c r="P116" i="1" s="1"/>
  <c r="D149" i="1"/>
  <c r="D123" i="1" s="1"/>
  <c r="E138" i="1"/>
  <c r="E112" i="1" s="1"/>
  <c r="E146" i="1"/>
  <c r="E120" i="1" s="1"/>
  <c r="F151" i="1"/>
  <c r="F125" i="1" s="1"/>
  <c r="X141" i="1"/>
  <c r="X115" i="1" s="1"/>
  <c r="T148" i="1"/>
  <c r="T122" i="1" s="1"/>
  <c r="Q138" i="1"/>
  <c r="Q112" i="1" s="1"/>
  <c r="I139" i="1"/>
  <c r="I113" i="1" s="1"/>
  <c r="T138" i="1"/>
  <c r="T112" i="1" s="1"/>
  <c r="I137" i="1"/>
  <c r="I111" i="1" s="1"/>
  <c r="I143" i="1"/>
  <c r="I117" i="1" s="1"/>
  <c r="K139" i="1"/>
  <c r="K113" i="1" s="1"/>
  <c r="U150" i="1"/>
  <c r="U124" i="1" s="1"/>
  <c r="H139" i="1"/>
  <c r="H113" i="1" s="1"/>
  <c r="G138" i="1"/>
  <c r="G112" i="1" s="1"/>
  <c r="E139" i="1"/>
  <c r="E113" i="1" s="1"/>
  <c r="D148" i="1"/>
  <c r="D122" i="1" s="1"/>
  <c r="P147" i="1"/>
  <c r="P121" i="1" s="1"/>
  <c r="R141" i="1"/>
  <c r="R115" i="1" s="1"/>
  <c r="T151" i="1"/>
  <c r="T125" i="1" s="1"/>
  <c r="Q137" i="1"/>
  <c r="Q111" i="1" s="1"/>
  <c r="H140" i="1"/>
  <c r="H114" i="1" s="1"/>
  <c r="E137" i="1"/>
  <c r="E111" i="1" s="1"/>
  <c r="O152" i="1"/>
  <c r="O126" i="1" s="1"/>
  <c r="U146" i="1"/>
  <c r="U120" i="1" s="1"/>
  <c r="T139" i="1"/>
  <c r="T113" i="1" s="1"/>
  <c r="P140" i="1"/>
  <c r="P114" i="1" s="1"/>
  <c r="X137" i="1"/>
  <c r="X111" i="1" s="1"/>
  <c r="G137" i="1"/>
  <c r="G111" i="1" s="1"/>
  <c r="L140" i="1"/>
  <c r="L114" i="1" s="1"/>
  <c r="M143" i="1"/>
  <c r="M117" i="1" s="1"/>
  <c r="N146" i="1"/>
  <c r="N120" i="1" s="1"/>
  <c r="F140" i="1"/>
  <c r="F114" i="1" s="1"/>
  <c r="R145" i="1"/>
  <c r="R119" i="1" s="1"/>
  <c r="V149" i="1"/>
  <c r="V123" i="1" s="1"/>
  <c r="W152" i="1"/>
  <c r="W126" i="1" s="1"/>
  <c r="E141" i="1"/>
  <c r="E115" i="1" s="1"/>
  <c r="T142" i="1"/>
  <c r="T116" i="1" s="1"/>
  <c r="V147" i="1"/>
  <c r="V121" i="1" s="1"/>
  <c r="H151" i="1"/>
  <c r="H125" i="1" s="1"/>
  <c r="I154" i="1"/>
  <c r="I128" i="1" s="1"/>
  <c r="J144" i="1"/>
  <c r="J118" i="1" s="1"/>
  <c r="D150" i="1"/>
  <c r="D124" i="1" s="1"/>
  <c r="M140" i="1"/>
  <c r="M114" i="1" s="1"/>
  <c r="R147" i="1"/>
  <c r="R121" i="1" s="1"/>
  <c r="L138" i="1"/>
  <c r="L112" i="1" s="1"/>
  <c r="W143" i="1"/>
  <c r="W117" i="1" s="1"/>
  <c r="F142" i="1"/>
  <c r="F116" i="1" s="1"/>
  <c r="N139" i="1"/>
  <c r="N113" i="1" s="1"/>
  <c r="G143" i="1"/>
  <c r="G117" i="1" s="1"/>
  <c r="L145" i="1"/>
  <c r="L119" i="1" s="1"/>
  <c r="E152" i="1"/>
  <c r="E126" i="1" s="1"/>
  <c r="N142" i="1"/>
  <c r="N116" i="1" s="1"/>
  <c r="J142" i="1"/>
  <c r="J116" i="1" s="1"/>
  <c r="S148" i="1"/>
  <c r="S122" i="1" s="1"/>
  <c r="F153" i="1"/>
  <c r="F127" i="1" s="1"/>
  <c r="P150" i="1"/>
  <c r="P124" i="1" s="1"/>
  <c r="L139" i="1"/>
  <c r="L113" i="1" s="1"/>
  <c r="O148" i="1"/>
  <c r="O122" i="1" s="1"/>
  <c r="N137" i="1"/>
  <c r="N111" i="1" s="1"/>
  <c r="E143" i="1"/>
  <c r="E117" i="1" s="1"/>
  <c r="N149" i="1"/>
  <c r="N123" i="1" s="1"/>
  <c r="D142" i="1"/>
  <c r="D116" i="1" s="1"/>
  <c r="N143" i="1"/>
  <c r="N117" i="1" s="1"/>
  <c r="U142" i="1"/>
  <c r="U116" i="1" s="1"/>
  <c r="R146" i="1"/>
  <c r="R120" i="1" s="1"/>
  <c r="R137" i="1"/>
  <c r="R111" i="1" s="1"/>
  <c r="G140" i="1"/>
  <c r="G114" i="1" s="1"/>
  <c r="H143" i="1"/>
  <c r="H117" i="1" s="1"/>
  <c r="I146" i="1"/>
  <c r="I120" i="1" s="1"/>
  <c r="W137" i="1"/>
  <c r="W111" i="1" s="1"/>
  <c r="X140" i="1"/>
  <c r="X114" i="1" s="1"/>
  <c r="D144" i="1"/>
  <c r="D118" i="1" s="1"/>
  <c r="E147" i="1"/>
  <c r="E121" i="1" s="1"/>
  <c r="K138" i="1"/>
  <c r="K112" i="1" s="1"/>
  <c r="L141" i="1"/>
  <c r="L115" i="1" s="1"/>
  <c r="S137" i="1"/>
  <c r="S111" i="1" s="1"/>
  <c r="T140" i="1"/>
  <c r="T114" i="1" s="1"/>
  <c r="U143" i="1"/>
  <c r="U117" i="1" s="1"/>
  <c r="V146" i="1"/>
  <c r="V120" i="1" s="1"/>
  <c r="V140" i="1"/>
  <c r="V114" i="1" s="1"/>
  <c r="K146" i="1"/>
  <c r="K120" i="1" s="1"/>
  <c r="I150" i="1"/>
  <c r="I124" i="1" s="1"/>
  <c r="J153" i="1"/>
  <c r="J127" i="1" s="1"/>
  <c r="K137" i="1"/>
  <c r="K111" i="1" s="1"/>
  <c r="O143" i="1"/>
  <c r="O117" i="1" s="1"/>
  <c r="M148" i="1"/>
  <c r="M122" i="1" s="1"/>
  <c r="P151" i="1"/>
  <c r="P125" i="1" s="1"/>
  <c r="U137" i="1"/>
  <c r="U111" i="1" s="1"/>
  <c r="H145" i="1"/>
  <c r="H119" i="1" s="1"/>
  <c r="O150" i="1"/>
  <c r="O124" i="1" s="1"/>
  <c r="P141" i="1"/>
  <c r="P115" i="1" s="1"/>
  <c r="N148" i="1"/>
  <c r="N122" i="1" s="1"/>
  <c r="P139" i="1"/>
  <c r="P113" i="1" s="1"/>
  <c r="R144" i="1"/>
  <c r="R118" i="1" s="1"/>
  <c r="J141" i="1"/>
  <c r="J115" i="1" s="1"/>
  <c r="H148" i="1"/>
  <c r="H122" i="1" s="1"/>
  <c r="X144" i="1"/>
  <c r="X118" i="1" s="1"/>
  <c r="D138" i="1"/>
  <c r="D112" i="1" s="1"/>
  <c r="R149" i="1"/>
  <c r="R123" i="1" s="1"/>
  <c r="M144" i="1"/>
  <c r="M118" i="1" s="1"/>
  <c r="M139" i="1"/>
  <c r="M113" i="1" s="1"/>
  <c r="W142" i="1"/>
  <c r="W116" i="1" s="1"/>
  <c r="V143" i="1"/>
  <c r="V117" i="1" s="1"/>
  <c r="E150" i="1"/>
  <c r="E124" i="1" s="1"/>
  <c r="I145" i="1"/>
  <c r="I119" i="1" s="1"/>
  <c r="M142" i="1"/>
  <c r="M116" i="1" s="1"/>
  <c r="J146" i="1"/>
  <c r="J120" i="1" s="1"/>
  <c r="D140" i="1"/>
  <c r="D114" i="1" s="1"/>
  <c r="E145" i="1"/>
  <c r="E119" i="1" s="1"/>
  <c r="H147" i="1"/>
  <c r="H121" i="1" s="1"/>
  <c r="O149" i="1"/>
  <c r="O123" i="1" s="1"/>
  <c r="D143" i="1"/>
  <c r="D117" i="1" s="1"/>
  <c r="V145" i="1"/>
  <c r="V119" i="1" s="1"/>
  <c r="Q143" i="1"/>
  <c r="Q117" i="1" s="1"/>
  <c r="O140" i="1"/>
  <c r="O114" i="1" s="1"/>
  <c r="Q146" i="1"/>
  <c r="Q120" i="1" s="1"/>
  <c r="J138" i="1"/>
  <c r="J112" i="1" s="1"/>
  <c r="K141" i="1"/>
  <c r="K115" i="1" s="1"/>
  <c r="L144" i="1"/>
  <c r="L118" i="1" s="1"/>
  <c r="M147" i="1"/>
  <c r="M121" i="1" s="1"/>
  <c r="S138" i="1"/>
  <c r="S112" i="1" s="1"/>
  <c r="T141" i="1"/>
  <c r="T115" i="1" s="1"/>
  <c r="G141" i="1"/>
  <c r="G115" i="1" s="1"/>
  <c r="H144" i="1"/>
  <c r="H118" i="1" s="1"/>
  <c r="I147" i="1"/>
  <c r="I121" i="1" s="1"/>
  <c r="Q141" i="1"/>
  <c r="Q115" i="1" s="1"/>
  <c r="W146" i="1"/>
  <c r="W120" i="1" s="1"/>
  <c r="Q150" i="1"/>
  <c r="Q124" i="1" s="1"/>
  <c r="R153" i="1"/>
  <c r="R127" i="1" s="1"/>
  <c r="H138" i="1"/>
  <c r="H112" i="1" s="1"/>
  <c r="G144" i="1"/>
  <c r="G118" i="1" s="1"/>
  <c r="W148" i="1"/>
  <c r="W122" i="1" s="1"/>
  <c r="X151" i="1"/>
  <c r="X125" i="1" s="1"/>
  <c r="L137" i="1"/>
  <c r="L111" i="1" s="1"/>
  <c r="X145" i="1"/>
  <c r="X119" i="1" s="1"/>
  <c r="E151" i="1"/>
  <c r="E125" i="1" s="1"/>
  <c r="Q142" i="1"/>
  <c r="Q116" i="1" s="1"/>
  <c r="E149" i="1"/>
  <c r="E123" i="1" s="1"/>
  <c r="F137" i="1"/>
  <c r="F111" i="1" s="1"/>
  <c r="P145" i="1"/>
  <c r="P119" i="1" s="1"/>
  <c r="U5" i="1"/>
  <c r="R5" i="1" s="1"/>
  <c r="AX6" i="1"/>
  <c r="U6" i="1"/>
  <c r="AX5" i="1"/>
  <c r="AX12" i="1"/>
  <c r="U12" i="1"/>
  <c r="R12" i="1" s="1"/>
  <c r="AX7" i="1"/>
  <c r="U7" i="1"/>
  <c r="R7" i="1" s="1"/>
  <c r="AX11" i="1"/>
  <c r="U11" i="1"/>
  <c r="R11" i="1" s="1"/>
  <c r="AX10" i="1"/>
  <c r="U10" i="1"/>
  <c r="R10" i="1" s="1"/>
  <c r="AX9" i="1"/>
  <c r="U9" i="1"/>
  <c r="R9" i="1" s="1"/>
  <c r="AX8" i="1"/>
  <c r="U8" i="1"/>
  <c r="R8" i="1" s="1"/>
  <c r="R6" i="1" l="1"/>
  <c r="T6" i="1" s="1"/>
  <c r="K6" i="1" s="1"/>
  <c r="T5" i="1"/>
  <c r="AY8" i="1"/>
  <c r="AK8" i="1"/>
  <c r="T8" i="1"/>
  <c r="AR8" i="1"/>
  <c r="Y8" i="1"/>
  <c r="Y7" i="1"/>
  <c r="AK7" i="1"/>
  <c r="AR7" i="1"/>
  <c r="AY7" i="1"/>
  <c r="T7" i="1"/>
  <c r="K7" i="1" s="1"/>
  <c r="AK12" i="1"/>
  <c r="T12" i="1"/>
  <c r="AY12" i="1"/>
  <c r="Y12" i="1"/>
  <c r="AR12" i="1"/>
  <c r="T10" i="1"/>
  <c r="Y10" i="1"/>
  <c r="AK10" i="1"/>
  <c r="AY10" i="1"/>
  <c r="AR10" i="1"/>
  <c r="AR5" i="1"/>
  <c r="AK5" i="1"/>
  <c r="AY5" i="1"/>
  <c r="Y5" i="1"/>
  <c r="AR11" i="1"/>
  <c r="AY11" i="1"/>
  <c r="AK11" i="1"/>
  <c r="T11" i="1"/>
  <c r="Y11" i="1"/>
  <c r="AR6" i="1"/>
  <c r="AK6" i="1"/>
  <c r="Y6" i="1"/>
  <c r="AY6" i="1"/>
  <c r="AK9" i="1"/>
  <c r="AR9" i="1"/>
  <c r="AY9" i="1"/>
  <c r="T9" i="1"/>
  <c r="Y9" i="1"/>
  <c r="AA12" i="1" l="1"/>
  <c r="BB12" i="1"/>
  <c r="BA12" i="1"/>
  <c r="K12" i="1"/>
  <c r="M12" i="1" s="1"/>
  <c r="Z12" i="1"/>
  <c r="AM12" i="1"/>
  <c r="AT12" i="1"/>
  <c r="AE12" i="1"/>
  <c r="AU12" i="1"/>
  <c r="AF12" i="1"/>
  <c r="AN12" i="1"/>
  <c r="AU6" i="1"/>
  <c r="AN6" i="1"/>
  <c r="M6" i="1"/>
  <c r="AE6" i="1"/>
  <c r="BB6" i="1"/>
  <c r="AA6" i="1"/>
  <c r="Z6" i="1"/>
  <c r="AF6" i="1"/>
  <c r="BA6" i="1"/>
  <c r="AM6" i="1"/>
  <c r="AT6" i="1"/>
  <c r="AM5" i="1"/>
  <c r="K5" i="1"/>
  <c r="M5" i="1" s="1"/>
  <c r="AT5" i="1"/>
  <c r="BB5" i="1"/>
  <c r="BA5" i="1"/>
  <c r="AU5" i="1"/>
  <c r="Z5" i="1"/>
  <c r="AN5" i="1"/>
  <c r="AF5" i="1"/>
  <c r="AE5" i="1"/>
  <c r="AA5" i="1"/>
  <c r="AF7" i="1"/>
  <c r="BA7" i="1"/>
  <c r="AE7" i="1"/>
  <c r="AM7" i="1"/>
  <c r="AT7" i="1"/>
  <c r="Z7" i="1"/>
  <c r="BB7" i="1"/>
  <c r="M7" i="1"/>
  <c r="AU7" i="1"/>
  <c r="AN7" i="1"/>
  <c r="AA7" i="1"/>
  <c r="AA11" i="1"/>
  <c r="BA11" i="1"/>
  <c r="K11" i="1"/>
  <c r="M11" i="1" s="1"/>
  <c r="AM11" i="1"/>
  <c r="AN11" i="1"/>
  <c r="AT11" i="1"/>
  <c r="BB11" i="1"/>
  <c r="Z11" i="1"/>
  <c r="AU11" i="1"/>
  <c r="AF11" i="1"/>
  <c r="AE11" i="1"/>
  <c r="AT10" i="1"/>
  <c r="BB10" i="1"/>
  <c r="AN10" i="1"/>
  <c r="Z10" i="1"/>
  <c r="AU10" i="1"/>
  <c r="AF10" i="1"/>
  <c r="AE10" i="1"/>
  <c r="AA10" i="1"/>
  <c r="AM10" i="1"/>
  <c r="BA10" i="1"/>
  <c r="K10" i="1"/>
  <c r="M10" i="1" s="1"/>
  <c r="AA9" i="1"/>
  <c r="AF9" i="1"/>
  <c r="BA9" i="1"/>
  <c r="AN9" i="1"/>
  <c r="AT9" i="1"/>
  <c r="AE9" i="1"/>
  <c r="AM9" i="1"/>
  <c r="K9" i="1"/>
  <c r="M9" i="1" s="1"/>
  <c r="BB9" i="1"/>
  <c r="AU9" i="1"/>
  <c r="Z9" i="1"/>
  <c r="AF8" i="1"/>
  <c r="BA8" i="1"/>
  <c r="AM8" i="1"/>
  <c r="AE8" i="1"/>
  <c r="K8" i="1"/>
  <c r="M8" i="1" s="1"/>
  <c r="AT8" i="1"/>
  <c r="Z8" i="1"/>
  <c r="BB8" i="1"/>
  <c r="AN8" i="1"/>
  <c r="AU8" i="1"/>
  <c r="AA8" i="1"/>
  <c r="M14" i="1" l="1"/>
  <c r="AW9" i="1"/>
  <c r="AW6" i="1"/>
  <c r="AW8" i="1"/>
  <c r="AI8" i="1"/>
  <c r="X11" i="1"/>
  <c r="AC12" i="1"/>
  <c r="AW12" i="1"/>
  <c r="X8" i="1"/>
  <c r="AI9" i="1"/>
  <c r="AC10" i="1"/>
  <c r="AC8" i="1"/>
  <c r="AP7" i="1"/>
  <c r="AW11" i="1"/>
  <c r="AC7" i="1"/>
  <c r="X12" i="1"/>
  <c r="AI12" i="1"/>
  <c r="X10" i="1"/>
  <c r="X7" i="1"/>
  <c r="X6" i="1"/>
  <c r="AP10" i="1"/>
  <c r="AW10" i="1"/>
  <c r="AC11" i="1"/>
  <c r="AC9" i="1"/>
  <c r="AP9" i="1"/>
  <c r="AP11" i="1"/>
  <c r="AC5" i="1"/>
  <c r="AI5" i="1"/>
  <c r="AP5" i="1"/>
  <c r="AI10" i="1"/>
  <c r="X9" i="1"/>
  <c r="AI7" i="1"/>
  <c r="X5" i="1"/>
  <c r="AP6" i="1"/>
  <c r="AP8" i="1"/>
  <c r="AI11" i="1"/>
  <c r="AW7" i="1"/>
  <c r="AC6" i="1"/>
  <c r="AP12" i="1"/>
  <c r="AW5" i="1"/>
  <c r="AI6" i="1"/>
  <c r="Y14" i="1" l="1"/>
  <c r="AA14" i="1" s="1"/>
  <c r="AX14" i="1"/>
  <c r="BB14" i="1" s="1"/>
  <c r="AJ14" i="1"/>
  <c r="AN14" i="1" s="1"/>
  <c r="AQ14" i="1"/>
  <c r="AU14" i="1" s="1"/>
  <c r="AD14" i="1"/>
  <c r="AF14" i="1" s="1"/>
</calcChain>
</file>

<file path=xl/sharedStrings.xml><?xml version="1.0" encoding="utf-8"?>
<sst xmlns="http://schemas.openxmlformats.org/spreadsheetml/2006/main" count="138" uniqueCount="77">
  <si>
    <t>x1</t>
  </si>
  <si>
    <t>y</t>
  </si>
  <si>
    <t>x2</t>
  </si>
  <si>
    <t>Normalised Data</t>
  </si>
  <si>
    <t>w1</t>
  </si>
  <si>
    <t>w2</t>
  </si>
  <si>
    <t>w3</t>
  </si>
  <si>
    <t>b1</t>
  </si>
  <si>
    <t>b2</t>
  </si>
  <si>
    <t>a2</t>
  </si>
  <si>
    <t>z2</t>
  </si>
  <si>
    <t>z1</t>
  </si>
  <si>
    <t>a1</t>
  </si>
  <si>
    <t>Prediction</t>
  </si>
  <si>
    <t>dC/dw3</t>
  </si>
  <si>
    <t>da2/dz2</t>
  </si>
  <si>
    <t>Cost</t>
  </si>
  <si>
    <t>dC/db3</t>
  </si>
  <si>
    <t>dz2/db2</t>
  </si>
  <si>
    <t>C = \sum_{i=1}^{n} (a2_{i} - y_{i})^2</t>
  </si>
  <si>
    <t>.</t>
  </si>
  <si>
    <t xml:space="preserve">z2 = (a1 * w3) + b3 </t>
  </si>
  <si>
    <t>a2 = \sigma (z2)</t>
  </si>
  <si>
    <t xml:space="preserve">z1 = (x1 * w1) + b1 + (x2 * w2) + b2 </t>
  </si>
  <si>
    <t>\frac{da2}{dz2} = \sigma (z2). (1 - \sigma (z2))</t>
  </si>
  <si>
    <t>\frac{dC}{da2} = a(a2 - y)</t>
  </si>
  <si>
    <t>dz2/dw3</t>
  </si>
  <si>
    <t>\frac{dC}{dw3} = \frac{dz2}{dw3}.\frac{da2}{dz2}.\frac{dC}{da2}</t>
  </si>
  <si>
    <t>\frac{dz2}{dw3} = a1</t>
  </si>
  <si>
    <t>\frac{dC}{db3} = \frac{dz2}{db3}.\frac{da2}{dz2}.\frac{dC}{da2}</t>
  </si>
  <si>
    <t>\frac{dz2}{db3} = 1</t>
  </si>
  <si>
    <t>\frac{dC}{dw2} = \frac{dz1}{dw2}.\frac{da1}{dz1}.\frac{dz2}{da1}.\frac{da2}{dz2}.\frac{dC}{da2}</t>
  </si>
  <si>
    <t>\frac{dC}{db2} = \frac{dz1}{db2}.\frac{da1}{dz1}.\frac{dz2}{da1}.\frac{da2}{dz2}.\frac{dC}{da2}</t>
  </si>
  <si>
    <t>\frac{dC}{dw1} = \frac{dz1}{dw1}.\frac{da1}{dz1}.\frac{dz2}{da1}.\frac{da2}{dz2}.\frac{dC}{da2}</t>
  </si>
  <si>
    <t>a1 = \sigma (z1)</t>
  </si>
  <si>
    <t>\sigma (z2) = \frac{1}{1 + e^{-z2}}</t>
  </si>
  <si>
    <t>\sigma (z1) = \frac{1}{1 + e^{-z1}}</t>
  </si>
  <si>
    <t>\frac{dz2}{da1} = w3</t>
  </si>
  <si>
    <t>\frac{da1}{dz1} = \sigma (z1). (1 - \sigma (z1))</t>
  </si>
  <si>
    <t>\frac{dz1}{dw2} = x2</t>
  </si>
  <si>
    <t>\frac{dz1}{db2} = 1</t>
  </si>
  <si>
    <t>\frac{dz1}{dw1} = x1</t>
  </si>
  <si>
    <t>dz2/da1</t>
  </si>
  <si>
    <t>da1/dz1</t>
  </si>
  <si>
    <t>dz1/dw2</t>
  </si>
  <si>
    <t>dC/dw2</t>
  </si>
  <si>
    <t>dC/da2</t>
  </si>
  <si>
    <t>dz1/db2</t>
  </si>
  <si>
    <t>dC/db2</t>
  </si>
  <si>
    <t>dz1/dw1</t>
  </si>
  <si>
    <t>dC/dw1</t>
  </si>
  <si>
    <t>Gradient:</t>
  </si>
  <si>
    <t>N.B./ Negative gradient means increase</t>
  </si>
  <si>
    <t>PREDICTION (a2)</t>
  </si>
  <si>
    <t>X1</t>
  </si>
  <si>
    <t>w3 iterations</t>
  </si>
  <si>
    <t>Weight</t>
  </si>
  <si>
    <t>Gradient</t>
  </si>
  <si>
    <t>w2 iterations</t>
  </si>
  <si>
    <t>b2 iterations</t>
  </si>
  <si>
    <t>w1 iterations</t>
  </si>
  <si>
    <t>b1 iterations</t>
  </si>
  <si>
    <t>Overall</t>
  </si>
  <si>
    <t>Bias</t>
  </si>
  <si>
    <t>Re-instantiate Model Weights</t>
  </si>
  <si>
    <t>Min Value</t>
  </si>
  <si>
    <t>Max Value</t>
  </si>
  <si>
    <t>Good Start</t>
  </si>
  <si>
    <t>Bad Start</t>
  </si>
  <si>
    <t>Solution</t>
  </si>
  <si>
    <t>Input / Training Data</t>
  </si>
  <si>
    <t>Evaluation Metrics</t>
  </si>
  <si>
    <t>Neurons</t>
  </si>
  <si>
    <t>Rate</t>
  </si>
  <si>
    <t>Learning</t>
  </si>
  <si>
    <t>Loss</t>
  </si>
  <si>
    <t>Equations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</si>
</sst>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b/>
      <sz val="11"/>
      <color theme="1"/>
      <name val="Calibri"/>
      <family val="2"/>
      <scheme val="minor"/>
    </font>
    <font>
      <b/>
      <u/>
      <sz val="11"/>
      <color theme="1"/>
      <name val="Calibri"/>
      <family val="2"/>
      <scheme val="minor"/>
    </font>
    <font>
      <b/>
      <sz val="16"/>
      <color theme="1"/>
      <name val="Calibri"/>
      <family val="2"/>
      <scheme val="minor"/>
    </font>
    <font>
      <sz val="10"/>
      <color theme="1"/>
      <name val="Calibri"/>
      <family val="2"/>
      <scheme val="minor"/>
    </font>
    <font>
      <sz val="11"/>
      <color rgb="FF000000"/>
      <name val="Calibri"/>
      <family val="2"/>
    </font>
    <font>
      <b/>
      <sz val="12"/>
      <color rgb="FF000000"/>
      <name val="Calibri"/>
      <family val="2"/>
    </font>
  </fonts>
  <fills count="3">
    <fill>
      <patternFill patternType="none"/>
    </fill>
    <fill>
      <patternFill patternType="gray125"/>
    </fill>
    <fill>
      <patternFill patternType="solid">
        <fgColor rgb="FFF5FFF5"/>
        <bgColor indexed="64"/>
      </patternFill>
    </fill>
  </fills>
  <borders count="2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1"/>
      </right>
      <top/>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top/>
      <bottom style="medium">
        <color theme="1"/>
      </bottom>
      <diagonal/>
    </border>
    <border>
      <left/>
      <right style="medium">
        <color theme="1"/>
      </right>
      <top/>
      <bottom style="medium">
        <color theme="1"/>
      </bottom>
      <diagonal/>
    </border>
    <border>
      <left/>
      <right/>
      <top style="medium">
        <color theme="1"/>
      </top>
      <bottom/>
      <diagonal/>
    </border>
    <border>
      <left/>
      <right style="medium">
        <color theme="1"/>
      </right>
      <top style="medium">
        <color theme="1"/>
      </top>
      <bottom/>
      <diagonal/>
    </border>
    <border>
      <left style="medium">
        <color theme="1"/>
      </left>
      <right/>
      <top style="medium">
        <color theme="1"/>
      </top>
      <bottom style="medium">
        <color theme="1"/>
      </bottom>
      <diagonal/>
    </border>
    <border>
      <left style="medium">
        <color theme="1"/>
      </left>
      <right/>
      <top style="medium">
        <color theme="1"/>
      </top>
      <bottom/>
      <diagonal/>
    </border>
    <border>
      <left style="medium">
        <color theme="1"/>
      </left>
      <right/>
      <top/>
      <bottom/>
      <diagonal/>
    </border>
    <border>
      <left style="medium">
        <color theme="1"/>
      </left>
      <right/>
      <top/>
      <bottom style="medium">
        <color theme="1"/>
      </bottom>
      <diagonal/>
    </border>
    <border>
      <left/>
      <right style="medium">
        <color indexed="64"/>
      </right>
      <top style="medium">
        <color theme="1"/>
      </top>
      <bottom/>
      <diagonal/>
    </border>
    <border>
      <left/>
      <right style="medium">
        <color indexed="64"/>
      </right>
      <top/>
      <bottom style="medium">
        <color theme="1"/>
      </bottom>
      <diagonal/>
    </border>
  </borders>
  <cellStyleXfs count="1">
    <xf numFmtId="0" fontId="0" fillId="0" borderId="0"/>
  </cellStyleXfs>
  <cellXfs count="92">
    <xf numFmtId="0" fontId="0" fillId="0" borderId="0" xfId="0"/>
    <xf numFmtId="0" fontId="0" fillId="0" borderId="0" xfId="0" applyAlignment="1">
      <alignment horizontal="center"/>
    </xf>
    <xf numFmtId="0" fontId="0" fillId="0" borderId="0" xfId="0" applyAlignment="1">
      <alignment horizontal="center" vertical="center"/>
    </xf>
    <xf numFmtId="2" fontId="0" fillId="0" borderId="0" xfId="0" applyNumberFormat="1"/>
    <xf numFmtId="0" fontId="1" fillId="0" borderId="0" xfId="0" applyFont="1"/>
    <xf numFmtId="0" fontId="0" fillId="0" borderId="4" xfId="0" applyBorder="1"/>
    <xf numFmtId="0" fontId="0" fillId="0" borderId="0" xfId="0" applyBorder="1"/>
    <xf numFmtId="0" fontId="0" fillId="0" borderId="5" xfId="0" applyBorder="1"/>
    <xf numFmtId="2" fontId="0" fillId="0" borderId="4" xfId="0" applyNumberFormat="1" applyBorder="1"/>
    <xf numFmtId="2" fontId="0" fillId="0" borderId="0" xfId="0" applyNumberFormat="1" applyBorder="1"/>
    <xf numFmtId="2" fontId="0" fillId="0" borderId="5" xfId="0" applyNumberFormat="1" applyBorder="1"/>
    <xf numFmtId="2" fontId="1" fillId="0" borderId="6" xfId="0" applyNumberFormat="1" applyFont="1" applyBorder="1"/>
    <xf numFmtId="0" fontId="0" fillId="0" borderId="7" xfId="0" applyBorder="1"/>
    <xf numFmtId="2" fontId="1" fillId="0" borderId="7" xfId="0" applyNumberFormat="1" applyFont="1" applyBorder="1" applyAlignment="1">
      <alignment horizontal="center"/>
    </xf>
    <xf numFmtId="0" fontId="1" fillId="0" borderId="7" xfId="0" applyFont="1" applyBorder="1"/>
    <xf numFmtId="2" fontId="1" fillId="0" borderId="7" xfId="0" applyNumberFormat="1" applyFont="1" applyBorder="1"/>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0" fillId="0" borderId="9" xfId="0" applyBorder="1"/>
    <xf numFmtId="0" fontId="0" fillId="0" borderId="13" xfId="0" applyBorder="1"/>
    <xf numFmtId="0" fontId="0" fillId="0" borderId="14" xfId="0" applyBorder="1"/>
    <xf numFmtId="0" fontId="0" fillId="0" borderId="15" xfId="0" applyBorder="1"/>
    <xf numFmtId="0" fontId="0" fillId="0" borderId="17" xfId="0" applyBorder="1"/>
    <xf numFmtId="164" fontId="4" fillId="0" borderId="0" xfId="0" applyNumberFormat="1" applyFont="1" applyBorder="1"/>
    <xf numFmtId="2" fontId="4" fillId="0" borderId="0" xfId="0" applyNumberFormat="1" applyFont="1" applyBorder="1"/>
    <xf numFmtId="2" fontId="4" fillId="0" borderId="14" xfId="0" applyNumberFormat="1" applyFont="1" applyBorder="1"/>
    <xf numFmtId="2" fontId="4" fillId="0" borderId="17" xfId="0" applyNumberFormat="1" applyFont="1" applyBorder="1"/>
    <xf numFmtId="2" fontId="4" fillId="0" borderId="15" xfId="0" applyNumberFormat="1" applyFont="1" applyBorder="1"/>
    <xf numFmtId="2" fontId="4" fillId="0" borderId="18" xfId="0" applyNumberFormat="1" applyFont="1" applyBorder="1"/>
    <xf numFmtId="2" fontId="4" fillId="0" borderId="9" xfId="0" applyNumberFormat="1" applyFont="1" applyBorder="1"/>
    <xf numFmtId="2" fontId="4" fillId="0" borderId="19" xfId="0" applyNumberFormat="1" applyFont="1" applyBorder="1"/>
    <xf numFmtId="2" fontId="4" fillId="0" borderId="12" xfId="0" applyNumberFormat="1" applyFont="1" applyBorder="1"/>
    <xf numFmtId="2" fontId="4" fillId="0" borderId="13" xfId="0" applyNumberFormat="1" applyFont="1" applyBorder="1"/>
    <xf numFmtId="2" fontId="1" fillId="0" borderId="3" xfId="0" applyNumberFormat="1" applyFont="1" applyBorder="1"/>
    <xf numFmtId="2" fontId="1" fillId="0" borderId="8" xfId="0" applyNumberFormat="1" applyFont="1" applyBorder="1"/>
    <xf numFmtId="2" fontId="1" fillId="0" borderId="5" xfId="0" applyNumberFormat="1" applyFont="1" applyBorder="1"/>
    <xf numFmtId="0" fontId="0" fillId="0" borderId="0" xfId="0" applyAlignment="1"/>
    <xf numFmtId="0" fontId="1" fillId="0" borderId="4" xfId="0" applyFont="1" applyBorder="1"/>
    <xf numFmtId="0" fontId="0" fillId="0" borderId="6" xfId="0" applyBorder="1"/>
    <xf numFmtId="2" fontId="0" fillId="0" borderId="8" xfId="0" applyNumberFormat="1" applyBorder="1"/>
    <xf numFmtId="0" fontId="1" fillId="0" borderId="1" xfId="0" applyFont="1" applyBorder="1" applyAlignment="1"/>
    <xf numFmtId="0" fontId="1" fillId="0" borderId="2" xfId="0" applyFont="1" applyBorder="1" applyAlignment="1"/>
    <xf numFmtId="0" fontId="1" fillId="0" borderId="3" xfId="0" applyFont="1" applyBorder="1" applyAlignment="1"/>
    <xf numFmtId="0" fontId="0" fillId="0" borderId="4" xfId="0" applyFont="1" applyBorder="1"/>
    <xf numFmtId="0" fontId="0" fillId="0" borderId="6" xfId="0" applyFont="1" applyBorder="1"/>
    <xf numFmtId="0" fontId="1" fillId="0" borderId="0" xfId="0" applyFont="1" applyBorder="1" applyAlignment="1">
      <alignment horizontal="center"/>
    </xf>
    <xf numFmtId="0" fontId="0" fillId="0" borderId="2" xfId="0" applyBorder="1"/>
    <xf numFmtId="0" fontId="1" fillId="0" borderId="4" xfId="0" applyFont="1" applyBorder="1" applyAlignment="1">
      <alignment horizontal="center"/>
    </xf>
    <xf numFmtId="0" fontId="1" fillId="0" borderId="5" xfId="0" applyFont="1" applyBorder="1" applyAlignment="1">
      <alignment horizont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2" fontId="0" fillId="0" borderId="0" xfId="0" applyNumberFormat="1" applyBorder="1" applyAlignment="1">
      <alignment horizontal="center" vertical="center"/>
    </xf>
    <xf numFmtId="2" fontId="0" fillId="0" borderId="7" xfId="0" applyNumberFormat="1" applyBorder="1" applyAlignment="1">
      <alignment horizontal="center" vertical="center"/>
    </xf>
    <xf numFmtId="2" fontId="0" fillId="0" borderId="6" xfId="0" applyNumberFormat="1" applyBorder="1"/>
    <xf numFmtId="2" fontId="0" fillId="0" borderId="7" xfId="0" applyNumberFormat="1" applyBorder="1"/>
    <xf numFmtId="0" fontId="1" fillId="0" borderId="0" xfId="0" applyFont="1" applyBorder="1"/>
    <xf numFmtId="0" fontId="1" fillId="0" borderId="5" xfId="0" applyFont="1" applyBorder="1"/>
    <xf numFmtId="0" fontId="1" fillId="2" borderId="1" xfId="0" applyFont="1" applyFill="1" applyBorder="1" applyAlignment="1">
      <alignment horizontal="center" vertical="center"/>
    </xf>
    <xf numFmtId="0" fontId="1" fillId="2" borderId="3" xfId="0" applyFont="1" applyFill="1" applyBorder="1"/>
    <xf numFmtId="0" fontId="1" fillId="2" borderId="6" xfId="0" applyFont="1" applyFill="1" applyBorder="1" applyAlignment="1">
      <alignment horizontal="center" vertical="center"/>
    </xf>
    <xf numFmtId="0" fontId="0" fillId="2" borderId="8" xfId="0" applyFill="1" applyBorder="1"/>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3" fillId="0" borderId="19" xfId="0" applyFont="1" applyBorder="1" applyAlignment="1">
      <alignment horizontal="center"/>
    </xf>
    <xf numFmtId="0" fontId="3" fillId="0" borderId="12" xfId="0" applyFont="1" applyBorder="1" applyAlignment="1">
      <alignment horizontal="center"/>
    </xf>
    <xf numFmtId="0" fontId="3" fillId="0" borderId="13" xfId="0" applyFont="1" applyBorder="1" applyAlignment="1">
      <alignment horizontal="center"/>
    </xf>
    <xf numFmtId="0" fontId="3" fillId="0" borderId="16" xfId="0" applyFont="1" applyBorder="1" applyAlignment="1">
      <alignment horizontal="center"/>
    </xf>
    <xf numFmtId="0" fontId="3" fillId="0" borderId="10" xfId="0" applyFont="1" applyBorder="1" applyAlignment="1">
      <alignment horizontal="center"/>
    </xf>
    <xf numFmtId="0" fontId="3" fillId="0" borderId="11" xfId="0" applyFont="1"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2"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0" fillId="0" borderId="0" xfId="0" applyAlignment="1">
      <alignment horizontal="center"/>
    </xf>
    <xf numFmtId="0" fontId="2" fillId="0" borderId="0" xfId="0" applyFont="1" applyBorder="1" applyAlignment="1"/>
    <xf numFmtId="2" fontId="1" fillId="0" borderId="0" xfId="0" applyNumberFormat="1" applyFont="1" applyBorder="1"/>
    <xf numFmtId="2" fontId="4" fillId="0" borderId="20" xfId="0" applyNumberFormat="1" applyFont="1" applyBorder="1"/>
    <xf numFmtId="2" fontId="4" fillId="0" borderId="5" xfId="0" applyNumberFormat="1" applyFont="1" applyBorder="1"/>
    <xf numFmtId="2" fontId="4" fillId="0" borderId="21" xfId="0" applyNumberFormat="1" applyFont="1" applyBorder="1"/>
    <xf numFmtId="164" fontId="4" fillId="0" borderId="20" xfId="0" applyNumberFormat="1" applyFont="1" applyBorder="1"/>
    <xf numFmtId="164" fontId="4" fillId="0" borderId="5" xfId="0" applyNumberFormat="1" applyFont="1" applyBorder="1"/>
    <xf numFmtId="0" fontId="0" fillId="0" borderId="20" xfId="0" applyBorder="1"/>
  </cellXfs>
  <cellStyles count="1">
    <cellStyle name="Normal" xfId="0" builtinId="0"/>
  </cellStyles>
  <dxfs count="0"/>
  <tableStyles count="0" defaultTableStyle="TableStyleMedium2" defaultPivotStyle="PivotStyleLight16"/>
  <colors>
    <mruColors>
      <color rgb="FFF5FFF5"/>
      <color rgb="FFF8FFF8"/>
      <color rgb="FFFBFFFB"/>
      <color rgb="FFEFFFEF"/>
      <color rgb="FFE7FFE7"/>
      <color rgb="FFCCFFCC"/>
      <color rgb="FFFDFF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6.2024165944873741E-2</c:v>
                </c:pt>
                <c:pt idx="1">
                  <c:v>6.3484736574214815E-2</c:v>
                </c:pt>
                <c:pt idx="2">
                  <c:v>6.526077030228436E-2</c:v>
                </c:pt>
                <c:pt idx="3">
                  <c:v>6.7425314520671006E-2</c:v>
                </c:pt>
                <c:pt idx="4">
                  <c:v>7.0070151728744701E-2</c:v>
                </c:pt>
                <c:pt idx="5">
                  <c:v>7.331114976122248E-2</c:v>
                </c:pt>
                <c:pt idx="6">
                  <c:v>7.7295206548702228E-2</c:v>
                </c:pt>
                <c:pt idx="7">
                  <c:v>8.2209183611220607E-2</c:v>
                </c:pt>
                <c:pt idx="8">
                  <c:v>8.829120322828421E-2</c:v>
                </c:pt>
                <c:pt idx="9">
                  <c:v>9.5844514391608487E-2</c:v>
                </c:pt>
                <c:pt idx="10">
                  <c:v>0.10525364986694932</c:v>
                </c:pt>
                <c:pt idx="11">
                  <c:v>0.1170015283088454</c:v>
                </c:pt>
                <c:pt idx="12">
                  <c:v>0.13168410178171208</c:v>
                </c:pt>
                <c:pt idx="13">
                  <c:v>0.15001566109854392</c:v>
                </c:pt>
                <c:pt idx="14">
                  <c:v>0.17281282595604971</c:v>
                </c:pt>
                <c:pt idx="15">
                  <c:v>0.20093952954504429</c:v>
                </c:pt>
                <c:pt idx="16">
                  <c:v>0.23519250716919834</c:v>
                </c:pt>
                <c:pt idx="17">
                  <c:v>0.27611431106811468</c:v>
                </c:pt>
                <c:pt idx="18">
                  <c:v>0.32374810970458356</c:v>
                </c:pt>
                <c:pt idx="19">
                  <c:v>0.37739751990520726</c:v>
                </c:pt>
                <c:pt idx="20">
                  <c:v>0.4355041685461617</c:v>
                </c:pt>
              </c:numCache>
            </c:numRef>
          </c:val>
          <c:extLst>
            <c:ext xmlns:c16="http://schemas.microsoft.com/office/drawing/2014/chart" uri="{C3380CC4-5D6E-409C-BE32-E72D297353CC}">
              <c16:uniqueId val="{00000000-57BA-409E-ACA0-35967F0E06E2}"/>
            </c:ext>
          </c:extLst>
        </c:ser>
        <c:ser>
          <c:idx val="1"/>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6.3413263902481268E-2</c:v>
                </c:pt>
                <c:pt idx="1">
                  <c:v>6.517377365639157E-2</c:v>
                </c:pt>
                <c:pt idx="2">
                  <c:v>6.7319166697695457E-2</c:v>
                </c:pt>
                <c:pt idx="3">
                  <c:v>6.9940285162740562E-2</c:v>
                </c:pt>
                <c:pt idx="4">
                  <c:v>7.3151786396156826E-2</c:v>
                </c:pt>
                <c:pt idx="5">
                  <c:v>7.7099008279023745E-2</c:v>
                </c:pt>
                <c:pt idx="6">
                  <c:v>8.1966805396922748E-2</c:v>
                </c:pt>
                <c:pt idx="7">
                  <c:v>8.7990734191929446E-2</c:v>
                </c:pt>
                <c:pt idx="8">
                  <c:v>9.5470804910627372E-2</c:v>
                </c:pt>
                <c:pt idx="9">
                  <c:v>0.10478755423063019</c:v>
                </c:pt>
                <c:pt idx="10">
                  <c:v>0.11641915785402351</c:v>
                </c:pt>
                <c:pt idx="11">
                  <c:v>0.13095630264492095</c:v>
                </c:pt>
                <c:pt idx="12">
                  <c:v>0.14910812171849389</c:v>
                </c:pt>
                <c:pt idx="13">
                  <c:v>0.1716874740724752</c:v>
                </c:pt>
                <c:pt idx="14">
                  <c:v>0.19955811090259337</c:v>
                </c:pt>
                <c:pt idx="15">
                  <c:v>0.23352321231223261</c:v>
                </c:pt>
                <c:pt idx="16">
                  <c:v>0.27414162451599222</c:v>
                </c:pt>
                <c:pt idx="17">
                  <c:v>0.32148433021630446</c:v>
                </c:pt>
                <c:pt idx="18">
                  <c:v>0.37489192964208112</c:v>
                </c:pt>
                <c:pt idx="19">
                  <c:v>0.43284422857622096</c:v>
                </c:pt>
                <c:pt idx="20">
                  <c:v>0.49305767971153158</c:v>
                </c:pt>
              </c:numCache>
            </c:numRef>
          </c:val>
          <c:extLst>
            <c:ext xmlns:c16="http://schemas.microsoft.com/office/drawing/2014/chart" uri="{C3380CC4-5D6E-409C-BE32-E72D297353CC}">
              <c16:uniqueId val="{00000001-57BA-409E-ACA0-35967F0E06E2}"/>
            </c:ext>
          </c:extLst>
        </c:ser>
        <c:ser>
          <c:idx val="2"/>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6.5087541527060075E-2</c:v>
                </c:pt>
                <c:pt idx="1">
                  <c:v>6.7213963686101552E-2</c:v>
                </c:pt>
                <c:pt idx="2">
                  <c:v>6.9811590936436421E-2</c:v>
                </c:pt>
                <c:pt idx="3">
                  <c:v>7.2993883757565464E-2</c:v>
                </c:pt>
                <c:pt idx="4">
                  <c:v>7.6904637537108633E-2</c:v>
                </c:pt>
                <c:pt idx="5">
                  <c:v>8.1726722190000337E-2</c:v>
                </c:pt>
                <c:pt idx="6">
                  <c:v>8.7693155774736839E-2</c:v>
                </c:pt>
                <c:pt idx="7">
                  <c:v>9.5100742037412006E-2</c:v>
                </c:pt>
                <c:pt idx="8">
                  <c:v>0.10432605620685038</c:v>
                </c:pt>
                <c:pt idx="9">
                  <c:v>0.115842561763637</c:v>
                </c:pt>
                <c:pt idx="10">
                  <c:v>0.13023569412677452</c:v>
                </c:pt>
                <c:pt idx="11">
                  <c:v>0.14820940229688809</c:v>
                </c:pt>
                <c:pt idx="12">
                  <c:v>0.17057268281672414</c:v>
                </c:pt>
                <c:pt idx="13">
                  <c:v>0.19818888531107043</c:v>
                </c:pt>
                <c:pt idx="14">
                  <c:v>0.23186726670269259</c:v>
                </c:pt>
                <c:pt idx="15">
                  <c:v>0.27218247160980674</c:v>
                </c:pt>
                <c:pt idx="16">
                  <c:v>0.31923279389767495</c:v>
                </c:pt>
                <c:pt idx="17">
                  <c:v>0.37239553572108236</c:v>
                </c:pt>
                <c:pt idx="18">
                  <c:v>0.43018886886418234</c:v>
                </c:pt>
                <c:pt idx="19">
                  <c:v>0.49035744787569874</c:v>
                </c:pt>
                <c:pt idx="20">
                  <c:v>0.5502207829797805</c:v>
                </c:pt>
              </c:numCache>
            </c:numRef>
          </c:val>
          <c:extLst>
            <c:ext xmlns:c16="http://schemas.microsoft.com/office/drawing/2014/chart" uri="{C3380CC4-5D6E-409C-BE32-E72D297353CC}">
              <c16:uniqueId val="{00000002-57BA-409E-ACA0-35967F0E06E2}"/>
            </c:ext>
          </c:extLst>
        </c:ser>
        <c:ser>
          <c:idx val="3"/>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6.7109696515017497E-2</c:v>
                </c:pt>
                <c:pt idx="1">
                  <c:v>6.9684057705092534E-2</c:v>
                </c:pt>
                <c:pt idx="2">
                  <c:v>7.2837427440615637E-2</c:v>
                </c:pt>
                <c:pt idx="3">
                  <c:v>7.6712075978883451E-2</c:v>
                </c:pt>
                <c:pt idx="4">
                  <c:v>8.1488910603744732E-2</c:v>
                </c:pt>
                <c:pt idx="5">
                  <c:v>8.7398438211088322E-2</c:v>
                </c:pt>
                <c:pt idx="6">
                  <c:v>9.4734288107933357E-2</c:v>
                </c:pt>
                <c:pt idx="7">
                  <c:v>0.10386910870317292</c:v>
                </c:pt>
                <c:pt idx="8">
                  <c:v>0.11527168237765044</c:v>
                </c:pt>
                <c:pt idx="9">
                  <c:v>0.1295222080266665</c:v>
                </c:pt>
                <c:pt idx="10">
                  <c:v>0.14731942657689437</c:v>
                </c:pt>
                <c:pt idx="11">
                  <c:v>0.16946837461796102</c:v>
                </c:pt>
                <c:pt idx="12">
                  <c:v>0.19683178674323079</c:v>
                </c:pt>
                <c:pt idx="13">
                  <c:v>0.23022463546261099</c:v>
                </c:pt>
                <c:pt idx="14">
                  <c:v>0.27023687224164455</c:v>
                </c:pt>
                <c:pt idx="15">
                  <c:v>0.31699359514412789</c:v>
                </c:pt>
                <c:pt idx="16">
                  <c:v>0.3699085111458239</c:v>
                </c:pt>
                <c:pt idx="17">
                  <c:v>0.42753832054899882</c:v>
                </c:pt>
                <c:pt idx="18">
                  <c:v>0.48765659226672181</c:v>
                </c:pt>
                <c:pt idx="19">
                  <c:v>0.54759148488865339</c:v>
                </c:pt>
                <c:pt idx="20">
                  <c:v>0.60473222212252609</c:v>
                </c:pt>
              </c:numCache>
            </c:numRef>
          </c:val>
          <c:extLst>
            <c:ext xmlns:c16="http://schemas.microsoft.com/office/drawing/2014/chart" uri="{C3380CC4-5D6E-409C-BE32-E72D297353CC}">
              <c16:uniqueId val="{00000003-57BA-409E-ACA0-35967F0E06E2}"/>
            </c:ext>
          </c:extLst>
        </c:ser>
        <c:ser>
          <c:idx val="4"/>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6.9557674243323653E-2</c:v>
                </c:pt>
                <c:pt idx="1">
                  <c:v>7.2682403194320691E-2</c:v>
                </c:pt>
                <c:pt idx="2">
                  <c:v>7.6521305457978528E-2</c:v>
                </c:pt>
                <c:pt idx="3">
                  <c:v>8.1253347503470602E-2</c:v>
                </c:pt>
                <c:pt idx="4">
                  <c:v>8.7106552051664662E-2</c:v>
                </c:pt>
                <c:pt idx="5">
                  <c:v>9.4371405844465253E-2</c:v>
                </c:pt>
                <c:pt idx="6">
                  <c:v>0.10341666507755397</c:v>
                </c:pt>
                <c:pt idx="7">
                  <c:v>0.11470646251988058</c:v>
                </c:pt>
                <c:pt idx="8">
                  <c:v>0.12881577658587112</c:v>
                </c:pt>
                <c:pt idx="9">
                  <c:v>0.14643811855653546</c:v>
                </c:pt>
                <c:pt idx="10">
                  <c:v>0.16837447174065789</c:v>
                </c:pt>
                <c:pt idx="11">
                  <c:v>0.19548674828507562</c:v>
                </c:pt>
                <c:pt idx="12">
                  <c:v>0.22859528182847733</c:v>
                </c:pt>
                <c:pt idx="13">
                  <c:v>0.26830484336783983</c:v>
                </c:pt>
                <c:pt idx="14">
                  <c:v>0.31476682477678247</c:v>
                </c:pt>
                <c:pt idx="15">
                  <c:v>0.3674310256507603</c:v>
                </c:pt>
                <c:pt idx="16">
                  <c:v>0.42489281295800396</c:v>
                </c:pt>
                <c:pt idx="17">
                  <c:v>0.4849553600518216</c:v>
                </c:pt>
                <c:pt idx="18">
                  <c:v>0.54495652028025343</c:v>
                </c:pt>
                <c:pt idx="19">
                  <c:v>0.6022716293514182</c:v>
                </c:pt>
                <c:pt idx="20">
                  <c:v>0.65479535701220848</c:v>
                </c:pt>
              </c:numCache>
            </c:numRef>
          </c:val>
          <c:extLst>
            <c:ext xmlns:c16="http://schemas.microsoft.com/office/drawing/2014/chart" uri="{C3380CC4-5D6E-409C-BE32-E72D297353CC}">
              <c16:uniqueId val="{00000004-57BA-409E-ACA0-35967F0E06E2}"/>
            </c:ext>
          </c:extLst>
        </c:ser>
        <c:ser>
          <c:idx val="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7.2528796919810956E-2</c:v>
                </c:pt>
                <c:pt idx="1">
                  <c:v>7.6332308023550052E-2</c:v>
                </c:pt>
                <c:pt idx="2">
                  <c:v>8.1020010003863718E-2</c:v>
                </c:pt>
                <c:pt idx="3">
                  <c:v>8.6817468160401423E-2</c:v>
                </c:pt>
                <c:pt idx="4">
                  <c:v>9.4012058352459946E-2</c:v>
                </c:pt>
                <c:pt idx="5">
                  <c:v>0.1029686791358877</c:v>
                </c:pt>
                <c:pt idx="6">
                  <c:v>0.11414684549768966</c:v>
                </c:pt>
                <c:pt idx="7">
                  <c:v>0.12811633249190538</c:v>
                </c:pt>
                <c:pt idx="8">
                  <c:v>0.1455654025013314</c:v>
                </c:pt>
                <c:pt idx="9">
                  <c:v>0.16729089630946203</c:v>
                </c:pt>
                <c:pt idx="10">
                  <c:v>0.19415370217476705</c:v>
                </c:pt>
                <c:pt idx="11">
                  <c:v>0.22697916719952621</c:v>
                </c:pt>
                <c:pt idx="12">
                  <c:v>0.26638639905123562</c:v>
                </c:pt>
                <c:pt idx="13">
                  <c:v>0.31255257005428394</c:v>
                </c:pt>
                <c:pt idx="14">
                  <c:v>0.36496324566241878</c:v>
                </c:pt>
                <c:pt idx="15">
                  <c:v>0.42225257352082601</c:v>
                </c:pt>
                <c:pt idx="16">
                  <c:v>0.48225399866441093</c:v>
                </c:pt>
                <c:pt idx="17">
                  <c:v>0.54231610782669659</c:v>
                </c:pt>
                <c:pt idx="18">
                  <c:v>0.59980134245549932</c:v>
                </c:pt>
                <c:pt idx="19">
                  <c:v>0.65257327794475195</c:v>
                </c:pt>
                <c:pt idx="20">
                  <c:v>0.69928794925876803</c:v>
                </c:pt>
              </c:numCache>
            </c:numRef>
          </c:val>
          <c:extLst>
            <c:ext xmlns:c16="http://schemas.microsoft.com/office/drawing/2014/chart" uri="{C3380CC4-5D6E-409C-BE32-E72D297353CC}">
              <c16:uniqueId val="{00000005-57BA-409E-ACA0-35967F0E06E2}"/>
            </c:ext>
          </c:extLst>
        </c:ser>
        <c:ser>
          <c:idx val="6"/>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7.6145065918124422E-2</c:v>
                </c:pt>
                <c:pt idx="1">
                  <c:v>8.0788875466351315E-2</c:v>
                </c:pt>
                <c:pt idx="2">
                  <c:v>8.6531157711457932E-2</c:v>
                </c:pt>
                <c:pt idx="3">
                  <c:v>9.3656209117415706E-2</c:v>
                </c:pt>
                <c:pt idx="4">
                  <c:v>0.10252510512949724</c:v>
                </c:pt>
                <c:pt idx="5">
                  <c:v>0.11359277510153989</c:v>
                </c:pt>
                <c:pt idx="6">
                  <c:v>0.12742380888261146</c:v>
                </c:pt>
                <c:pt idx="7">
                  <c:v>0.14470120295648936</c:v>
                </c:pt>
                <c:pt idx="8">
                  <c:v>0.16621757033344886</c:v>
                </c:pt>
                <c:pt idx="9">
                  <c:v>0.19283257984094884</c:v>
                </c:pt>
                <c:pt idx="10">
                  <c:v>0.22537625118584639</c:v>
                </c:pt>
                <c:pt idx="11">
                  <c:v>0.26448155050419592</c:v>
                </c:pt>
                <c:pt idx="12">
                  <c:v>0.31035091468653475</c:v>
                </c:pt>
                <c:pt idx="13">
                  <c:v>0.36250533426305098</c:v>
                </c:pt>
                <c:pt idx="14">
                  <c:v>0.41961782768490197</c:v>
                </c:pt>
                <c:pt idx="15">
                  <c:v>0.47955275570315259</c:v>
                </c:pt>
                <c:pt idx="16">
                  <c:v>0.53967046841640354</c:v>
                </c:pt>
                <c:pt idx="17">
                  <c:v>0.59732151826849844</c:v>
                </c:pt>
                <c:pt idx="18">
                  <c:v>0.65033897781078809</c:v>
                </c:pt>
                <c:pt idx="19">
                  <c:v>0.69734097091996394</c:v>
                </c:pt>
                <c:pt idx="20">
                  <c:v>0.73777366847326808</c:v>
                </c:pt>
              </c:numCache>
            </c:numRef>
          </c:val>
          <c:extLst>
            <c:ext xmlns:c16="http://schemas.microsoft.com/office/drawing/2014/chart" uri="{C3380CC4-5D6E-409C-BE32-E72D297353CC}">
              <c16:uniqueId val="{00000006-57BA-409E-ACA0-35967F0E06E2}"/>
            </c:ext>
          </c:extLst>
        </c:ser>
        <c:ser>
          <c:idx val="7"/>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8.0559921496491327E-2</c:v>
                </c:pt>
                <c:pt idx="1">
                  <c:v>8.6247592186200345E-2</c:v>
                </c:pt>
                <c:pt idx="2">
                  <c:v>9.3303822001737841E-2</c:v>
                </c:pt>
                <c:pt idx="3">
                  <c:v>0.10208589775257307</c:v>
                </c:pt>
                <c:pt idx="4">
                  <c:v>0.1130441956044103</c:v>
                </c:pt>
                <c:pt idx="5">
                  <c:v>0.12673813934997008</c:v>
                </c:pt>
                <c:pt idx="6">
                  <c:v>0.1438454447586397</c:v>
                </c:pt>
                <c:pt idx="7">
                  <c:v>0.16515441572976686</c:v>
                </c:pt>
                <c:pt idx="8">
                  <c:v>0.19152331194046435</c:v>
                </c:pt>
                <c:pt idx="9">
                  <c:v>0.22378649165628475</c:v>
                </c:pt>
                <c:pt idx="10">
                  <c:v>0.26259030613231932</c:v>
                </c:pt>
                <c:pt idx="11">
                  <c:v>0.30816193885027654</c:v>
                </c:pt>
                <c:pt idx="12">
                  <c:v>0.36005745115670862</c:v>
                </c:pt>
                <c:pt idx="13">
                  <c:v>0.41698879883265416</c:v>
                </c:pt>
                <c:pt idx="14">
                  <c:v>0.47685187883081798</c:v>
                </c:pt>
                <c:pt idx="15">
                  <c:v>0.53701982507744095</c:v>
                </c:pt>
                <c:pt idx="16">
                  <c:v>0.59483231696430061</c:v>
                </c:pt>
                <c:pt idx="17">
                  <c:v>0.64809253926152011</c:v>
                </c:pt>
                <c:pt idx="18">
                  <c:v>0.69538077842960777</c:v>
                </c:pt>
                <c:pt idx="19">
                  <c:v>0.73610848441906251</c:v>
                </c:pt>
                <c:pt idx="20">
                  <c:v>0.77036882908201665</c:v>
                </c:pt>
              </c:numCache>
            </c:numRef>
          </c:val>
          <c:extLst>
            <c:ext xmlns:c16="http://schemas.microsoft.com/office/drawing/2014/chart" uri="{C3380CC4-5D6E-409C-BE32-E72D297353CC}">
              <c16:uniqueId val="{00000007-57BA-409E-ACA0-35967F0E06E2}"/>
            </c:ext>
          </c:extLst>
        </c:ser>
        <c:ser>
          <c:idx val="8"/>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8.5966743370198884E-2</c:v>
                </c:pt>
                <c:pt idx="1">
                  <c:v>9.2954861241594036E-2</c:v>
                </c:pt>
                <c:pt idx="2">
                  <c:v>0.10165101213956228</c:v>
                </c:pt>
                <c:pt idx="3">
                  <c:v>0.11250105176108331</c:v>
                </c:pt>
                <c:pt idx="4">
                  <c:v>0.12605925794364736</c:v>
                </c:pt>
                <c:pt idx="5">
                  <c:v>0.14299805304713498</c:v>
                </c:pt>
                <c:pt idx="6">
                  <c:v>0.16410135434667697</c:v>
                </c:pt>
                <c:pt idx="7">
                  <c:v>0.19022582839546703</c:v>
                </c:pt>
                <c:pt idx="8">
                  <c:v>0.22220984478611183</c:v>
                </c:pt>
                <c:pt idx="9">
                  <c:v>0.26071267157880729</c:v>
                </c:pt>
                <c:pt idx="10">
                  <c:v>0.30598571920646733</c:v>
                </c:pt>
                <c:pt idx="11">
                  <c:v>0.35761975263774565</c:v>
                </c:pt>
                <c:pt idx="12">
                  <c:v>0.41436570820039442</c:v>
                </c:pt>
                <c:pt idx="13">
                  <c:v>0.47415161567302216</c:v>
                </c:pt>
                <c:pt idx="14">
                  <c:v>0.53436440289901199</c:v>
                </c:pt>
                <c:pt idx="15">
                  <c:v>0.59233390202799341</c:v>
                </c:pt>
                <c:pt idx="16">
                  <c:v>0.64583404837931202</c:v>
                </c:pt>
                <c:pt idx="17">
                  <c:v>0.69340738754716869</c:v>
                </c:pt>
                <c:pt idx="18">
                  <c:v>0.73443032930498009</c:v>
                </c:pt>
                <c:pt idx="19">
                  <c:v>0.76897042577521424</c:v>
                </c:pt>
                <c:pt idx="20">
                  <c:v>0.79755122816181101</c:v>
                </c:pt>
              </c:numCache>
            </c:numRef>
          </c:val>
          <c:extLst>
            <c:ext xmlns:c16="http://schemas.microsoft.com/office/drawing/2014/chart" uri="{C3380CC4-5D6E-409C-BE32-E72D297353CC}">
              <c16:uniqueId val="{00000008-57BA-409E-ACA0-35967F0E06E2}"/>
            </c:ext>
          </c:extLst>
        </c:ser>
        <c:ser>
          <c:idx val="9"/>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9.2609291443765368E-2</c:v>
                </c:pt>
                <c:pt idx="1">
                  <c:v>0.10122040386251122</c:v>
                </c:pt>
                <c:pt idx="2">
                  <c:v>0.11196328880730282</c:v>
                </c:pt>
                <c:pt idx="3">
                  <c:v>0.12538709917428706</c:v>
                </c:pt>
                <c:pt idx="4">
                  <c:v>0.1421589532749144</c:v>
                </c:pt>
                <c:pt idx="5">
                  <c:v>0.16305830798599399</c:v>
                </c:pt>
                <c:pt idx="6">
                  <c:v>0.18894005842991266</c:v>
                </c:pt>
                <c:pt idx="7">
                  <c:v>0.22064626510442475</c:v>
                </c:pt>
                <c:pt idx="8">
                  <c:v>0.25884864976943078</c:v>
                </c:pt>
                <c:pt idx="9">
                  <c:v>0.30382232891941824</c:v>
                </c:pt>
                <c:pt idx="10">
                  <c:v>0.35519239156173654</c:v>
                </c:pt>
                <c:pt idx="11">
                  <c:v>0.41174877479902089</c:v>
                </c:pt>
                <c:pt idx="12">
                  <c:v>0.47145221371693952</c:v>
                </c:pt>
                <c:pt idx="13">
                  <c:v>0.53170442895114545</c:v>
                </c:pt>
                <c:pt idx="14">
                  <c:v>0.5898264402245551</c:v>
                </c:pt>
                <c:pt idx="15">
                  <c:v>0.64356359469367264</c:v>
                </c:pt>
                <c:pt idx="16">
                  <c:v>0.69142081679770151</c:v>
                </c:pt>
                <c:pt idx="17">
                  <c:v>0.73273917037119363</c:v>
                </c:pt>
                <c:pt idx="18">
                  <c:v>0.76756010152325382</c:v>
                </c:pt>
                <c:pt idx="19">
                  <c:v>0.79639196586006999</c:v>
                </c:pt>
                <c:pt idx="20">
                  <c:v>0.81998092646731691</c:v>
                </c:pt>
              </c:numCache>
            </c:numRef>
          </c:val>
          <c:extLst>
            <c:ext xmlns:c16="http://schemas.microsoft.com/office/drawing/2014/chart" uri="{C3380CC4-5D6E-409C-BE32-E72D297353CC}">
              <c16:uniqueId val="{00000009-57BA-409E-ACA0-35967F0E06E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0.10079402892836409</c:v>
                </c:pt>
                <c:pt idx="1">
                  <c:v>0.11143085245881253</c:v>
                </c:pt>
                <c:pt idx="2">
                  <c:v>0.12472159801655107</c:v>
                </c:pt>
                <c:pt idx="3">
                  <c:v>0.14132807121894492</c:v>
                </c:pt>
                <c:pt idx="4">
                  <c:v>0.16202519842493501</c:v>
                </c:pt>
                <c:pt idx="5">
                  <c:v>0.18766593060543393</c:v>
                </c:pt>
                <c:pt idx="6">
                  <c:v>0.21909570554126034</c:v>
                </c:pt>
                <c:pt idx="7">
                  <c:v>0.25699824095805551</c:v>
                </c:pt>
                <c:pt idx="8">
                  <c:v>0.30167183767763239</c:v>
                </c:pt>
                <c:pt idx="9">
                  <c:v>0.35277551731881568</c:v>
                </c:pt>
                <c:pt idx="10">
                  <c:v>0.40913821533656075</c:v>
                </c:pt>
                <c:pt idx="11">
                  <c:v>0.46875392021008289</c:v>
                </c:pt>
                <c:pt idx="12">
                  <c:v>0.52904013220264789</c:v>
                </c:pt>
                <c:pt idx="13">
                  <c:v>0.58731010156517616</c:v>
                </c:pt>
                <c:pt idx="14">
                  <c:v>0.64128127119551126</c:v>
                </c:pt>
                <c:pt idx="15">
                  <c:v>0.68942108751310982</c:v>
                </c:pt>
                <c:pt idx="16">
                  <c:v>0.73103497665953332</c:v>
                </c:pt>
                <c:pt idx="17">
                  <c:v>0.76613779541975568</c:v>
                </c:pt>
                <c:pt idx="18">
                  <c:v>0.79522223837938399</c:v>
                </c:pt>
                <c:pt idx="19">
                  <c:v>0.81902802361955607</c:v>
                </c:pt>
                <c:pt idx="20">
                  <c:v>0.83836707085137008</c:v>
                </c:pt>
              </c:numCache>
            </c:numRef>
          </c:val>
          <c:extLst>
            <c:ext xmlns:c16="http://schemas.microsoft.com/office/drawing/2014/chart" uri="{C3380CC4-5D6E-409C-BE32-E72D297353CC}">
              <c16:uniqueId val="{0000000A-57BA-409E-ACA0-35967F0E06E2}"/>
            </c:ext>
          </c:extLst>
        </c:ser>
        <c:ser>
          <c:idx val="11"/>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0.11090368891027452</c:v>
                </c:pt>
                <c:pt idx="1">
                  <c:v>0.1240626899119176</c:v>
                </c:pt>
                <c:pt idx="2">
                  <c:v>0.14050533299024637</c:v>
                </c:pt>
                <c:pt idx="3">
                  <c:v>0.16100194743737994</c:v>
                </c:pt>
                <c:pt idx="4">
                  <c:v>0.18640337285658762</c:v>
                </c:pt>
                <c:pt idx="5">
                  <c:v>0.21755811747439219</c:v>
                </c:pt>
                <c:pt idx="6">
                  <c:v>0.25516144277267105</c:v>
                </c:pt>
                <c:pt idx="7">
                  <c:v>0.29953431171630018</c:v>
                </c:pt>
                <c:pt idx="8">
                  <c:v>0.35036927580941485</c:v>
                </c:pt>
                <c:pt idx="9">
                  <c:v>0.40653424414262063</c:v>
                </c:pt>
                <c:pt idx="10">
                  <c:v>0.46605698205924001</c:v>
                </c:pt>
                <c:pt idx="11">
                  <c:v>0.52637174343737769</c:v>
                </c:pt>
                <c:pt idx="12">
                  <c:v>0.58478505927121116</c:v>
                </c:pt>
                <c:pt idx="13">
                  <c:v>0.63898717434961616</c:v>
                </c:pt>
                <c:pt idx="14">
                  <c:v>0.68740822387273237</c:v>
                </c:pt>
                <c:pt idx="15">
                  <c:v>0.72931771905920739</c:v>
                </c:pt>
                <c:pt idx="16">
                  <c:v>0.76470344746094465</c:v>
                </c:pt>
                <c:pt idx="17">
                  <c:v>0.79404197339567106</c:v>
                </c:pt>
                <c:pt idx="18">
                  <c:v>0.81806622000513785</c:v>
                </c:pt>
                <c:pt idx="19">
                  <c:v>0.83758765467400775</c:v>
                </c:pt>
                <c:pt idx="20">
                  <c:v>0.85338562533857054</c:v>
                </c:pt>
              </c:numCache>
            </c:numRef>
          </c:val>
          <c:extLst>
            <c:ext xmlns:c16="http://schemas.microsoft.com/office/drawing/2014/chart" uri="{C3380CC4-5D6E-409C-BE32-E72D297353CC}">
              <c16:uniqueId val="{0000000B-57BA-409E-ACA0-35967F0E06E2}"/>
            </c:ext>
          </c:extLst>
        </c:ser>
        <c:ser>
          <c:idx val="12"/>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0.12341031077124233</c:v>
                </c:pt>
                <c:pt idx="1">
                  <c:v>0.13969066504350985</c:v>
                </c:pt>
                <c:pt idx="2">
                  <c:v>0.15998847681455181</c:v>
                </c:pt>
                <c:pt idx="3">
                  <c:v>0.18515231252547351</c:v>
                </c:pt>
                <c:pt idx="4">
                  <c:v>0.21603345077578734</c:v>
                </c:pt>
                <c:pt idx="5">
                  <c:v>0.25333825026187984</c:v>
                </c:pt>
                <c:pt idx="6">
                  <c:v>0.29740981384140219</c:v>
                </c:pt>
                <c:pt idx="7">
                  <c:v>0.3479738094224008</c:v>
                </c:pt>
                <c:pt idx="8">
                  <c:v>0.40393707309479598</c:v>
                </c:pt>
                <c:pt idx="9">
                  <c:v>0.4633616457296606</c:v>
                </c:pt>
                <c:pt idx="10">
                  <c:v>0.52369949516890169</c:v>
                </c:pt>
                <c:pt idx="11">
                  <c:v>0.58225148973576357</c:v>
                </c:pt>
                <c:pt idx="12">
                  <c:v>0.63668140410531116</c:v>
                </c:pt>
                <c:pt idx="13">
                  <c:v>0.68538225294320509</c:v>
                </c:pt>
                <c:pt idx="14">
                  <c:v>0.72758737035267429</c:v>
                </c:pt>
                <c:pt idx="15">
                  <c:v>0.76325699858304175</c:v>
                </c:pt>
                <c:pt idx="16">
                  <c:v>0.79285109882512084</c:v>
                </c:pt>
                <c:pt idx="17">
                  <c:v>0.81709544311850246</c:v>
                </c:pt>
                <c:pt idx="18">
                  <c:v>0.83680082820266111</c:v>
                </c:pt>
                <c:pt idx="19">
                  <c:v>0.85274956161799509</c:v>
                </c:pt>
                <c:pt idx="20">
                  <c:v>0.86563800339492292</c:v>
                </c:pt>
              </c:numCache>
            </c:numRef>
          </c:val>
          <c:extLst>
            <c:ext xmlns:c16="http://schemas.microsoft.com/office/drawing/2014/chart" uri="{C3380CC4-5D6E-409C-BE32-E72D297353CC}">
              <c16:uniqueId val="{0000000C-57BA-409E-ACA0-35967F0E06E2}"/>
            </c:ext>
          </c:extLst>
        </c:ser>
        <c:ser>
          <c:idx val="13"/>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0.13888399418631478</c:v>
                </c:pt>
                <c:pt idx="1">
                  <c:v>0.15898470838512194</c:v>
                </c:pt>
                <c:pt idx="2">
                  <c:v>0.18391267639572045</c:v>
                </c:pt>
                <c:pt idx="3">
                  <c:v>0.21452165385770228</c:v>
                </c:pt>
                <c:pt idx="4">
                  <c:v>0.25152865594179996</c:v>
                </c:pt>
                <c:pt idx="5">
                  <c:v>0.29529840345536723</c:v>
                </c:pt>
                <c:pt idx="6">
                  <c:v>0.34558925701559035</c:v>
                </c:pt>
                <c:pt idx="7">
                  <c:v>0.40134691154709157</c:v>
                </c:pt>
                <c:pt idx="8">
                  <c:v>0.46066815714458226</c:v>
                </c:pt>
                <c:pt idx="9">
                  <c:v>0.52102362155360871</c:v>
                </c:pt>
                <c:pt idx="10">
                  <c:v>0.57970957248290012</c:v>
                </c:pt>
                <c:pt idx="11">
                  <c:v>0.63436406390525302</c:v>
                </c:pt>
                <c:pt idx="12">
                  <c:v>0.68334320471755117</c:v>
                </c:pt>
                <c:pt idx="13">
                  <c:v>0.72584390526163989</c:v>
                </c:pt>
                <c:pt idx="14">
                  <c:v>0.76179839070019661</c:v>
                </c:pt>
                <c:pt idx="15">
                  <c:v>0.79164954284919098</c:v>
                </c:pt>
                <c:pt idx="16">
                  <c:v>0.81611562028922024</c:v>
                </c:pt>
                <c:pt idx="17">
                  <c:v>0.8360065250132046</c:v>
                </c:pt>
                <c:pt idx="18">
                  <c:v>0.85210741284546065</c:v>
                </c:pt>
                <c:pt idx="19">
                  <c:v>0.86511911951343268</c:v>
                </c:pt>
                <c:pt idx="20">
                  <c:v>0.87563695943624886</c:v>
                </c:pt>
              </c:numCache>
            </c:numRef>
          </c:val>
          <c:extLst>
            <c:ext xmlns:c16="http://schemas.microsoft.com/office/drawing/2014/chart" uri="{C3380CC4-5D6E-409C-BE32-E72D297353CC}">
              <c16:uniqueId val="{0000000D-57BA-409E-ACA0-35967F0E06E2}"/>
            </c:ext>
          </c:extLst>
        </c:ser>
        <c:ser>
          <c:idx val="14"/>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0.15799056403474657</c:v>
                </c:pt>
                <c:pt idx="1">
                  <c:v>0.18268439072583662</c:v>
                </c:pt>
                <c:pt idx="2">
                  <c:v>0.21302267371839023</c:v>
                </c:pt>
                <c:pt idx="3">
                  <c:v>0.24973264984333457</c:v>
                </c:pt>
                <c:pt idx="4">
                  <c:v>0.29320013658423449</c:v>
                </c:pt>
                <c:pt idx="5">
                  <c:v>0.34321575389862791</c:v>
                </c:pt>
                <c:pt idx="6">
                  <c:v>0.39876396626039928</c:v>
                </c:pt>
                <c:pt idx="7">
                  <c:v>0.45797676158518658</c:v>
                </c:pt>
                <c:pt idx="8">
                  <c:v>0.51834435830233605</c:v>
                </c:pt>
                <c:pt idx="9">
                  <c:v>0.57715949012450896</c:v>
                </c:pt>
                <c:pt idx="10">
                  <c:v>0.63203526069231686</c:v>
                </c:pt>
                <c:pt idx="11">
                  <c:v>0.6812911121534494</c:v>
                </c:pt>
                <c:pt idx="12">
                  <c:v>0.72408730049314451</c:v>
                </c:pt>
                <c:pt idx="13">
                  <c:v>0.76032756674294555</c:v>
                </c:pt>
                <c:pt idx="14">
                  <c:v>0.79043723394017729</c:v>
                </c:pt>
                <c:pt idx="15">
                  <c:v>0.81512667869584654</c:v>
                </c:pt>
                <c:pt idx="16">
                  <c:v>0.83520467831524803</c:v>
                </c:pt>
                <c:pt idx="17">
                  <c:v>0.85145912136615953</c:v>
                </c:pt>
                <c:pt idx="18">
                  <c:v>0.86459527978049533</c:v>
                </c:pt>
                <c:pt idx="19">
                  <c:v>0.8752132787716963</c:v>
                </c:pt>
                <c:pt idx="20">
                  <c:v>0.88380808431604296</c:v>
                </c:pt>
              </c:numCache>
            </c:numRef>
          </c:val>
          <c:extLst>
            <c:ext xmlns:c16="http://schemas.microsoft.com/office/drawing/2014/chart" uri="{C3380CC4-5D6E-409C-BE32-E72D297353CC}">
              <c16:uniqueId val="{0000000E-57BA-409E-ACA0-35967F0E06E2}"/>
            </c:ext>
          </c:extLst>
        </c:ser>
        <c:ser>
          <c:idx val="1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0.181467381281923</c:v>
                </c:pt>
                <c:pt idx="1">
                  <c:v>0.21153645598740603</c:v>
                </c:pt>
                <c:pt idx="2">
                  <c:v>0.24795021955976584</c:v>
                </c:pt>
                <c:pt idx="3">
                  <c:v>0.29111506590626923</c:v>
                </c:pt>
                <c:pt idx="4">
                  <c:v>0.34085343181820976</c:v>
                </c:pt>
                <c:pt idx="5">
                  <c:v>0.3961884413350818</c:v>
                </c:pt>
                <c:pt idx="6">
                  <c:v>0.45528770359107429</c:v>
                </c:pt>
                <c:pt idx="7">
                  <c:v>0.51566194259059361</c:v>
                </c:pt>
                <c:pt idx="8">
                  <c:v>0.57460142831480077</c:v>
                </c:pt>
                <c:pt idx="9">
                  <c:v>0.62969510491454006</c:v>
                </c:pt>
                <c:pt idx="10">
                  <c:v>0.67922601121063009</c:v>
                </c:pt>
                <c:pt idx="11">
                  <c:v>0.72231753478571592</c:v>
                </c:pt>
                <c:pt idx="12">
                  <c:v>0.75884447069718852</c:v>
                </c:pt>
                <c:pt idx="13">
                  <c:v>0.7892141008873681</c:v>
                </c:pt>
                <c:pt idx="14">
                  <c:v>0.81412854538023582</c:v>
                </c:pt>
                <c:pt idx="15">
                  <c:v>0.83439522095803997</c:v>
                </c:pt>
                <c:pt idx="16">
                  <c:v>0.8508046290917799</c:v>
                </c:pt>
                <c:pt idx="17">
                  <c:v>0.86406643581146447</c:v>
                </c:pt>
                <c:pt idx="18">
                  <c:v>0.87478557903189946</c:v>
                </c:pt>
                <c:pt idx="19">
                  <c:v>0.8834615395451656</c:v>
                </c:pt>
                <c:pt idx="20">
                  <c:v>0.89049881076332948</c:v>
                </c:pt>
              </c:numCache>
            </c:numRef>
          </c:val>
          <c:extLst>
            <c:ext xmlns:c16="http://schemas.microsoft.com/office/drawing/2014/chart" uri="{C3380CC4-5D6E-409C-BE32-E72D297353CC}">
              <c16:uniqueId val="{0000000F-57BA-409E-ACA0-35967F0E06E2}"/>
            </c:ext>
          </c:extLst>
        </c:ser>
        <c:ser>
          <c:idx val="16"/>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0.21006294497048142</c:v>
                </c:pt>
                <c:pt idx="1">
                  <c:v>0.24618135029462782</c:v>
                </c:pt>
                <c:pt idx="2">
                  <c:v>0.28904324078197996</c:v>
                </c:pt>
                <c:pt idx="3">
                  <c:v>0.33850241894563027</c:v>
                </c:pt>
                <c:pt idx="4">
                  <c:v>0.39362053814570086</c:v>
                </c:pt>
                <c:pt idx="5">
                  <c:v>0.45260122686135135</c:v>
                </c:pt>
                <c:pt idx="6">
                  <c:v>0.51297661296744601</c:v>
                </c:pt>
                <c:pt idx="7">
                  <c:v>0.57203557570247154</c:v>
                </c:pt>
                <c:pt idx="8">
                  <c:v>0.62734371052807913</c:v>
                </c:pt>
                <c:pt idx="9">
                  <c:v>0.67714794088735519</c:v>
                </c:pt>
                <c:pt idx="10">
                  <c:v>0.72053458895554912</c:v>
                </c:pt>
                <c:pt idx="11">
                  <c:v>0.75734904764367594</c:v>
                </c:pt>
                <c:pt idx="12">
                  <c:v>0.78798007282378213</c:v>
                </c:pt>
                <c:pt idx="13">
                  <c:v>0.81312114726231333</c:v>
                </c:pt>
                <c:pt idx="14">
                  <c:v>0.83357808543667011</c:v>
                </c:pt>
                <c:pt idx="15">
                  <c:v>0.8501438775015725</c:v>
                </c:pt>
                <c:pt idx="16">
                  <c:v>0.86353253879688907</c:v>
                </c:pt>
                <c:pt idx="17">
                  <c:v>0.87435382045700749</c:v>
                </c:pt>
                <c:pt idx="18">
                  <c:v>0.88311174013513338</c:v>
                </c:pt>
                <c:pt idx="19">
                  <c:v>0.89021473671587836</c:v>
                </c:pt>
                <c:pt idx="20">
                  <c:v>0.89599003535629573</c:v>
                </c:pt>
              </c:numCache>
            </c:numRef>
          </c:val>
          <c:extLst>
            <c:ext xmlns:c16="http://schemas.microsoft.com/office/drawing/2014/chart" uri="{C3380CC4-5D6E-409C-BE32-E72D297353CC}">
              <c16:uniqueId val="{00000010-57BA-409E-ACA0-35967F0E06E2}"/>
            </c:ext>
          </c:extLst>
        </c:ser>
        <c:ser>
          <c:idx val="17"/>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0.24442602490981585</c:v>
                </c:pt>
                <c:pt idx="1">
                  <c:v>0.28698470728548209</c:v>
                </c:pt>
                <c:pt idx="2">
                  <c:v>0.33616283986662621</c:v>
                </c:pt>
                <c:pt idx="3">
                  <c:v>0.39106045527793343</c:v>
                </c:pt>
                <c:pt idx="4">
                  <c:v>0.44991757415640954</c:v>
                </c:pt>
                <c:pt idx="5">
                  <c:v>0.51028860926313679</c:v>
                </c:pt>
                <c:pt idx="6">
                  <c:v>0.56946212388053596</c:v>
                </c:pt>
                <c:pt idx="7">
                  <c:v>0.62498119499814109</c:v>
                </c:pt>
                <c:pt idx="8">
                  <c:v>0.67505694325592258</c:v>
                </c:pt>
                <c:pt idx="9">
                  <c:v>0.71873844594268566</c:v>
                </c:pt>
                <c:pt idx="10">
                  <c:v>0.75584124379799023</c:v>
                </c:pt>
                <c:pt idx="11">
                  <c:v>0.78673507925349129</c:v>
                </c:pt>
                <c:pt idx="12">
                  <c:v>0.81210441115532017</c:v>
                </c:pt>
                <c:pt idx="13">
                  <c:v>0.83275320389857599</c:v>
                </c:pt>
                <c:pt idx="14">
                  <c:v>0.84947680764358735</c:v>
                </c:pt>
                <c:pt idx="15">
                  <c:v>0.8629935395010595</c:v>
                </c:pt>
                <c:pt idx="16">
                  <c:v>0.87391796290715684</c:v>
                </c:pt>
                <c:pt idx="17">
                  <c:v>0.88275865382436736</c:v>
                </c:pt>
                <c:pt idx="18">
                  <c:v>0.88992802587996478</c:v>
                </c:pt>
                <c:pt idx="19">
                  <c:v>0.89575661192894851</c:v>
                </c:pt>
                <c:pt idx="20">
                  <c:v>0.9005077425517547</c:v>
                </c:pt>
              </c:numCache>
            </c:numRef>
          </c:val>
          <c:extLst>
            <c:ext xmlns:c16="http://schemas.microsoft.com/office/drawing/2014/chart" uri="{C3380CC4-5D6E-409C-BE32-E72D297353CC}">
              <c16:uniqueId val="{00000011-57BA-409E-ACA0-35967F0E06E2}"/>
            </c:ext>
          </c:extLst>
        </c:ser>
        <c:ser>
          <c:idx val="18"/>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0.28493950823716024</c:v>
                </c:pt>
                <c:pt idx="1">
                  <c:v>0.33383481557349592</c:v>
                </c:pt>
                <c:pt idx="2">
                  <c:v>0.38850838846770869</c:v>
                </c:pt>
                <c:pt idx="3">
                  <c:v>0.44723698720049337</c:v>
                </c:pt>
                <c:pt idx="4">
                  <c:v>0.50759817249552541</c:v>
                </c:pt>
                <c:pt idx="5">
                  <c:v>0.56688126733385169</c:v>
                </c:pt>
                <c:pt idx="6">
                  <c:v>0.62260767929785554</c:v>
                </c:pt>
                <c:pt idx="7">
                  <c:v>0.67295306349715411</c:v>
                </c:pt>
                <c:pt idx="8">
                  <c:v>0.71692909085715428</c:v>
                </c:pt>
                <c:pt idx="9">
                  <c:v>0.75432100655101197</c:v>
                </c:pt>
                <c:pt idx="10">
                  <c:v>0.78547905007953256</c:v>
                </c:pt>
                <c:pt idx="11">
                  <c:v>0.81107826378153081</c:v>
                </c:pt>
                <c:pt idx="12">
                  <c:v>0.83192050815036078</c:v>
                </c:pt>
                <c:pt idx="13">
                  <c:v>0.84880336013608026</c:v>
                </c:pt>
                <c:pt idx="14">
                  <c:v>0.86244938826063533</c:v>
                </c:pt>
                <c:pt idx="15">
                  <c:v>0.87347796585997006</c:v>
                </c:pt>
                <c:pt idx="16">
                  <c:v>0.88240224802834966</c:v>
                </c:pt>
                <c:pt idx="17">
                  <c:v>0.88963865225976302</c:v>
                </c:pt>
                <c:pt idx="18">
                  <c:v>0.89552104866534932</c:v>
                </c:pt>
                <c:pt idx="19">
                  <c:v>0.90031547245637122</c:v>
                </c:pt>
                <c:pt idx="20">
                  <c:v>0.90423343358322728</c:v>
                </c:pt>
              </c:numCache>
            </c:numRef>
          </c:val>
          <c:extLst>
            <c:ext xmlns:c16="http://schemas.microsoft.com/office/drawing/2014/chart" uri="{C3380CC4-5D6E-409C-BE32-E72D297353CC}">
              <c16:uniqueId val="{00000012-57BA-409E-ACA0-35967F0E06E2}"/>
            </c:ext>
          </c:extLst>
        </c:ser>
        <c:ser>
          <c:idx val="19"/>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0.33151846345946367</c:v>
                </c:pt>
                <c:pt idx="1">
                  <c:v>0.38596453054260044</c:v>
                </c:pt>
                <c:pt idx="2">
                  <c:v>0.44455970658513533</c:v>
                </c:pt>
                <c:pt idx="3">
                  <c:v>0.50490554477542005</c:v>
                </c:pt>
                <c:pt idx="4">
                  <c:v>0.56429320338435274</c:v>
                </c:pt>
                <c:pt idx="5">
                  <c:v>0.62022328790505277</c:v>
                </c:pt>
                <c:pt idx="6">
                  <c:v>0.67083634993381136</c:v>
                </c:pt>
                <c:pt idx="7">
                  <c:v>0.71510651102504041</c:v>
                </c:pt>
                <c:pt idx="8">
                  <c:v>0.75278828450985991</c:v>
                </c:pt>
                <c:pt idx="9">
                  <c:v>0.78421191563240988</c:v>
                </c:pt>
                <c:pt idx="10">
                  <c:v>0.81004263178845548</c:v>
                </c:pt>
                <c:pt idx="11">
                  <c:v>0.83107992966493083</c:v>
                </c:pt>
                <c:pt idx="12">
                  <c:v>0.84812347516909881</c:v>
                </c:pt>
                <c:pt idx="13">
                  <c:v>0.86190003498335299</c:v>
                </c:pt>
                <c:pt idx="14">
                  <c:v>0.87303378840807799</c:v>
                </c:pt>
                <c:pt idx="15">
                  <c:v>0.88204248983689582</c:v>
                </c:pt>
                <c:pt idx="16">
                  <c:v>0.88934658959326973</c:v>
                </c:pt>
                <c:pt idx="17">
                  <c:v>0.89528332468242178</c:v>
                </c:pt>
                <c:pt idx="18">
                  <c:v>0.90012146158615514</c:v>
                </c:pt>
                <c:pt idx="19">
                  <c:v>0.90407468930203427</c:v>
                </c:pt>
                <c:pt idx="20">
                  <c:v>0.90731295761518571</c:v>
                </c:pt>
              </c:numCache>
            </c:numRef>
          </c:val>
          <c:extLst>
            <c:ext xmlns:c16="http://schemas.microsoft.com/office/drawing/2014/chart" uri="{C3380CC4-5D6E-409C-BE32-E72D297353CC}">
              <c16:uniqueId val="{00000013-57BA-409E-ACA0-35967F0E06E2}"/>
            </c:ext>
          </c:extLst>
        </c:ser>
        <c:ser>
          <c:idx val="2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0.38342907136550808</c:v>
                </c:pt>
                <c:pt idx="1">
                  <c:v>0.4418859716735466</c:v>
                </c:pt>
                <c:pt idx="2">
                  <c:v>0.50221096921088371</c:v>
                </c:pt>
                <c:pt idx="3">
                  <c:v>0.56169813213401532</c:v>
                </c:pt>
                <c:pt idx="4">
                  <c:v>0.61782814879691061</c:v>
                </c:pt>
                <c:pt idx="5">
                  <c:v>0.66870685406288954</c:v>
                </c:pt>
                <c:pt idx="6">
                  <c:v>0.71327069603444715</c:v>
                </c:pt>
                <c:pt idx="7">
                  <c:v>0.75124302753928496</c:v>
                </c:pt>
                <c:pt idx="8">
                  <c:v>0.7829336066991851</c:v>
                </c:pt>
                <c:pt idx="9">
                  <c:v>0.80899744176553401</c:v>
                </c:pt>
                <c:pt idx="10">
                  <c:v>0.8302313995889572</c:v>
                </c:pt>
                <c:pt idx="11">
                  <c:v>0.84743709250625143</c:v>
                </c:pt>
                <c:pt idx="12">
                  <c:v>0.86134542914682088</c:v>
                </c:pt>
                <c:pt idx="13">
                  <c:v>0.87258538925667495</c:v>
                </c:pt>
                <c:pt idx="14">
                  <c:v>0.8816793460114275</c:v>
                </c:pt>
                <c:pt idx="15">
                  <c:v>0.88905181134975964</c:v>
                </c:pt>
                <c:pt idx="16">
                  <c:v>0.89504341888166994</c:v>
                </c:pt>
                <c:pt idx="17">
                  <c:v>0.89992569317189919</c:v>
                </c:pt>
                <c:pt idx="18">
                  <c:v>0.90391452487827739</c:v>
                </c:pt>
                <c:pt idx="19">
                  <c:v>0.90718160512428603</c:v>
                </c:pt>
                <c:pt idx="20">
                  <c:v>0.90986374379262236</c:v>
                </c:pt>
              </c:numCache>
            </c:numRef>
          </c:val>
          <c:extLst>
            <c:ext xmlns:c16="http://schemas.microsoft.com/office/drawing/2014/chart" uri="{C3380CC4-5D6E-409C-BE32-E72D297353CC}">
              <c16:uniqueId val="{00000014-57BA-409E-ACA0-35967F0E06E2}"/>
            </c:ext>
          </c:extLst>
        </c:ser>
        <c:bandFmts>
          <c:bandFmt>
            <c:idx val="0"/>
            <c:spPr>
              <a:solidFill>
                <a:schemeClr val="accent1">
                  <a:tint val="33000"/>
                </a:schemeClr>
              </a:solidFill>
              <a:ln/>
              <a:effectLst/>
              <a:sp3d prstMaterial="flat"/>
            </c:spPr>
          </c:bandFmt>
          <c:bandFmt>
            <c:idx val="1"/>
            <c:spPr>
              <a:solidFill>
                <a:schemeClr val="accent1">
                  <a:tint val="36000"/>
                </a:schemeClr>
              </a:solidFill>
              <a:ln/>
              <a:effectLst/>
              <a:sp3d prstMaterial="flat"/>
            </c:spPr>
          </c:bandFmt>
          <c:bandFmt>
            <c:idx val="2"/>
            <c:spPr>
              <a:solidFill>
                <a:schemeClr val="accent1">
                  <a:tint val="39000"/>
                </a:schemeClr>
              </a:solidFill>
              <a:ln/>
              <a:effectLst/>
              <a:sp3d prstMaterial="flat"/>
            </c:spPr>
          </c:bandFmt>
          <c:bandFmt>
            <c:idx val="3"/>
            <c:spPr>
              <a:solidFill>
                <a:schemeClr val="accent1">
                  <a:tint val="42000"/>
                </a:schemeClr>
              </a:solidFill>
              <a:ln/>
              <a:effectLst/>
              <a:sp3d prstMaterial="flat"/>
            </c:spPr>
          </c:bandFmt>
          <c:bandFmt>
            <c:idx val="4"/>
            <c:spPr>
              <a:solidFill>
                <a:schemeClr val="accent1">
                  <a:tint val="44000"/>
                </a:schemeClr>
              </a:solidFill>
              <a:ln/>
              <a:effectLst/>
              <a:sp3d prstMaterial="flat"/>
            </c:spPr>
          </c:bandFmt>
          <c:bandFmt>
            <c:idx val="5"/>
            <c:spPr>
              <a:solidFill>
                <a:schemeClr val="accent1">
                  <a:tint val="47000"/>
                </a:schemeClr>
              </a:solidFill>
              <a:ln/>
              <a:effectLst/>
              <a:sp3d prstMaterial="flat"/>
            </c:spPr>
          </c:bandFmt>
          <c:bandFmt>
            <c:idx val="6"/>
            <c:spPr>
              <a:solidFill>
                <a:schemeClr val="accent1">
                  <a:tint val="50000"/>
                </a:schemeClr>
              </a:solidFill>
              <a:ln/>
              <a:effectLst/>
              <a:sp3d prstMaterial="flat"/>
            </c:spPr>
          </c:bandFmt>
          <c:bandFmt>
            <c:idx val="7"/>
            <c:spPr>
              <a:solidFill>
                <a:schemeClr val="accent1">
                  <a:tint val="53000"/>
                </a:schemeClr>
              </a:solidFill>
              <a:ln/>
              <a:effectLst/>
              <a:sp3d prstMaterial="flat"/>
            </c:spPr>
          </c:bandFmt>
          <c:bandFmt>
            <c:idx val="8"/>
            <c:spPr>
              <a:solidFill>
                <a:schemeClr val="accent1">
                  <a:tint val="56000"/>
                </a:schemeClr>
              </a:solidFill>
              <a:ln/>
              <a:effectLst/>
              <a:sp3d prstMaterial="flat"/>
            </c:spPr>
          </c:bandFmt>
          <c:bandFmt>
            <c:idx val="9"/>
            <c:spPr>
              <a:solidFill>
                <a:schemeClr val="accent1">
                  <a:tint val="58000"/>
                </a:schemeClr>
              </a:solidFill>
              <a:ln/>
              <a:effectLst/>
              <a:sp3d prstMaterial="flat"/>
            </c:spPr>
          </c:bandFmt>
          <c:bandFmt>
            <c:idx val="10"/>
            <c:spPr>
              <a:solidFill>
                <a:schemeClr val="accent1">
                  <a:tint val="61000"/>
                </a:schemeClr>
              </a:solidFill>
              <a:ln/>
              <a:effectLst/>
              <a:sp3d prstMaterial="flat"/>
            </c:spPr>
          </c:bandFmt>
          <c:bandFmt>
            <c:idx val="11"/>
            <c:spPr>
              <a:solidFill>
                <a:schemeClr val="accent1">
                  <a:tint val="64000"/>
                </a:schemeClr>
              </a:solidFill>
              <a:ln/>
              <a:effectLst/>
              <a:sp3d prstMaterial="flat"/>
            </c:spPr>
          </c:bandFmt>
          <c:bandFmt>
            <c:idx val="12"/>
            <c:spPr>
              <a:solidFill>
                <a:schemeClr val="accent1">
                  <a:tint val="67000"/>
                </a:schemeClr>
              </a:solidFill>
              <a:ln/>
              <a:effectLst/>
              <a:sp3d prstMaterial="flat"/>
            </c:spPr>
          </c:bandFmt>
          <c:bandFmt>
            <c:idx val="13"/>
            <c:spPr>
              <a:solidFill>
                <a:schemeClr val="accent1">
                  <a:tint val="70000"/>
                </a:schemeClr>
              </a:solidFill>
              <a:ln/>
              <a:effectLst/>
              <a:sp3d prstMaterial="flat"/>
            </c:spPr>
          </c:bandFmt>
          <c:bandFmt>
            <c:idx val="14"/>
            <c:spPr>
              <a:solidFill>
                <a:schemeClr val="accent1">
                  <a:tint val="72000"/>
                </a:schemeClr>
              </a:solidFill>
              <a:ln/>
              <a:effectLst/>
              <a:sp3d prstMaterial="flat"/>
            </c:spPr>
          </c:bandFmt>
          <c:bandFmt>
            <c:idx val="15"/>
            <c:spPr>
              <a:solidFill>
                <a:schemeClr val="accent1">
                  <a:tint val="75000"/>
                </a:schemeClr>
              </a:solidFill>
              <a:ln/>
              <a:effectLst/>
              <a:sp3d prstMaterial="flat"/>
            </c:spPr>
          </c:bandFmt>
          <c:bandFmt>
            <c:idx val="16"/>
            <c:spPr>
              <a:solidFill>
                <a:schemeClr val="accent1">
                  <a:tint val="78000"/>
                </a:schemeClr>
              </a:solidFill>
              <a:ln/>
              <a:effectLst/>
              <a:sp3d prstMaterial="flat"/>
            </c:spPr>
          </c:bandFmt>
          <c:bandFmt>
            <c:idx val="17"/>
            <c:spPr>
              <a:solidFill>
                <a:schemeClr val="accent1">
                  <a:tint val="81000"/>
                </a:schemeClr>
              </a:solidFill>
              <a:ln/>
              <a:effectLst/>
              <a:sp3d prstMaterial="flat"/>
            </c:spPr>
          </c:bandFmt>
          <c:bandFmt>
            <c:idx val="18"/>
            <c:spPr>
              <a:solidFill>
                <a:schemeClr val="accent1">
                  <a:tint val="84000"/>
                </a:schemeClr>
              </a:solidFill>
              <a:ln/>
              <a:effectLst/>
              <a:sp3d prstMaterial="flat"/>
            </c:spPr>
          </c:bandFmt>
          <c:bandFmt>
            <c:idx val="19"/>
            <c:spPr>
              <a:solidFill>
                <a:schemeClr val="accent1">
                  <a:tint val="86000"/>
                </a:schemeClr>
              </a:solidFill>
              <a:ln/>
              <a:effectLst/>
              <a:sp3d prstMaterial="flat"/>
            </c:spPr>
          </c:bandFmt>
          <c:bandFmt>
            <c:idx val="20"/>
            <c:spPr>
              <a:solidFill>
                <a:schemeClr val="accent1">
                  <a:tint val="89000"/>
                </a:schemeClr>
              </a:solidFill>
              <a:ln/>
              <a:effectLst/>
              <a:sp3d prstMaterial="flat"/>
            </c:spPr>
          </c:bandFmt>
          <c:bandFmt>
            <c:idx val="21"/>
            <c:spPr>
              <a:solidFill>
                <a:schemeClr val="accent1">
                  <a:tint val="92000"/>
                </a:schemeClr>
              </a:solidFill>
              <a:ln/>
              <a:effectLst/>
              <a:sp3d prstMaterial="flat"/>
            </c:spPr>
          </c:bandFmt>
          <c:bandFmt>
            <c:idx val="22"/>
            <c:spPr>
              <a:solidFill>
                <a:schemeClr val="accent1">
                  <a:tint val="95000"/>
                </a:schemeClr>
              </a:solidFill>
              <a:ln/>
              <a:effectLst/>
              <a:sp3d prstMaterial="flat"/>
            </c:spPr>
          </c:bandFmt>
          <c:bandFmt>
            <c:idx val="23"/>
            <c:spPr>
              <a:solidFill>
                <a:schemeClr val="accent1">
                  <a:tint val="98000"/>
                </a:schemeClr>
              </a:solidFill>
              <a:ln/>
              <a:effectLst/>
              <a:sp3d prstMaterial="flat"/>
            </c:spPr>
          </c:bandFmt>
          <c:bandFmt>
            <c:idx val="24"/>
            <c:spPr>
              <a:solidFill>
                <a:schemeClr val="accent1"/>
              </a:solidFill>
              <a:ln/>
              <a:effectLst/>
              <a:sp3d prstMaterial="flat"/>
            </c:spPr>
          </c:bandFmt>
          <c:bandFmt>
            <c:idx val="25"/>
            <c:spPr>
              <a:solidFill>
                <a:schemeClr val="accent1">
                  <a:shade val="97000"/>
                </a:schemeClr>
              </a:solidFill>
              <a:ln/>
              <a:effectLst/>
              <a:sp3d prstMaterial="flat"/>
            </c:spPr>
          </c:bandFmt>
          <c:bandFmt>
            <c:idx val="26"/>
            <c:spPr>
              <a:solidFill>
                <a:schemeClr val="accent1">
                  <a:shade val="94000"/>
                </a:schemeClr>
              </a:solidFill>
              <a:ln/>
              <a:effectLst/>
              <a:sp3d prstMaterial="flat"/>
            </c:spPr>
          </c:bandFmt>
          <c:bandFmt>
            <c:idx val="27"/>
            <c:spPr>
              <a:solidFill>
                <a:schemeClr val="accent1">
                  <a:shade val="91000"/>
                </a:schemeClr>
              </a:solidFill>
              <a:ln/>
              <a:effectLst/>
              <a:sp3d prstMaterial="flat"/>
            </c:spPr>
          </c:bandFmt>
          <c:bandFmt>
            <c:idx val="28"/>
            <c:spPr>
              <a:solidFill>
                <a:schemeClr val="accent1">
                  <a:shade val="88000"/>
                </a:schemeClr>
              </a:solidFill>
              <a:ln/>
              <a:effectLst/>
              <a:sp3d prstMaterial="flat"/>
            </c:spPr>
          </c:bandFmt>
          <c:bandFmt>
            <c:idx val="29"/>
            <c:spPr>
              <a:solidFill>
                <a:schemeClr val="accent1">
                  <a:shade val="86000"/>
                </a:schemeClr>
              </a:solidFill>
              <a:ln/>
              <a:effectLst/>
              <a:sp3d prstMaterial="flat"/>
            </c:spPr>
          </c:bandFmt>
          <c:bandFmt>
            <c:idx val="30"/>
            <c:spPr>
              <a:solidFill>
                <a:schemeClr val="accent1">
                  <a:shade val="83000"/>
                </a:schemeClr>
              </a:solidFill>
              <a:ln/>
              <a:effectLst/>
              <a:sp3d prstMaterial="flat"/>
            </c:spPr>
          </c:bandFmt>
          <c:bandFmt>
            <c:idx val="31"/>
            <c:spPr>
              <a:solidFill>
                <a:schemeClr val="accent1">
                  <a:shade val="80000"/>
                </a:schemeClr>
              </a:solidFill>
              <a:ln/>
              <a:effectLst/>
              <a:sp3d prstMaterial="flat"/>
            </c:spPr>
          </c:bandFmt>
          <c:bandFmt>
            <c:idx val="32"/>
            <c:spPr>
              <a:solidFill>
                <a:schemeClr val="accent1">
                  <a:shade val="77000"/>
                </a:schemeClr>
              </a:solidFill>
              <a:ln/>
              <a:effectLst/>
              <a:sp3d prstMaterial="flat"/>
            </c:spPr>
          </c:bandFmt>
          <c:bandFmt>
            <c:idx val="33"/>
            <c:spPr>
              <a:solidFill>
                <a:schemeClr val="accent1">
                  <a:shade val="74000"/>
                </a:schemeClr>
              </a:solidFill>
              <a:ln/>
              <a:effectLst/>
              <a:sp3d prstMaterial="flat"/>
            </c:spPr>
          </c:bandFmt>
          <c:bandFmt>
            <c:idx val="34"/>
            <c:spPr>
              <a:solidFill>
                <a:schemeClr val="accent1">
                  <a:shade val="72000"/>
                </a:schemeClr>
              </a:solidFill>
              <a:ln/>
              <a:effectLst/>
              <a:sp3d prstMaterial="flat"/>
            </c:spPr>
          </c:bandFmt>
          <c:bandFmt>
            <c:idx val="35"/>
            <c:spPr>
              <a:solidFill>
                <a:schemeClr val="accent1">
                  <a:shade val="69000"/>
                </a:schemeClr>
              </a:solidFill>
              <a:ln/>
              <a:effectLst/>
              <a:sp3d prstMaterial="flat"/>
            </c:spPr>
          </c:bandFmt>
          <c:bandFmt>
            <c:idx val="36"/>
            <c:spPr>
              <a:solidFill>
                <a:schemeClr val="accent1">
                  <a:shade val="66000"/>
                </a:schemeClr>
              </a:solidFill>
              <a:ln/>
              <a:effectLst/>
              <a:sp3d prstMaterial="flat"/>
            </c:spPr>
          </c:bandFmt>
          <c:bandFmt>
            <c:idx val="37"/>
            <c:spPr>
              <a:solidFill>
                <a:schemeClr val="accent1">
                  <a:shade val="63000"/>
                </a:schemeClr>
              </a:solidFill>
              <a:ln/>
              <a:effectLst/>
              <a:sp3d prstMaterial="flat"/>
            </c:spPr>
          </c:bandFmt>
          <c:bandFmt>
            <c:idx val="38"/>
            <c:spPr>
              <a:solidFill>
                <a:schemeClr val="accent1">
                  <a:shade val="60000"/>
                </a:schemeClr>
              </a:solidFill>
              <a:ln/>
              <a:effectLst/>
              <a:sp3d prstMaterial="flat"/>
            </c:spPr>
          </c:bandFmt>
          <c:bandFmt>
            <c:idx val="39"/>
            <c:spPr>
              <a:solidFill>
                <a:schemeClr val="accent1">
                  <a:shade val="58000"/>
                </a:schemeClr>
              </a:solidFill>
              <a:ln/>
              <a:effectLst/>
              <a:sp3d prstMaterial="flat"/>
            </c:spPr>
          </c:bandFmt>
          <c:bandFmt>
            <c:idx val="40"/>
            <c:spPr>
              <a:solidFill>
                <a:schemeClr val="accent1">
                  <a:shade val="55000"/>
                </a:schemeClr>
              </a:solidFill>
              <a:ln/>
              <a:effectLst/>
              <a:sp3d prstMaterial="flat"/>
            </c:spPr>
          </c:bandFmt>
          <c:bandFmt>
            <c:idx val="41"/>
            <c:spPr>
              <a:solidFill>
                <a:schemeClr val="accent1">
                  <a:shade val="52000"/>
                </a:schemeClr>
              </a:solidFill>
              <a:ln/>
              <a:effectLst/>
              <a:sp3d prstMaterial="flat"/>
            </c:spPr>
          </c:bandFmt>
          <c:bandFmt>
            <c:idx val="42"/>
            <c:spPr>
              <a:solidFill>
                <a:schemeClr val="accent1">
                  <a:shade val="49000"/>
                </a:schemeClr>
              </a:solidFill>
              <a:ln/>
              <a:effectLst/>
              <a:sp3d prstMaterial="flat"/>
            </c:spPr>
          </c:bandFmt>
          <c:bandFmt>
            <c:idx val="43"/>
            <c:spPr>
              <a:solidFill>
                <a:schemeClr val="accent1">
                  <a:shade val="46000"/>
                </a:schemeClr>
              </a:solidFill>
              <a:ln/>
              <a:effectLst/>
              <a:sp3d prstMaterial="flat"/>
            </c:spPr>
          </c:bandFmt>
          <c:bandFmt>
            <c:idx val="44"/>
            <c:spPr>
              <a:solidFill>
                <a:schemeClr val="accent1">
                  <a:shade val="44000"/>
                </a:schemeClr>
              </a:solidFill>
              <a:ln/>
              <a:effectLst/>
              <a:sp3d prstMaterial="flat"/>
            </c:spPr>
          </c:bandFmt>
          <c:bandFmt>
            <c:idx val="45"/>
            <c:spPr>
              <a:solidFill>
                <a:schemeClr val="accent1">
                  <a:shade val="41000"/>
                </a:schemeClr>
              </a:solidFill>
              <a:ln/>
              <a:effectLst/>
              <a:sp3d prstMaterial="flat"/>
            </c:spPr>
          </c:bandFmt>
          <c:bandFmt>
            <c:idx val="46"/>
            <c:spPr>
              <a:solidFill>
                <a:schemeClr val="accent1">
                  <a:shade val="38000"/>
                </a:schemeClr>
              </a:solidFill>
              <a:ln/>
              <a:effectLst/>
              <a:sp3d prstMaterial="flat"/>
            </c:spPr>
          </c:bandFmt>
          <c:bandFmt>
            <c:idx val="47"/>
            <c:spPr>
              <a:solidFill>
                <a:schemeClr val="accent1">
                  <a:shade val="35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axMin"/>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2029886350512202"/>
              <c:y val="0.46128219562072598"/>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34879732600846E-2"/>
          <c:y val="2.0180634355012189E-2"/>
          <c:w val="0.90229357957153355"/>
          <c:h val="0.93986567372509089"/>
        </c:manualLayout>
      </c:layout>
      <c:scatterChart>
        <c:scatterStyle val="lineMarker"/>
        <c:varyColors val="0"/>
        <c:ser>
          <c:idx val="0"/>
          <c:order val="0"/>
          <c:tx>
            <c:v>Class 0</c:v>
          </c:tx>
          <c:spPr>
            <a:ln w="25400" cap="rnd">
              <a:noFill/>
              <a:round/>
            </a:ln>
            <a:effectLst/>
          </c:spPr>
          <c:marker>
            <c:symbol val="circle"/>
            <c:size val="8"/>
            <c:spPr>
              <a:solidFill>
                <a:schemeClr val="accent1">
                  <a:lumMod val="20000"/>
                  <a:lumOff val="80000"/>
                </a:schemeClr>
              </a:solidFill>
              <a:ln w="15875">
                <a:solidFill>
                  <a:schemeClr val="tx1"/>
                </a:solidFill>
              </a:ln>
              <a:effectLst/>
            </c:spPr>
          </c:marker>
          <c:xVal>
            <c:numRef>
              <c:f>'Main Page'!$G$5:$G$8</c:f>
              <c:numCache>
                <c:formatCode>0.00</c:formatCode>
                <c:ptCount val="4"/>
                <c:pt idx="0">
                  <c:v>0.33333333333333331</c:v>
                </c:pt>
                <c:pt idx="1">
                  <c:v>0.51515151515151514</c:v>
                </c:pt>
                <c:pt idx="2">
                  <c:v>0.31818181818181818</c:v>
                </c:pt>
                <c:pt idx="3">
                  <c:v>0.34848484848484851</c:v>
                </c:pt>
              </c:numCache>
            </c:numRef>
          </c:xVal>
          <c:yVal>
            <c:numRef>
              <c:f>'Main Page'!$H$5:$H$8</c:f>
              <c:numCache>
                <c:formatCode>0.00</c:formatCode>
                <c:ptCount val="4"/>
                <c:pt idx="0">
                  <c:v>1</c:v>
                </c:pt>
                <c:pt idx="1">
                  <c:v>0.61818181818181817</c:v>
                </c:pt>
                <c:pt idx="2">
                  <c:v>0.43636363636363634</c:v>
                </c:pt>
                <c:pt idx="3">
                  <c:v>0.81818181818181823</c:v>
                </c:pt>
              </c:numCache>
            </c:numRef>
          </c:yVal>
          <c:smooth val="0"/>
          <c:extLst>
            <c:ext xmlns:c16="http://schemas.microsoft.com/office/drawing/2014/chart" uri="{C3380CC4-5D6E-409C-BE32-E72D297353CC}">
              <c16:uniqueId val="{00000000-4DC5-45E6-BF09-4B3625CBF3CC}"/>
            </c:ext>
          </c:extLst>
        </c:ser>
        <c:ser>
          <c:idx val="1"/>
          <c:order val="1"/>
          <c:tx>
            <c:v>Class 1</c:v>
          </c:tx>
          <c:spPr>
            <a:ln w="25400" cap="rnd">
              <a:noFill/>
              <a:round/>
            </a:ln>
            <a:effectLst/>
          </c:spPr>
          <c:marker>
            <c:symbol val="circle"/>
            <c:size val="8"/>
            <c:spPr>
              <a:solidFill>
                <a:schemeClr val="accent1">
                  <a:lumMod val="50000"/>
                </a:schemeClr>
              </a:solidFill>
              <a:ln w="15875">
                <a:solidFill>
                  <a:srgbClr val="FF0000"/>
                </a:solidFill>
              </a:ln>
              <a:effectLst/>
            </c:spPr>
          </c:marker>
          <c:xVal>
            <c:numRef>
              <c:f>'Main Page'!$G$9:$G$13</c:f>
              <c:numCache>
                <c:formatCode>0.00</c:formatCode>
                <c:ptCount val="5"/>
                <c:pt idx="0">
                  <c:v>0.66666666666666663</c:v>
                </c:pt>
                <c:pt idx="1">
                  <c:v>1</c:v>
                </c:pt>
                <c:pt idx="2">
                  <c:v>0.68181818181818177</c:v>
                </c:pt>
                <c:pt idx="3">
                  <c:v>0.51515151515151514</c:v>
                </c:pt>
              </c:numCache>
            </c:numRef>
          </c:xVal>
          <c:yVal>
            <c:numRef>
              <c:f>'Main Page'!$H$9:$H$12</c:f>
              <c:numCache>
                <c:formatCode>0.00</c:formatCode>
                <c:ptCount val="4"/>
                <c:pt idx="0">
                  <c:v>0.2</c:v>
                </c:pt>
                <c:pt idx="1">
                  <c:v>0.38181818181818183</c:v>
                </c:pt>
                <c:pt idx="2">
                  <c:v>0.41818181818181815</c:v>
                </c:pt>
                <c:pt idx="3">
                  <c:v>0.14545454545454545</c:v>
                </c:pt>
              </c:numCache>
            </c:numRef>
          </c:yVal>
          <c:smooth val="0"/>
          <c:extLst>
            <c:ext xmlns:c16="http://schemas.microsoft.com/office/drawing/2014/chart" uri="{C3380CC4-5D6E-409C-BE32-E72D297353CC}">
              <c16:uniqueId val="{00000002-4DC5-45E6-BF09-4B3625CBF3CC}"/>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w3 weight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Data'!$C$3:$C$1000</c:f>
              <c:numCache>
                <c:formatCode>0.00</c:formatCode>
                <c:ptCount val="998"/>
                <c:pt idx="0">
                  <c:v>-1.9627383334096435</c:v>
                </c:pt>
                <c:pt idx="1">
                  <c:v>-1.8744372458736152</c:v>
                </c:pt>
                <c:pt idx="2">
                  <c:v>-1.8125991813247044</c:v>
                </c:pt>
                <c:pt idx="3">
                  <c:v>-1.7771591541126086</c:v>
                </c:pt>
                <c:pt idx="4">
                  <c:v>-1.7638601361834412</c:v>
                </c:pt>
                <c:pt idx="5">
                  <c:v>-1.7701058432276742</c:v>
                </c:pt>
                <c:pt idx="6">
                  <c:v>-1.794896585929731</c:v>
                </c:pt>
                <c:pt idx="7">
                  <c:v>-1.8385449334104047</c:v>
                </c:pt>
                <c:pt idx="8">
                  <c:v>-1.9024415907203205</c:v>
                </c:pt>
                <c:pt idx="9">
                  <c:v>-1.9887434248047307</c:v>
                </c:pt>
                <c:pt idx="10">
                  <c:v>-2.0997386378570329</c:v>
                </c:pt>
                <c:pt idx="11">
                  <c:v>-2.2366562608342848</c:v>
                </c:pt>
                <c:pt idx="12">
                  <c:v>-2.3981361554587215</c:v>
                </c:pt>
                <c:pt idx="13">
                  <c:v>-2.5794893023950971</c:v>
                </c:pt>
                <c:pt idx="14">
                  <c:v>-2.7738910681391999</c:v>
                </c:pt>
                <c:pt idx="15">
                  <c:v>-2.9746772114199498</c:v>
                </c:pt>
                <c:pt idx="16">
                  <c:v>-3.1767162997432656</c:v>
                </c:pt>
                <c:pt idx="17">
                  <c:v>-3.3764102676589802</c:v>
                </c:pt>
                <c:pt idx="18">
                  <c:v>-3.5712496462256937</c:v>
                </c:pt>
                <c:pt idx="19">
                  <c:v>-3.7595107645581023</c:v>
                </c:pt>
                <c:pt idx="20">
                  <c:v>-3.9401044186196801</c:v>
                </c:pt>
                <c:pt idx="21">
                  <c:v>-4.1124644400414825</c:v>
                </c:pt>
                <c:pt idx="22">
                  <c:v>-4.2764303206804177</c:v>
                </c:pt>
                <c:pt idx="23">
                  <c:v>-4.4321282931241699</c:v>
                </c:pt>
                <c:pt idx="24">
                  <c:v>-4.5798667654741179</c:v>
                </c:pt>
                <c:pt idx="25">
                  <c:v>-4.7200555333265344</c:v>
                </c:pt>
                <c:pt idx="26">
                  <c:v>-4.8531495584453186</c:v>
                </c:pt>
                <c:pt idx="27">
                  <c:v>-4.9796131080418187</c:v>
                </c:pt>
                <c:pt idx="28">
                  <c:v>-5.0998986804093613</c:v>
                </c:pt>
                <c:pt idx="29">
                  <c:v>-5.2144357536927863</c:v>
                </c:pt>
                <c:pt idx="30">
                  <c:v>-5.3236256414617067</c:v>
                </c:pt>
              </c:numCache>
            </c:numRef>
          </c:xVal>
          <c:yVal>
            <c:numRef>
              <c:f>'Iteration Data'!$A$3:$A$1000</c:f>
              <c:numCache>
                <c:formatCode>0.00</c:formatCode>
                <c:ptCount val="998"/>
                <c:pt idx="0">
                  <c:v>2.2108965491908434</c:v>
                </c:pt>
                <c:pt idx="1">
                  <c:v>2.1362514622868747</c:v>
                </c:pt>
                <c:pt idx="2">
                  <c:v>2.0829341504585241</c:v>
                </c:pt>
                <c:pt idx="3">
                  <c:v>2.0429578319811221</c:v>
                </c:pt>
                <c:pt idx="4">
                  <c:v>2.0102608666092174</c:v>
                </c:pt>
                <c:pt idx="5">
                  <c:v>1.9805891714624284</c:v>
                </c:pt>
                <c:pt idx="6">
                  <c:v>1.9506573340563687</c:v>
                </c:pt>
                <c:pt idx="7">
                  <c:v>1.917473021221427</c:v>
                </c:pt>
                <c:pt idx="8">
                  <c:v>1.8778721044956168</c:v>
                </c:pt>
                <c:pt idx="9">
                  <c:v>1.8283125561501232</c:v>
                </c:pt>
                <c:pt idx="10">
                  <c:v>1.765157665990166</c:v>
                </c:pt>
                <c:pt idx="11">
                  <c:v>1.6857974795176043</c:v>
                </c:pt>
                <c:pt idx="12">
                  <c:v>1.5904749194683654</c:v>
                </c:pt>
                <c:pt idx="13">
                  <c:v>1.4833590387383213</c:v>
                </c:pt>
                <c:pt idx="14">
                  <c:v>1.3711297218872911</c:v>
                </c:pt>
                <c:pt idx="15">
                  <c:v>1.2599908924585868</c:v>
                </c:pt>
                <c:pt idx="16">
                  <c:v>1.1539410717858087</c:v>
                </c:pt>
                <c:pt idx="17">
                  <c:v>1.0550363652991732</c:v>
                </c:pt>
                <c:pt idx="18">
                  <c:v>0.96422758669076736</c:v>
                </c:pt>
                <c:pt idx="19">
                  <c:v>0.88183006053374713</c:v>
                </c:pt>
                <c:pt idx="20">
                  <c:v>0.80769932399405309</c:v>
                </c:pt>
                <c:pt idx="21">
                  <c:v>0.74135862992964618</c:v>
                </c:pt>
                <c:pt idx="22">
                  <c:v>0.68213818179574848</c:v>
                </c:pt>
                <c:pt idx="23">
                  <c:v>0.62929606508084301</c:v>
                </c:pt>
                <c:pt idx="24">
                  <c:v>0.58209959110540077</c:v>
                </c:pt>
                <c:pt idx="25">
                  <c:v>0.53986904122833246</c:v>
                </c:pt>
                <c:pt idx="26">
                  <c:v>0.50199541015958449</c:v>
                </c:pt>
                <c:pt idx="27">
                  <c:v>0.46794329384179806</c:v>
                </c:pt>
                <c:pt idx="28">
                  <c:v>0.43724654170467503</c:v>
                </c:pt>
                <c:pt idx="29">
                  <c:v>0.40950106094511751</c:v>
                </c:pt>
                <c:pt idx="30">
                  <c:v>0.38435701290739244</c:v>
                </c:pt>
              </c:numCache>
            </c:numRef>
          </c:yVal>
          <c:smooth val="1"/>
          <c:extLst>
            <c:ext xmlns:c16="http://schemas.microsoft.com/office/drawing/2014/chart" uri="{C3380CC4-5D6E-409C-BE32-E72D297353CC}">
              <c16:uniqueId val="{00000002-8ED9-48B7-B0BB-62BB3F1AB810}"/>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w3</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At val="0"/>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Data'!$F$3:$F$1000</c:f>
              <c:numCache>
                <c:formatCode>0.00</c:formatCode>
                <c:ptCount val="998"/>
                <c:pt idx="0">
                  <c:v>1.4057724154399844</c:v>
                </c:pt>
                <c:pt idx="1">
                  <c:v>1.3865139812228782</c:v>
                </c:pt>
                <c:pt idx="2">
                  <c:v>1.3761580234763151</c:v>
                </c:pt>
                <c:pt idx="3">
                  <c:v>1.3711810744790043</c:v>
                </c:pt>
                <c:pt idx="4">
                  <c:v>1.3718393800314295</c:v>
                </c:pt>
                <c:pt idx="5">
                  <c:v>1.3781588016507931</c:v>
                </c:pt>
                <c:pt idx="6">
                  <c:v>1.3898227909947181</c:v>
                </c:pt>
                <c:pt idx="7">
                  <c:v>1.406123607212538</c:v>
                </c:pt>
                <c:pt idx="8">
                  <c:v>1.4257922367552107</c:v>
                </c:pt>
                <c:pt idx="9">
                  <c:v>1.4467704503958132</c:v>
                </c:pt>
                <c:pt idx="10">
                  <c:v>1.4661934148641238</c:v>
                </c:pt>
                <c:pt idx="11">
                  <c:v>1.481171999713838</c:v>
                </c:pt>
                <c:pt idx="12">
                  <c:v>1.4908381422541601</c:v>
                </c:pt>
                <c:pt idx="13">
                  <c:v>1.4985058167223264</c:v>
                </c:pt>
                <c:pt idx="14">
                  <c:v>1.5110872061143346</c:v>
                </c:pt>
                <c:pt idx="15">
                  <c:v>1.5352552813883615</c:v>
                </c:pt>
                <c:pt idx="16">
                  <c:v>1.5740094558425946</c:v>
                </c:pt>
                <c:pt idx="17">
                  <c:v>1.6263647704773121</c:v>
                </c:pt>
                <c:pt idx="18">
                  <c:v>1.6891055896034424</c:v>
                </c:pt>
                <c:pt idx="19">
                  <c:v>1.7585553418900031</c:v>
                </c:pt>
                <c:pt idx="20">
                  <c:v>1.8315341618187819</c:v>
                </c:pt>
                <c:pt idx="21">
                  <c:v>1.9056420641200928</c:v>
                </c:pt>
                <c:pt idx="22">
                  <c:v>1.979209509874289</c:v>
                </c:pt>
                <c:pt idx="23">
                  <c:v>2.0511437454163599</c:v>
                </c:pt>
                <c:pt idx="24">
                  <c:v>2.1207726367054454</c:v>
                </c:pt>
                <c:pt idx="25">
                  <c:v>2.1877176527616662</c:v>
                </c:pt>
                <c:pt idx="26">
                  <c:v>2.2517992518385754</c:v>
                </c:pt>
                <c:pt idx="27">
                  <c:v>2.31296933562535</c:v>
                </c:pt>
                <c:pt idx="28">
                  <c:v>2.371264208454444</c:v>
                </c:pt>
                <c:pt idx="29">
                  <c:v>2.4267723941006025</c:v>
                </c:pt>
                <c:pt idx="30">
                  <c:v>2.4796129448394906</c:v>
                </c:pt>
              </c:numCache>
            </c:numRef>
          </c:xVal>
          <c:yVal>
            <c:numRef>
              <c:f>'Iteration Data'!$A$3:$A$1000</c:f>
              <c:numCache>
                <c:formatCode>0.00</c:formatCode>
                <c:ptCount val="998"/>
                <c:pt idx="0">
                  <c:v>2.2108965491908434</c:v>
                </c:pt>
                <c:pt idx="1">
                  <c:v>2.1362514622868747</c:v>
                </c:pt>
                <c:pt idx="2">
                  <c:v>2.0829341504585241</c:v>
                </c:pt>
                <c:pt idx="3">
                  <c:v>2.0429578319811221</c:v>
                </c:pt>
                <c:pt idx="4">
                  <c:v>2.0102608666092174</c:v>
                </c:pt>
                <c:pt idx="5">
                  <c:v>1.9805891714624284</c:v>
                </c:pt>
                <c:pt idx="6">
                  <c:v>1.9506573340563687</c:v>
                </c:pt>
                <c:pt idx="7">
                  <c:v>1.917473021221427</c:v>
                </c:pt>
                <c:pt idx="8">
                  <c:v>1.8778721044956168</c:v>
                </c:pt>
                <c:pt idx="9">
                  <c:v>1.8283125561501232</c:v>
                </c:pt>
                <c:pt idx="10">
                  <c:v>1.765157665990166</c:v>
                </c:pt>
                <c:pt idx="11">
                  <c:v>1.6857974795176043</c:v>
                </c:pt>
                <c:pt idx="12">
                  <c:v>1.5904749194683654</c:v>
                </c:pt>
                <c:pt idx="13">
                  <c:v>1.4833590387383213</c:v>
                </c:pt>
                <c:pt idx="14">
                  <c:v>1.3711297218872911</c:v>
                </c:pt>
                <c:pt idx="15">
                  <c:v>1.2599908924585868</c:v>
                </c:pt>
                <c:pt idx="16">
                  <c:v>1.1539410717858087</c:v>
                </c:pt>
                <c:pt idx="17">
                  <c:v>1.0550363652991732</c:v>
                </c:pt>
                <c:pt idx="18">
                  <c:v>0.96422758669076736</c:v>
                </c:pt>
                <c:pt idx="19">
                  <c:v>0.88183006053374713</c:v>
                </c:pt>
                <c:pt idx="20">
                  <c:v>0.80769932399405309</c:v>
                </c:pt>
                <c:pt idx="21">
                  <c:v>0.74135862992964618</c:v>
                </c:pt>
                <c:pt idx="22">
                  <c:v>0.68213818179574848</c:v>
                </c:pt>
                <c:pt idx="23">
                  <c:v>0.62929606508084301</c:v>
                </c:pt>
                <c:pt idx="24">
                  <c:v>0.58209959110540077</c:v>
                </c:pt>
                <c:pt idx="25">
                  <c:v>0.53986904122833246</c:v>
                </c:pt>
                <c:pt idx="26">
                  <c:v>0.50199541015958449</c:v>
                </c:pt>
                <c:pt idx="27">
                  <c:v>0.46794329384179806</c:v>
                </c:pt>
                <c:pt idx="28">
                  <c:v>0.43724654170467503</c:v>
                </c:pt>
                <c:pt idx="29">
                  <c:v>0.40950106094511751</c:v>
                </c:pt>
                <c:pt idx="30">
                  <c:v>0.38435701290739244</c:v>
                </c:pt>
              </c:numCache>
            </c:numRef>
          </c:yVal>
          <c:smooth val="1"/>
          <c:extLst>
            <c:ext xmlns:c16="http://schemas.microsoft.com/office/drawing/2014/chart" uri="{C3380CC4-5D6E-409C-BE32-E72D297353CC}">
              <c16:uniqueId val="{00000000-E322-4B51-B77A-F62604309C67}"/>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Data'!$I$3:$I$1000</c:f>
              <c:numCache>
                <c:formatCode>0.00</c:formatCode>
                <c:ptCount val="998"/>
                <c:pt idx="0">
                  <c:v>-1.5184785184721812</c:v>
                </c:pt>
                <c:pt idx="1">
                  <c:v>-1.2812240697622952</c:v>
                </c:pt>
                <c:pt idx="2">
                  <c:v>-1.0774731333180196</c:v>
                </c:pt>
                <c:pt idx="3">
                  <c:v>-0.90050034205986629</c:v>
                </c:pt>
                <c:pt idx="4">
                  <c:v>-0.74376683117591391</c:v>
                </c:pt>
                <c:pt idx="5">
                  <c:v>-0.60158207255706597</c:v>
                </c:pt>
                <c:pt idx="6">
                  <c:v>-0.46922587331212512</c:v>
                </c:pt>
                <c:pt idx="7">
                  <c:v>-0.3426343923936408</c:v>
                </c:pt>
                <c:pt idx="8">
                  <c:v>-0.21797859932274033</c:v>
                </c:pt>
                <c:pt idx="9">
                  <c:v>-9.1234617943632301E-2</c:v>
                </c:pt>
                <c:pt idx="10">
                  <c:v>4.2165495842941464E-2</c:v>
                </c:pt>
                <c:pt idx="11">
                  <c:v>0.18734543540255205</c:v>
                </c:pt>
                <c:pt idx="12">
                  <c:v>0.3492054459012649</c:v>
                </c:pt>
                <c:pt idx="13">
                  <c:v>0.53072065835437376</c:v>
                </c:pt>
                <c:pt idx="14">
                  <c:v>0.73132538943333636</c:v>
                </c:pt>
                <c:pt idx="15">
                  <c:v>0.94683531996398362</c:v>
                </c:pt>
                <c:pt idx="16">
                  <c:v>1.1708895617198383</c:v>
                </c:pt>
                <c:pt idx="17">
                  <c:v>1.3967189771028121</c:v>
                </c:pt>
                <c:pt idx="18">
                  <c:v>1.6184781629685061</c:v>
                </c:pt>
                <c:pt idx="19">
                  <c:v>1.8319546169475138</c:v>
                </c:pt>
                <c:pt idx="20">
                  <c:v>2.034671237898634</c:v>
                </c:pt>
                <c:pt idx="21">
                  <c:v>2.2255696360422266</c:v>
                </c:pt>
                <c:pt idx="22">
                  <c:v>2.4045465353439113</c:v>
                </c:pt>
                <c:pt idx="23">
                  <c:v>2.5720412418593179</c:v>
                </c:pt>
                <c:pt idx="24">
                  <c:v>2.7287477533141984</c:v>
                </c:pt>
                <c:pt idx="25">
                  <c:v>2.8754441268551947</c:v>
                </c:pt>
                <c:pt idx="26">
                  <c:v>3.0129042115619997</c:v>
                </c:pt>
                <c:pt idx="27">
                  <c:v>3.1418584113754671</c:v>
                </c:pt>
                <c:pt idx="28">
                  <c:v>3.2629802990549677</c:v>
                </c:pt>
                <c:pt idx="29">
                  <c:v>3.376885373689726</c:v>
                </c:pt>
                <c:pt idx="30">
                  <c:v>3.484134710871357</c:v>
                </c:pt>
              </c:numCache>
            </c:numRef>
          </c:xVal>
          <c:yVal>
            <c:numRef>
              <c:f>'Iteration Data'!$A$3:$A$1000</c:f>
              <c:numCache>
                <c:formatCode>0.00</c:formatCode>
                <c:ptCount val="998"/>
                <c:pt idx="0">
                  <c:v>2.2108965491908434</c:v>
                </c:pt>
                <c:pt idx="1">
                  <c:v>2.1362514622868747</c:v>
                </c:pt>
                <c:pt idx="2">
                  <c:v>2.0829341504585241</c:v>
                </c:pt>
                <c:pt idx="3">
                  <c:v>2.0429578319811221</c:v>
                </c:pt>
                <c:pt idx="4">
                  <c:v>2.0102608666092174</c:v>
                </c:pt>
                <c:pt idx="5">
                  <c:v>1.9805891714624284</c:v>
                </c:pt>
                <c:pt idx="6">
                  <c:v>1.9506573340563687</c:v>
                </c:pt>
                <c:pt idx="7">
                  <c:v>1.917473021221427</c:v>
                </c:pt>
                <c:pt idx="8">
                  <c:v>1.8778721044956168</c:v>
                </c:pt>
                <c:pt idx="9">
                  <c:v>1.8283125561501232</c:v>
                </c:pt>
                <c:pt idx="10">
                  <c:v>1.765157665990166</c:v>
                </c:pt>
                <c:pt idx="11">
                  <c:v>1.6857974795176043</c:v>
                </c:pt>
                <c:pt idx="12">
                  <c:v>1.5904749194683654</c:v>
                </c:pt>
                <c:pt idx="13">
                  <c:v>1.4833590387383213</c:v>
                </c:pt>
                <c:pt idx="14">
                  <c:v>1.3711297218872911</c:v>
                </c:pt>
                <c:pt idx="15">
                  <c:v>1.2599908924585868</c:v>
                </c:pt>
                <c:pt idx="16">
                  <c:v>1.1539410717858087</c:v>
                </c:pt>
                <c:pt idx="17">
                  <c:v>1.0550363652991732</c:v>
                </c:pt>
                <c:pt idx="18">
                  <c:v>0.96422758669076736</c:v>
                </c:pt>
                <c:pt idx="19">
                  <c:v>0.88183006053374713</c:v>
                </c:pt>
                <c:pt idx="20">
                  <c:v>0.80769932399405309</c:v>
                </c:pt>
                <c:pt idx="21">
                  <c:v>0.74135862992964618</c:v>
                </c:pt>
                <c:pt idx="22">
                  <c:v>0.68213818179574848</c:v>
                </c:pt>
                <c:pt idx="23">
                  <c:v>0.62929606508084301</c:v>
                </c:pt>
                <c:pt idx="24">
                  <c:v>0.58209959110540077</c:v>
                </c:pt>
                <c:pt idx="25">
                  <c:v>0.53986904122833246</c:v>
                </c:pt>
                <c:pt idx="26">
                  <c:v>0.50199541015958449</c:v>
                </c:pt>
                <c:pt idx="27">
                  <c:v>0.46794329384179806</c:v>
                </c:pt>
                <c:pt idx="28">
                  <c:v>0.43724654170467503</c:v>
                </c:pt>
                <c:pt idx="29">
                  <c:v>0.40950106094511751</c:v>
                </c:pt>
                <c:pt idx="30">
                  <c:v>0.38435701290739244</c:v>
                </c:pt>
              </c:numCache>
            </c:numRef>
          </c:yVal>
          <c:smooth val="1"/>
          <c:extLst>
            <c:ext xmlns:c16="http://schemas.microsoft.com/office/drawing/2014/chart" uri="{C3380CC4-5D6E-409C-BE32-E72D297353CC}">
              <c16:uniqueId val="{00000000-D8ED-42A9-88AE-EEC989D0B8ED}"/>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Data'!$L$3:$L$1000</c:f>
              <c:numCache>
                <c:formatCode>0.00</c:formatCode>
                <c:ptCount val="998"/>
                <c:pt idx="0">
                  <c:v>1.9338440681706226</c:v>
                </c:pt>
                <c:pt idx="1">
                  <c:v>2.0132933994181132</c:v>
                </c:pt>
                <c:pt idx="2">
                  <c:v>2.0658231379508889</c:v>
                </c:pt>
                <c:pt idx="3">
                  <c:v>2.0951711590190687</c:v>
                </c:pt>
                <c:pt idx="4">
                  <c:v>2.1036331299071773</c:v>
                </c:pt>
                <c:pt idx="5">
                  <c:v>2.0925905927531341</c:v>
                </c:pt>
                <c:pt idx="6">
                  <c:v>2.0623500821414744</c:v>
                </c:pt>
                <c:pt idx="7">
                  <c:v>2.0122165202893116</c:v>
                </c:pt>
                <c:pt idx="8">
                  <c:v>1.9407279079160249</c:v>
                </c:pt>
                <c:pt idx="9">
                  <c:v>1.8461686231740442</c:v>
                </c:pt>
                <c:pt idx="10">
                  <c:v>1.7276075553773438</c:v>
                </c:pt>
                <c:pt idx="11">
                  <c:v>1.5865718418330945</c:v>
                </c:pt>
                <c:pt idx="12">
                  <c:v>1.428723949501181</c:v>
                </c:pt>
                <c:pt idx="13">
                  <c:v>1.2639069359276789</c:v>
                </c:pt>
                <c:pt idx="14">
                  <c:v>1.1035270589070272</c:v>
                </c:pt>
                <c:pt idx="15">
                  <c:v>0.95685771943094655</c:v>
                </c:pt>
                <c:pt idx="16">
                  <c:v>0.82893721453511682</c:v>
                </c:pt>
                <c:pt idx="17">
                  <c:v>0.72083073973811607</c:v>
                </c:pt>
                <c:pt idx="18">
                  <c:v>0.63110088666218256</c:v>
                </c:pt>
                <c:pt idx="19">
                  <c:v>0.5572093280775311</c:v>
                </c:pt>
                <c:pt idx="20">
                  <c:v>0.49638602312389279</c:v>
                </c:pt>
                <c:pt idx="21">
                  <c:v>0.4460595527807274</c:v>
                </c:pt>
                <c:pt idx="22">
                  <c:v>0.40403580727999511</c:v>
                </c:pt>
                <c:pt idx="23">
                  <c:v>0.36854225903286753</c:v>
                </c:pt>
                <c:pt idx="24">
                  <c:v>0.33820045966869033</c:v>
                </c:pt>
                <c:pt idx="25">
                  <c:v>0.31196499143648537</c:v>
                </c:pt>
                <c:pt idx="26">
                  <c:v>0.28905353410236256</c:v>
                </c:pt>
                <c:pt idx="27">
                  <c:v>0.2688821398957934</c:v>
                </c:pt>
                <c:pt idx="28">
                  <c:v>0.25101183372665725</c:v>
                </c:pt>
                <c:pt idx="29">
                  <c:v>0.23510763763482592</c:v>
                </c:pt>
                <c:pt idx="30">
                  <c:v>0.22090860751704222</c:v>
                </c:pt>
              </c:numCache>
            </c:numRef>
          </c:xVal>
          <c:yVal>
            <c:numRef>
              <c:f>'Iteration Data'!$A$3:$A$1000</c:f>
              <c:numCache>
                <c:formatCode>0.00</c:formatCode>
                <c:ptCount val="998"/>
                <c:pt idx="0">
                  <c:v>2.2108965491908434</c:v>
                </c:pt>
                <c:pt idx="1">
                  <c:v>2.1362514622868747</c:v>
                </c:pt>
                <c:pt idx="2">
                  <c:v>2.0829341504585241</c:v>
                </c:pt>
                <c:pt idx="3">
                  <c:v>2.0429578319811221</c:v>
                </c:pt>
                <c:pt idx="4">
                  <c:v>2.0102608666092174</c:v>
                </c:pt>
                <c:pt idx="5">
                  <c:v>1.9805891714624284</c:v>
                </c:pt>
                <c:pt idx="6">
                  <c:v>1.9506573340563687</c:v>
                </c:pt>
                <c:pt idx="7">
                  <c:v>1.917473021221427</c:v>
                </c:pt>
                <c:pt idx="8">
                  <c:v>1.8778721044956168</c:v>
                </c:pt>
                <c:pt idx="9">
                  <c:v>1.8283125561501232</c:v>
                </c:pt>
                <c:pt idx="10">
                  <c:v>1.765157665990166</c:v>
                </c:pt>
                <c:pt idx="11">
                  <c:v>1.6857974795176043</c:v>
                </c:pt>
                <c:pt idx="12">
                  <c:v>1.5904749194683654</c:v>
                </c:pt>
                <c:pt idx="13">
                  <c:v>1.4833590387383213</c:v>
                </c:pt>
                <c:pt idx="14">
                  <c:v>1.3711297218872911</c:v>
                </c:pt>
                <c:pt idx="15">
                  <c:v>1.2599908924585868</c:v>
                </c:pt>
                <c:pt idx="16">
                  <c:v>1.1539410717858087</c:v>
                </c:pt>
                <c:pt idx="17">
                  <c:v>1.0550363652991732</c:v>
                </c:pt>
                <c:pt idx="18">
                  <c:v>0.96422758669076736</c:v>
                </c:pt>
                <c:pt idx="19">
                  <c:v>0.88183006053374713</c:v>
                </c:pt>
                <c:pt idx="20">
                  <c:v>0.80769932399405309</c:v>
                </c:pt>
                <c:pt idx="21">
                  <c:v>0.74135862992964618</c:v>
                </c:pt>
                <c:pt idx="22">
                  <c:v>0.68213818179574848</c:v>
                </c:pt>
                <c:pt idx="23">
                  <c:v>0.62929606508084301</c:v>
                </c:pt>
                <c:pt idx="24">
                  <c:v>0.58209959110540077</c:v>
                </c:pt>
                <c:pt idx="25">
                  <c:v>0.53986904122833246</c:v>
                </c:pt>
                <c:pt idx="26">
                  <c:v>0.50199541015958449</c:v>
                </c:pt>
                <c:pt idx="27">
                  <c:v>0.46794329384179806</c:v>
                </c:pt>
                <c:pt idx="28">
                  <c:v>0.43724654170467503</c:v>
                </c:pt>
                <c:pt idx="29">
                  <c:v>0.40950106094511751</c:v>
                </c:pt>
                <c:pt idx="30">
                  <c:v>0.38435701290739244</c:v>
                </c:pt>
              </c:numCache>
            </c:numRef>
          </c:yVal>
          <c:smooth val="1"/>
          <c:extLst>
            <c:ext xmlns:c16="http://schemas.microsoft.com/office/drawing/2014/chart" uri="{C3380CC4-5D6E-409C-BE32-E72D297353CC}">
              <c16:uniqueId val="{00000000-604A-435F-A87E-33AAD026C009}"/>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Data'!$O$3:$O$1000</c:f>
              <c:numCache>
                <c:formatCode>0.00</c:formatCode>
                <c:ptCount val="998"/>
                <c:pt idx="0">
                  <c:v>-0.47432400763116611</c:v>
                </c:pt>
                <c:pt idx="1">
                  <c:v>-0.56909522606796514</c:v>
                </c:pt>
                <c:pt idx="2">
                  <c:v>-0.66160751697189257</c:v>
                </c:pt>
                <c:pt idx="3">
                  <c:v>-0.75441619884832578</c:v>
                </c:pt>
                <c:pt idx="4">
                  <c:v>-0.85041613308507547</c:v>
                </c:pt>
                <c:pt idx="5">
                  <c:v>-0.95192448521764739</c:v>
                </c:pt>
                <c:pt idx="6">
                  <c:v>-1.061089228167267</c:v>
                </c:pt>
                <c:pt idx="7">
                  <c:v>-1.1800915547749631</c:v>
                </c:pt>
                <c:pt idx="8">
                  <c:v>-1.3111471437669424</c:v>
                </c:pt>
                <c:pt idx="9">
                  <c:v>-1.456254269996434</c:v>
                </c:pt>
                <c:pt idx="10">
                  <c:v>-1.6165504611297816</c:v>
                </c:pt>
                <c:pt idx="11">
                  <c:v>-1.7911873132717875</c:v>
                </c:pt>
                <c:pt idx="12">
                  <c:v>-1.9760483567964633</c:v>
                </c:pt>
                <c:pt idx="13">
                  <c:v>-2.1633995724803308</c:v>
                </c:pt>
                <c:pt idx="14">
                  <c:v>-2.3436207771966364</c:v>
                </c:pt>
                <c:pt idx="15">
                  <c:v>-2.5084596196864903</c:v>
                </c:pt>
                <c:pt idx="16">
                  <c:v>-2.6535360307931493</c:v>
                </c:pt>
                <c:pt idx="17">
                  <c:v>-2.7785834609774396</c:v>
                </c:pt>
                <c:pt idx="18">
                  <c:v>-2.886008238134909</c:v>
                </c:pt>
                <c:pt idx="19">
                  <c:v>-2.9792094349168798</c:v>
                </c:pt>
                <c:pt idx="20">
                  <c:v>-3.0614863908997378</c:v>
                </c:pt>
                <c:pt idx="21">
                  <c:v>-3.1355796108223752</c:v>
                </c:pt>
                <c:pt idx="22">
                  <c:v>-3.2035933385226092</c:v>
                </c:pt>
                <c:pt idx="23">
                  <c:v>-3.2670772690082055</c:v>
                </c:pt>
                <c:pt idx="24">
                  <c:v>-3.3271467810181927</c:v>
                </c:pt>
                <c:pt idx="25">
                  <c:v>-3.3845936611927776</c:v>
                </c:pt>
                <c:pt idx="26">
                  <c:v>-3.4399745158581259</c:v>
                </c:pt>
                <c:pt idx="27">
                  <c:v>-3.4936773070195768</c:v>
                </c:pt>
                <c:pt idx="28">
                  <c:v>-3.5459700887670382</c:v>
                </c:pt>
                <c:pt idx="29">
                  <c:v>-3.5970362497110648</c:v>
                </c:pt>
                <c:pt idx="30">
                  <c:v>-3.6469998410151865</c:v>
                </c:pt>
              </c:numCache>
            </c:numRef>
          </c:xVal>
          <c:yVal>
            <c:numRef>
              <c:f>'Iteration Data'!$A$3:$A$1000</c:f>
              <c:numCache>
                <c:formatCode>0.00</c:formatCode>
                <c:ptCount val="998"/>
                <c:pt idx="0">
                  <c:v>2.2108965491908434</c:v>
                </c:pt>
                <c:pt idx="1">
                  <c:v>2.1362514622868747</c:v>
                </c:pt>
                <c:pt idx="2">
                  <c:v>2.0829341504585241</c:v>
                </c:pt>
                <c:pt idx="3">
                  <c:v>2.0429578319811221</c:v>
                </c:pt>
                <c:pt idx="4">
                  <c:v>2.0102608666092174</c:v>
                </c:pt>
                <c:pt idx="5">
                  <c:v>1.9805891714624284</c:v>
                </c:pt>
                <c:pt idx="6">
                  <c:v>1.9506573340563687</c:v>
                </c:pt>
                <c:pt idx="7">
                  <c:v>1.917473021221427</c:v>
                </c:pt>
                <c:pt idx="8">
                  <c:v>1.8778721044956168</c:v>
                </c:pt>
                <c:pt idx="9">
                  <c:v>1.8283125561501232</c:v>
                </c:pt>
                <c:pt idx="10">
                  <c:v>1.765157665990166</c:v>
                </c:pt>
                <c:pt idx="11">
                  <c:v>1.6857974795176043</c:v>
                </c:pt>
                <c:pt idx="12">
                  <c:v>1.5904749194683654</c:v>
                </c:pt>
                <c:pt idx="13">
                  <c:v>1.4833590387383213</c:v>
                </c:pt>
                <c:pt idx="14">
                  <c:v>1.3711297218872911</c:v>
                </c:pt>
                <c:pt idx="15">
                  <c:v>1.2599908924585868</c:v>
                </c:pt>
                <c:pt idx="16">
                  <c:v>1.1539410717858087</c:v>
                </c:pt>
                <c:pt idx="17">
                  <c:v>1.0550363652991732</c:v>
                </c:pt>
                <c:pt idx="18">
                  <c:v>0.96422758669076736</c:v>
                </c:pt>
                <c:pt idx="19">
                  <c:v>0.88183006053374713</c:v>
                </c:pt>
                <c:pt idx="20">
                  <c:v>0.80769932399405309</c:v>
                </c:pt>
                <c:pt idx="21">
                  <c:v>0.74135862992964618</c:v>
                </c:pt>
                <c:pt idx="22">
                  <c:v>0.68213818179574848</c:v>
                </c:pt>
                <c:pt idx="23">
                  <c:v>0.62929606508084301</c:v>
                </c:pt>
                <c:pt idx="24">
                  <c:v>0.58209959110540077</c:v>
                </c:pt>
                <c:pt idx="25">
                  <c:v>0.53986904122833246</c:v>
                </c:pt>
                <c:pt idx="26">
                  <c:v>0.50199541015958449</c:v>
                </c:pt>
                <c:pt idx="27">
                  <c:v>0.46794329384179806</c:v>
                </c:pt>
                <c:pt idx="28">
                  <c:v>0.43724654170467503</c:v>
                </c:pt>
                <c:pt idx="29">
                  <c:v>0.40950106094511751</c:v>
                </c:pt>
                <c:pt idx="30">
                  <c:v>0.38435701290739244</c:v>
                </c:pt>
              </c:numCache>
            </c:numRef>
          </c:yVal>
          <c:smooth val="1"/>
          <c:extLst>
            <c:ext xmlns:c16="http://schemas.microsoft.com/office/drawing/2014/chart" uri="{C3380CC4-5D6E-409C-BE32-E72D297353CC}">
              <c16:uniqueId val="{00000000-9536-4C79-B379-A56ACE3A6005}"/>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6.2024165944873741E-2</c:v>
                </c:pt>
                <c:pt idx="1">
                  <c:v>6.3484736574214815E-2</c:v>
                </c:pt>
                <c:pt idx="2">
                  <c:v>6.526077030228436E-2</c:v>
                </c:pt>
                <c:pt idx="3">
                  <c:v>6.7425314520671006E-2</c:v>
                </c:pt>
                <c:pt idx="4">
                  <c:v>7.0070151728744701E-2</c:v>
                </c:pt>
                <c:pt idx="5">
                  <c:v>7.331114976122248E-2</c:v>
                </c:pt>
                <c:pt idx="6">
                  <c:v>7.7295206548702228E-2</c:v>
                </c:pt>
                <c:pt idx="7">
                  <c:v>8.2209183611220607E-2</c:v>
                </c:pt>
                <c:pt idx="8">
                  <c:v>8.829120322828421E-2</c:v>
                </c:pt>
                <c:pt idx="9">
                  <c:v>9.5844514391608487E-2</c:v>
                </c:pt>
                <c:pt idx="10">
                  <c:v>0.10525364986694932</c:v>
                </c:pt>
                <c:pt idx="11">
                  <c:v>0.1170015283088454</c:v>
                </c:pt>
                <c:pt idx="12">
                  <c:v>0.13168410178171208</c:v>
                </c:pt>
                <c:pt idx="13">
                  <c:v>0.15001566109854392</c:v>
                </c:pt>
                <c:pt idx="14">
                  <c:v>0.17281282595604971</c:v>
                </c:pt>
                <c:pt idx="15">
                  <c:v>0.20093952954504429</c:v>
                </c:pt>
                <c:pt idx="16">
                  <c:v>0.23519250716919834</c:v>
                </c:pt>
                <c:pt idx="17">
                  <c:v>0.27611431106811468</c:v>
                </c:pt>
                <c:pt idx="18">
                  <c:v>0.32374810970458356</c:v>
                </c:pt>
                <c:pt idx="19">
                  <c:v>0.37739751990520726</c:v>
                </c:pt>
                <c:pt idx="20">
                  <c:v>0.4355041685461617</c:v>
                </c:pt>
              </c:numCache>
            </c:numRef>
          </c:val>
          <c:extLst>
            <c:ext xmlns:c16="http://schemas.microsoft.com/office/drawing/2014/chart" uri="{C3380CC4-5D6E-409C-BE32-E72D297353CC}">
              <c16:uniqueId val="{00000000-0C27-4458-B867-6B27ADC5A272}"/>
            </c:ext>
          </c:extLst>
        </c:ser>
        <c:ser>
          <c:idx val="1"/>
          <c:order val="1"/>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6.3413263902481268E-2</c:v>
                </c:pt>
                <c:pt idx="1">
                  <c:v>6.517377365639157E-2</c:v>
                </c:pt>
                <c:pt idx="2">
                  <c:v>6.7319166697695457E-2</c:v>
                </c:pt>
                <c:pt idx="3">
                  <c:v>6.9940285162740562E-2</c:v>
                </c:pt>
                <c:pt idx="4">
                  <c:v>7.3151786396156826E-2</c:v>
                </c:pt>
                <c:pt idx="5">
                  <c:v>7.7099008279023745E-2</c:v>
                </c:pt>
                <c:pt idx="6">
                  <c:v>8.1966805396922748E-2</c:v>
                </c:pt>
                <c:pt idx="7">
                  <c:v>8.7990734191929446E-2</c:v>
                </c:pt>
                <c:pt idx="8">
                  <c:v>9.5470804910627372E-2</c:v>
                </c:pt>
                <c:pt idx="9">
                  <c:v>0.10478755423063019</c:v>
                </c:pt>
                <c:pt idx="10">
                  <c:v>0.11641915785402351</c:v>
                </c:pt>
                <c:pt idx="11">
                  <c:v>0.13095630264492095</c:v>
                </c:pt>
                <c:pt idx="12">
                  <c:v>0.14910812171849389</c:v>
                </c:pt>
                <c:pt idx="13">
                  <c:v>0.1716874740724752</c:v>
                </c:pt>
                <c:pt idx="14">
                  <c:v>0.19955811090259337</c:v>
                </c:pt>
                <c:pt idx="15">
                  <c:v>0.23352321231223261</c:v>
                </c:pt>
                <c:pt idx="16">
                  <c:v>0.27414162451599222</c:v>
                </c:pt>
                <c:pt idx="17">
                  <c:v>0.32148433021630446</c:v>
                </c:pt>
                <c:pt idx="18">
                  <c:v>0.37489192964208112</c:v>
                </c:pt>
                <c:pt idx="19">
                  <c:v>0.43284422857622096</c:v>
                </c:pt>
                <c:pt idx="20">
                  <c:v>0.49305767971153158</c:v>
                </c:pt>
              </c:numCache>
            </c:numRef>
          </c:val>
          <c:extLst>
            <c:ext xmlns:c16="http://schemas.microsoft.com/office/drawing/2014/chart" uri="{C3380CC4-5D6E-409C-BE32-E72D297353CC}">
              <c16:uniqueId val="{00000001-0C27-4458-B867-6B27ADC5A272}"/>
            </c:ext>
          </c:extLst>
        </c:ser>
        <c:ser>
          <c:idx val="2"/>
          <c:order val="2"/>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6.5087541527060075E-2</c:v>
                </c:pt>
                <c:pt idx="1">
                  <c:v>6.7213963686101552E-2</c:v>
                </c:pt>
                <c:pt idx="2">
                  <c:v>6.9811590936436421E-2</c:v>
                </c:pt>
                <c:pt idx="3">
                  <c:v>7.2993883757565464E-2</c:v>
                </c:pt>
                <c:pt idx="4">
                  <c:v>7.6904637537108633E-2</c:v>
                </c:pt>
                <c:pt idx="5">
                  <c:v>8.1726722190000337E-2</c:v>
                </c:pt>
                <c:pt idx="6">
                  <c:v>8.7693155774736839E-2</c:v>
                </c:pt>
                <c:pt idx="7">
                  <c:v>9.5100742037412006E-2</c:v>
                </c:pt>
                <c:pt idx="8">
                  <c:v>0.10432605620685038</c:v>
                </c:pt>
                <c:pt idx="9">
                  <c:v>0.115842561763637</c:v>
                </c:pt>
                <c:pt idx="10">
                  <c:v>0.13023569412677452</c:v>
                </c:pt>
                <c:pt idx="11">
                  <c:v>0.14820940229688809</c:v>
                </c:pt>
                <c:pt idx="12">
                  <c:v>0.17057268281672414</c:v>
                </c:pt>
                <c:pt idx="13">
                  <c:v>0.19818888531107043</c:v>
                </c:pt>
                <c:pt idx="14">
                  <c:v>0.23186726670269259</c:v>
                </c:pt>
                <c:pt idx="15">
                  <c:v>0.27218247160980674</c:v>
                </c:pt>
                <c:pt idx="16">
                  <c:v>0.31923279389767495</c:v>
                </c:pt>
                <c:pt idx="17">
                  <c:v>0.37239553572108236</c:v>
                </c:pt>
                <c:pt idx="18">
                  <c:v>0.43018886886418234</c:v>
                </c:pt>
                <c:pt idx="19">
                  <c:v>0.49035744787569874</c:v>
                </c:pt>
                <c:pt idx="20">
                  <c:v>0.5502207829797805</c:v>
                </c:pt>
              </c:numCache>
            </c:numRef>
          </c:val>
          <c:extLst>
            <c:ext xmlns:c16="http://schemas.microsoft.com/office/drawing/2014/chart" uri="{C3380CC4-5D6E-409C-BE32-E72D297353CC}">
              <c16:uniqueId val="{00000002-0C27-4458-B867-6B27ADC5A272}"/>
            </c:ext>
          </c:extLst>
        </c:ser>
        <c:ser>
          <c:idx val="3"/>
          <c:order val="3"/>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6.7109696515017497E-2</c:v>
                </c:pt>
                <c:pt idx="1">
                  <c:v>6.9684057705092534E-2</c:v>
                </c:pt>
                <c:pt idx="2">
                  <c:v>7.2837427440615637E-2</c:v>
                </c:pt>
                <c:pt idx="3">
                  <c:v>7.6712075978883451E-2</c:v>
                </c:pt>
                <c:pt idx="4">
                  <c:v>8.1488910603744732E-2</c:v>
                </c:pt>
                <c:pt idx="5">
                  <c:v>8.7398438211088322E-2</c:v>
                </c:pt>
                <c:pt idx="6">
                  <c:v>9.4734288107933357E-2</c:v>
                </c:pt>
                <c:pt idx="7">
                  <c:v>0.10386910870317292</c:v>
                </c:pt>
                <c:pt idx="8">
                  <c:v>0.11527168237765044</c:v>
                </c:pt>
                <c:pt idx="9">
                  <c:v>0.1295222080266665</c:v>
                </c:pt>
                <c:pt idx="10">
                  <c:v>0.14731942657689437</c:v>
                </c:pt>
                <c:pt idx="11">
                  <c:v>0.16946837461796102</c:v>
                </c:pt>
                <c:pt idx="12">
                  <c:v>0.19683178674323079</c:v>
                </c:pt>
                <c:pt idx="13">
                  <c:v>0.23022463546261099</c:v>
                </c:pt>
                <c:pt idx="14">
                  <c:v>0.27023687224164455</c:v>
                </c:pt>
                <c:pt idx="15">
                  <c:v>0.31699359514412789</c:v>
                </c:pt>
                <c:pt idx="16">
                  <c:v>0.3699085111458239</c:v>
                </c:pt>
                <c:pt idx="17">
                  <c:v>0.42753832054899882</c:v>
                </c:pt>
                <c:pt idx="18">
                  <c:v>0.48765659226672181</c:v>
                </c:pt>
                <c:pt idx="19">
                  <c:v>0.54759148488865339</c:v>
                </c:pt>
                <c:pt idx="20">
                  <c:v>0.60473222212252609</c:v>
                </c:pt>
              </c:numCache>
            </c:numRef>
          </c:val>
          <c:extLst>
            <c:ext xmlns:c16="http://schemas.microsoft.com/office/drawing/2014/chart" uri="{C3380CC4-5D6E-409C-BE32-E72D297353CC}">
              <c16:uniqueId val="{00000003-0C27-4458-B867-6B27ADC5A272}"/>
            </c:ext>
          </c:extLst>
        </c:ser>
        <c:ser>
          <c:idx val="4"/>
          <c:order val="4"/>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6.9557674243323653E-2</c:v>
                </c:pt>
                <c:pt idx="1">
                  <c:v>7.2682403194320691E-2</c:v>
                </c:pt>
                <c:pt idx="2">
                  <c:v>7.6521305457978528E-2</c:v>
                </c:pt>
                <c:pt idx="3">
                  <c:v>8.1253347503470602E-2</c:v>
                </c:pt>
                <c:pt idx="4">
                  <c:v>8.7106552051664662E-2</c:v>
                </c:pt>
                <c:pt idx="5">
                  <c:v>9.4371405844465253E-2</c:v>
                </c:pt>
                <c:pt idx="6">
                  <c:v>0.10341666507755397</c:v>
                </c:pt>
                <c:pt idx="7">
                  <c:v>0.11470646251988058</c:v>
                </c:pt>
                <c:pt idx="8">
                  <c:v>0.12881577658587112</c:v>
                </c:pt>
                <c:pt idx="9">
                  <c:v>0.14643811855653546</c:v>
                </c:pt>
                <c:pt idx="10">
                  <c:v>0.16837447174065789</c:v>
                </c:pt>
                <c:pt idx="11">
                  <c:v>0.19548674828507562</c:v>
                </c:pt>
                <c:pt idx="12">
                  <c:v>0.22859528182847733</c:v>
                </c:pt>
                <c:pt idx="13">
                  <c:v>0.26830484336783983</c:v>
                </c:pt>
                <c:pt idx="14">
                  <c:v>0.31476682477678247</c:v>
                </c:pt>
                <c:pt idx="15">
                  <c:v>0.3674310256507603</c:v>
                </c:pt>
                <c:pt idx="16">
                  <c:v>0.42489281295800396</c:v>
                </c:pt>
                <c:pt idx="17">
                  <c:v>0.4849553600518216</c:v>
                </c:pt>
                <c:pt idx="18">
                  <c:v>0.54495652028025343</c:v>
                </c:pt>
                <c:pt idx="19">
                  <c:v>0.6022716293514182</c:v>
                </c:pt>
                <c:pt idx="20">
                  <c:v>0.65479535701220848</c:v>
                </c:pt>
              </c:numCache>
            </c:numRef>
          </c:val>
          <c:extLst>
            <c:ext xmlns:c16="http://schemas.microsoft.com/office/drawing/2014/chart" uri="{C3380CC4-5D6E-409C-BE32-E72D297353CC}">
              <c16:uniqueId val="{00000004-0C27-4458-B867-6B27ADC5A272}"/>
            </c:ext>
          </c:extLst>
        </c:ser>
        <c:ser>
          <c:idx val="5"/>
          <c:order val="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7.2528796919810956E-2</c:v>
                </c:pt>
                <c:pt idx="1">
                  <c:v>7.6332308023550052E-2</c:v>
                </c:pt>
                <c:pt idx="2">
                  <c:v>8.1020010003863718E-2</c:v>
                </c:pt>
                <c:pt idx="3">
                  <c:v>8.6817468160401423E-2</c:v>
                </c:pt>
                <c:pt idx="4">
                  <c:v>9.4012058352459946E-2</c:v>
                </c:pt>
                <c:pt idx="5">
                  <c:v>0.1029686791358877</c:v>
                </c:pt>
                <c:pt idx="6">
                  <c:v>0.11414684549768966</c:v>
                </c:pt>
                <c:pt idx="7">
                  <c:v>0.12811633249190538</c:v>
                </c:pt>
                <c:pt idx="8">
                  <c:v>0.1455654025013314</c:v>
                </c:pt>
                <c:pt idx="9">
                  <c:v>0.16729089630946203</c:v>
                </c:pt>
                <c:pt idx="10">
                  <c:v>0.19415370217476705</c:v>
                </c:pt>
                <c:pt idx="11">
                  <c:v>0.22697916719952621</c:v>
                </c:pt>
                <c:pt idx="12">
                  <c:v>0.26638639905123562</c:v>
                </c:pt>
                <c:pt idx="13">
                  <c:v>0.31255257005428394</c:v>
                </c:pt>
                <c:pt idx="14">
                  <c:v>0.36496324566241878</c:v>
                </c:pt>
                <c:pt idx="15">
                  <c:v>0.42225257352082601</c:v>
                </c:pt>
                <c:pt idx="16">
                  <c:v>0.48225399866441093</c:v>
                </c:pt>
                <c:pt idx="17">
                  <c:v>0.54231610782669659</c:v>
                </c:pt>
                <c:pt idx="18">
                  <c:v>0.59980134245549932</c:v>
                </c:pt>
                <c:pt idx="19">
                  <c:v>0.65257327794475195</c:v>
                </c:pt>
                <c:pt idx="20">
                  <c:v>0.69928794925876803</c:v>
                </c:pt>
              </c:numCache>
            </c:numRef>
          </c:val>
          <c:extLst>
            <c:ext xmlns:c16="http://schemas.microsoft.com/office/drawing/2014/chart" uri="{C3380CC4-5D6E-409C-BE32-E72D297353CC}">
              <c16:uniqueId val="{00000005-0C27-4458-B867-6B27ADC5A272}"/>
            </c:ext>
          </c:extLst>
        </c:ser>
        <c:ser>
          <c:idx val="6"/>
          <c:order val="6"/>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7.6145065918124422E-2</c:v>
                </c:pt>
                <c:pt idx="1">
                  <c:v>8.0788875466351315E-2</c:v>
                </c:pt>
                <c:pt idx="2">
                  <c:v>8.6531157711457932E-2</c:v>
                </c:pt>
                <c:pt idx="3">
                  <c:v>9.3656209117415706E-2</c:v>
                </c:pt>
                <c:pt idx="4">
                  <c:v>0.10252510512949724</c:v>
                </c:pt>
                <c:pt idx="5">
                  <c:v>0.11359277510153989</c:v>
                </c:pt>
                <c:pt idx="6">
                  <c:v>0.12742380888261146</c:v>
                </c:pt>
                <c:pt idx="7">
                  <c:v>0.14470120295648936</c:v>
                </c:pt>
                <c:pt idx="8">
                  <c:v>0.16621757033344886</c:v>
                </c:pt>
                <c:pt idx="9">
                  <c:v>0.19283257984094884</c:v>
                </c:pt>
                <c:pt idx="10">
                  <c:v>0.22537625118584639</c:v>
                </c:pt>
                <c:pt idx="11">
                  <c:v>0.26448155050419592</c:v>
                </c:pt>
                <c:pt idx="12">
                  <c:v>0.31035091468653475</c:v>
                </c:pt>
                <c:pt idx="13">
                  <c:v>0.36250533426305098</c:v>
                </c:pt>
                <c:pt idx="14">
                  <c:v>0.41961782768490197</c:v>
                </c:pt>
                <c:pt idx="15">
                  <c:v>0.47955275570315259</c:v>
                </c:pt>
                <c:pt idx="16">
                  <c:v>0.53967046841640354</c:v>
                </c:pt>
                <c:pt idx="17">
                  <c:v>0.59732151826849844</c:v>
                </c:pt>
                <c:pt idx="18">
                  <c:v>0.65033897781078809</c:v>
                </c:pt>
                <c:pt idx="19">
                  <c:v>0.69734097091996394</c:v>
                </c:pt>
                <c:pt idx="20">
                  <c:v>0.73777366847326808</c:v>
                </c:pt>
              </c:numCache>
            </c:numRef>
          </c:val>
          <c:extLst>
            <c:ext xmlns:c16="http://schemas.microsoft.com/office/drawing/2014/chart" uri="{C3380CC4-5D6E-409C-BE32-E72D297353CC}">
              <c16:uniqueId val="{00000006-0C27-4458-B867-6B27ADC5A272}"/>
            </c:ext>
          </c:extLst>
        </c:ser>
        <c:ser>
          <c:idx val="7"/>
          <c:order val="7"/>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8.0559921496491327E-2</c:v>
                </c:pt>
                <c:pt idx="1">
                  <c:v>8.6247592186200345E-2</c:v>
                </c:pt>
                <c:pt idx="2">
                  <c:v>9.3303822001737841E-2</c:v>
                </c:pt>
                <c:pt idx="3">
                  <c:v>0.10208589775257307</c:v>
                </c:pt>
                <c:pt idx="4">
                  <c:v>0.1130441956044103</c:v>
                </c:pt>
                <c:pt idx="5">
                  <c:v>0.12673813934997008</c:v>
                </c:pt>
                <c:pt idx="6">
                  <c:v>0.1438454447586397</c:v>
                </c:pt>
                <c:pt idx="7">
                  <c:v>0.16515441572976686</c:v>
                </c:pt>
                <c:pt idx="8">
                  <c:v>0.19152331194046435</c:v>
                </c:pt>
                <c:pt idx="9">
                  <c:v>0.22378649165628475</c:v>
                </c:pt>
                <c:pt idx="10">
                  <c:v>0.26259030613231932</c:v>
                </c:pt>
                <c:pt idx="11">
                  <c:v>0.30816193885027654</c:v>
                </c:pt>
                <c:pt idx="12">
                  <c:v>0.36005745115670862</c:v>
                </c:pt>
                <c:pt idx="13">
                  <c:v>0.41698879883265416</c:v>
                </c:pt>
                <c:pt idx="14">
                  <c:v>0.47685187883081798</c:v>
                </c:pt>
                <c:pt idx="15">
                  <c:v>0.53701982507744095</c:v>
                </c:pt>
                <c:pt idx="16">
                  <c:v>0.59483231696430061</c:v>
                </c:pt>
                <c:pt idx="17">
                  <c:v>0.64809253926152011</c:v>
                </c:pt>
                <c:pt idx="18">
                  <c:v>0.69538077842960777</c:v>
                </c:pt>
                <c:pt idx="19">
                  <c:v>0.73610848441906251</c:v>
                </c:pt>
                <c:pt idx="20">
                  <c:v>0.77036882908201665</c:v>
                </c:pt>
              </c:numCache>
            </c:numRef>
          </c:val>
          <c:extLst>
            <c:ext xmlns:c16="http://schemas.microsoft.com/office/drawing/2014/chart" uri="{C3380CC4-5D6E-409C-BE32-E72D297353CC}">
              <c16:uniqueId val="{00000007-0C27-4458-B867-6B27ADC5A272}"/>
            </c:ext>
          </c:extLst>
        </c:ser>
        <c:ser>
          <c:idx val="8"/>
          <c:order val="8"/>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8.5966743370198884E-2</c:v>
                </c:pt>
                <c:pt idx="1">
                  <c:v>9.2954861241594036E-2</c:v>
                </c:pt>
                <c:pt idx="2">
                  <c:v>0.10165101213956228</c:v>
                </c:pt>
                <c:pt idx="3">
                  <c:v>0.11250105176108331</c:v>
                </c:pt>
                <c:pt idx="4">
                  <c:v>0.12605925794364736</c:v>
                </c:pt>
                <c:pt idx="5">
                  <c:v>0.14299805304713498</c:v>
                </c:pt>
                <c:pt idx="6">
                  <c:v>0.16410135434667697</c:v>
                </c:pt>
                <c:pt idx="7">
                  <c:v>0.19022582839546703</c:v>
                </c:pt>
                <c:pt idx="8">
                  <c:v>0.22220984478611183</c:v>
                </c:pt>
                <c:pt idx="9">
                  <c:v>0.26071267157880729</c:v>
                </c:pt>
                <c:pt idx="10">
                  <c:v>0.30598571920646733</c:v>
                </c:pt>
                <c:pt idx="11">
                  <c:v>0.35761975263774565</c:v>
                </c:pt>
                <c:pt idx="12">
                  <c:v>0.41436570820039442</c:v>
                </c:pt>
                <c:pt idx="13">
                  <c:v>0.47415161567302216</c:v>
                </c:pt>
                <c:pt idx="14">
                  <c:v>0.53436440289901199</c:v>
                </c:pt>
                <c:pt idx="15">
                  <c:v>0.59233390202799341</c:v>
                </c:pt>
                <c:pt idx="16">
                  <c:v>0.64583404837931202</c:v>
                </c:pt>
                <c:pt idx="17">
                  <c:v>0.69340738754716869</c:v>
                </c:pt>
                <c:pt idx="18">
                  <c:v>0.73443032930498009</c:v>
                </c:pt>
                <c:pt idx="19">
                  <c:v>0.76897042577521424</c:v>
                </c:pt>
                <c:pt idx="20">
                  <c:v>0.79755122816181101</c:v>
                </c:pt>
              </c:numCache>
            </c:numRef>
          </c:val>
          <c:extLst>
            <c:ext xmlns:c16="http://schemas.microsoft.com/office/drawing/2014/chart" uri="{C3380CC4-5D6E-409C-BE32-E72D297353CC}">
              <c16:uniqueId val="{00000008-0C27-4458-B867-6B27ADC5A272}"/>
            </c:ext>
          </c:extLst>
        </c:ser>
        <c:ser>
          <c:idx val="9"/>
          <c:order val="9"/>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9.2609291443765368E-2</c:v>
                </c:pt>
                <c:pt idx="1">
                  <c:v>0.10122040386251122</c:v>
                </c:pt>
                <c:pt idx="2">
                  <c:v>0.11196328880730282</c:v>
                </c:pt>
                <c:pt idx="3">
                  <c:v>0.12538709917428706</c:v>
                </c:pt>
                <c:pt idx="4">
                  <c:v>0.1421589532749144</c:v>
                </c:pt>
                <c:pt idx="5">
                  <c:v>0.16305830798599399</c:v>
                </c:pt>
                <c:pt idx="6">
                  <c:v>0.18894005842991266</c:v>
                </c:pt>
                <c:pt idx="7">
                  <c:v>0.22064626510442475</c:v>
                </c:pt>
                <c:pt idx="8">
                  <c:v>0.25884864976943078</c:v>
                </c:pt>
                <c:pt idx="9">
                  <c:v>0.30382232891941824</c:v>
                </c:pt>
                <c:pt idx="10">
                  <c:v>0.35519239156173654</c:v>
                </c:pt>
                <c:pt idx="11">
                  <c:v>0.41174877479902089</c:v>
                </c:pt>
                <c:pt idx="12">
                  <c:v>0.47145221371693952</c:v>
                </c:pt>
                <c:pt idx="13">
                  <c:v>0.53170442895114545</c:v>
                </c:pt>
                <c:pt idx="14">
                  <c:v>0.5898264402245551</c:v>
                </c:pt>
                <c:pt idx="15">
                  <c:v>0.64356359469367264</c:v>
                </c:pt>
                <c:pt idx="16">
                  <c:v>0.69142081679770151</c:v>
                </c:pt>
                <c:pt idx="17">
                  <c:v>0.73273917037119363</c:v>
                </c:pt>
                <c:pt idx="18">
                  <c:v>0.76756010152325382</c:v>
                </c:pt>
                <c:pt idx="19">
                  <c:v>0.79639196586006999</c:v>
                </c:pt>
                <c:pt idx="20">
                  <c:v>0.81998092646731691</c:v>
                </c:pt>
              </c:numCache>
            </c:numRef>
          </c:val>
          <c:extLst>
            <c:ext xmlns:c16="http://schemas.microsoft.com/office/drawing/2014/chart" uri="{C3380CC4-5D6E-409C-BE32-E72D297353CC}">
              <c16:uniqueId val="{00000009-0C27-4458-B867-6B27ADC5A27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0.10079402892836409</c:v>
                </c:pt>
                <c:pt idx="1">
                  <c:v>0.11143085245881253</c:v>
                </c:pt>
                <c:pt idx="2">
                  <c:v>0.12472159801655107</c:v>
                </c:pt>
                <c:pt idx="3">
                  <c:v>0.14132807121894492</c:v>
                </c:pt>
                <c:pt idx="4">
                  <c:v>0.16202519842493501</c:v>
                </c:pt>
                <c:pt idx="5">
                  <c:v>0.18766593060543393</c:v>
                </c:pt>
                <c:pt idx="6">
                  <c:v>0.21909570554126034</c:v>
                </c:pt>
                <c:pt idx="7">
                  <c:v>0.25699824095805551</c:v>
                </c:pt>
                <c:pt idx="8">
                  <c:v>0.30167183767763239</c:v>
                </c:pt>
                <c:pt idx="9">
                  <c:v>0.35277551731881568</c:v>
                </c:pt>
                <c:pt idx="10">
                  <c:v>0.40913821533656075</c:v>
                </c:pt>
                <c:pt idx="11">
                  <c:v>0.46875392021008289</c:v>
                </c:pt>
                <c:pt idx="12">
                  <c:v>0.52904013220264789</c:v>
                </c:pt>
                <c:pt idx="13">
                  <c:v>0.58731010156517616</c:v>
                </c:pt>
                <c:pt idx="14">
                  <c:v>0.64128127119551126</c:v>
                </c:pt>
                <c:pt idx="15">
                  <c:v>0.68942108751310982</c:v>
                </c:pt>
                <c:pt idx="16">
                  <c:v>0.73103497665953332</c:v>
                </c:pt>
                <c:pt idx="17">
                  <c:v>0.76613779541975568</c:v>
                </c:pt>
                <c:pt idx="18">
                  <c:v>0.79522223837938399</c:v>
                </c:pt>
                <c:pt idx="19">
                  <c:v>0.81902802361955607</c:v>
                </c:pt>
                <c:pt idx="20">
                  <c:v>0.83836707085137008</c:v>
                </c:pt>
              </c:numCache>
            </c:numRef>
          </c:val>
          <c:extLst>
            <c:ext xmlns:c16="http://schemas.microsoft.com/office/drawing/2014/chart" uri="{C3380CC4-5D6E-409C-BE32-E72D297353CC}">
              <c16:uniqueId val="{0000000A-0C27-4458-B867-6B27ADC5A272}"/>
            </c:ext>
          </c:extLst>
        </c:ser>
        <c:ser>
          <c:idx val="11"/>
          <c:order val="11"/>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0.11090368891027452</c:v>
                </c:pt>
                <c:pt idx="1">
                  <c:v>0.1240626899119176</c:v>
                </c:pt>
                <c:pt idx="2">
                  <c:v>0.14050533299024637</c:v>
                </c:pt>
                <c:pt idx="3">
                  <c:v>0.16100194743737994</c:v>
                </c:pt>
                <c:pt idx="4">
                  <c:v>0.18640337285658762</c:v>
                </c:pt>
                <c:pt idx="5">
                  <c:v>0.21755811747439219</c:v>
                </c:pt>
                <c:pt idx="6">
                  <c:v>0.25516144277267105</c:v>
                </c:pt>
                <c:pt idx="7">
                  <c:v>0.29953431171630018</c:v>
                </c:pt>
                <c:pt idx="8">
                  <c:v>0.35036927580941485</c:v>
                </c:pt>
                <c:pt idx="9">
                  <c:v>0.40653424414262063</c:v>
                </c:pt>
                <c:pt idx="10">
                  <c:v>0.46605698205924001</c:v>
                </c:pt>
                <c:pt idx="11">
                  <c:v>0.52637174343737769</c:v>
                </c:pt>
                <c:pt idx="12">
                  <c:v>0.58478505927121116</c:v>
                </c:pt>
                <c:pt idx="13">
                  <c:v>0.63898717434961616</c:v>
                </c:pt>
                <c:pt idx="14">
                  <c:v>0.68740822387273237</c:v>
                </c:pt>
                <c:pt idx="15">
                  <c:v>0.72931771905920739</c:v>
                </c:pt>
                <c:pt idx="16">
                  <c:v>0.76470344746094465</c:v>
                </c:pt>
                <c:pt idx="17">
                  <c:v>0.79404197339567106</c:v>
                </c:pt>
                <c:pt idx="18">
                  <c:v>0.81806622000513785</c:v>
                </c:pt>
                <c:pt idx="19">
                  <c:v>0.83758765467400775</c:v>
                </c:pt>
                <c:pt idx="20">
                  <c:v>0.85338562533857054</c:v>
                </c:pt>
              </c:numCache>
            </c:numRef>
          </c:val>
          <c:extLst>
            <c:ext xmlns:c16="http://schemas.microsoft.com/office/drawing/2014/chart" uri="{C3380CC4-5D6E-409C-BE32-E72D297353CC}">
              <c16:uniqueId val="{0000000B-0C27-4458-B867-6B27ADC5A272}"/>
            </c:ext>
          </c:extLst>
        </c:ser>
        <c:ser>
          <c:idx val="12"/>
          <c:order val="12"/>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0.12341031077124233</c:v>
                </c:pt>
                <c:pt idx="1">
                  <c:v>0.13969066504350985</c:v>
                </c:pt>
                <c:pt idx="2">
                  <c:v>0.15998847681455181</c:v>
                </c:pt>
                <c:pt idx="3">
                  <c:v>0.18515231252547351</c:v>
                </c:pt>
                <c:pt idx="4">
                  <c:v>0.21603345077578734</c:v>
                </c:pt>
                <c:pt idx="5">
                  <c:v>0.25333825026187984</c:v>
                </c:pt>
                <c:pt idx="6">
                  <c:v>0.29740981384140219</c:v>
                </c:pt>
                <c:pt idx="7">
                  <c:v>0.3479738094224008</c:v>
                </c:pt>
                <c:pt idx="8">
                  <c:v>0.40393707309479598</c:v>
                </c:pt>
                <c:pt idx="9">
                  <c:v>0.4633616457296606</c:v>
                </c:pt>
                <c:pt idx="10">
                  <c:v>0.52369949516890169</c:v>
                </c:pt>
                <c:pt idx="11">
                  <c:v>0.58225148973576357</c:v>
                </c:pt>
                <c:pt idx="12">
                  <c:v>0.63668140410531116</c:v>
                </c:pt>
                <c:pt idx="13">
                  <c:v>0.68538225294320509</c:v>
                </c:pt>
                <c:pt idx="14">
                  <c:v>0.72758737035267429</c:v>
                </c:pt>
                <c:pt idx="15">
                  <c:v>0.76325699858304175</c:v>
                </c:pt>
                <c:pt idx="16">
                  <c:v>0.79285109882512084</c:v>
                </c:pt>
                <c:pt idx="17">
                  <c:v>0.81709544311850246</c:v>
                </c:pt>
                <c:pt idx="18">
                  <c:v>0.83680082820266111</c:v>
                </c:pt>
                <c:pt idx="19">
                  <c:v>0.85274956161799509</c:v>
                </c:pt>
                <c:pt idx="20">
                  <c:v>0.86563800339492292</c:v>
                </c:pt>
              </c:numCache>
            </c:numRef>
          </c:val>
          <c:extLst>
            <c:ext xmlns:c16="http://schemas.microsoft.com/office/drawing/2014/chart" uri="{C3380CC4-5D6E-409C-BE32-E72D297353CC}">
              <c16:uniqueId val="{0000000C-0C27-4458-B867-6B27ADC5A272}"/>
            </c:ext>
          </c:extLst>
        </c:ser>
        <c:ser>
          <c:idx val="13"/>
          <c:order val="13"/>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0.13888399418631478</c:v>
                </c:pt>
                <c:pt idx="1">
                  <c:v>0.15898470838512194</c:v>
                </c:pt>
                <c:pt idx="2">
                  <c:v>0.18391267639572045</c:v>
                </c:pt>
                <c:pt idx="3">
                  <c:v>0.21452165385770228</c:v>
                </c:pt>
                <c:pt idx="4">
                  <c:v>0.25152865594179996</c:v>
                </c:pt>
                <c:pt idx="5">
                  <c:v>0.29529840345536723</c:v>
                </c:pt>
                <c:pt idx="6">
                  <c:v>0.34558925701559035</c:v>
                </c:pt>
                <c:pt idx="7">
                  <c:v>0.40134691154709157</c:v>
                </c:pt>
                <c:pt idx="8">
                  <c:v>0.46066815714458226</c:v>
                </c:pt>
                <c:pt idx="9">
                  <c:v>0.52102362155360871</c:v>
                </c:pt>
                <c:pt idx="10">
                  <c:v>0.57970957248290012</c:v>
                </c:pt>
                <c:pt idx="11">
                  <c:v>0.63436406390525302</c:v>
                </c:pt>
                <c:pt idx="12">
                  <c:v>0.68334320471755117</c:v>
                </c:pt>
                <c:pt idx="13">
                  <c:v>0.72584390526163989</c:v>
                </c:pt>
                <c:pt idx="14">
                  <c:v>0.76179839070019661</c:v>
                </c:pt>
                <c:pt idx="15">
                  <c:v>0.79164954284919098</c:v>
                </c:pt>
                <c:pt idx="16">
                  <c:v>0.81611562028922024</c:v>
                </c:pt>
                <c:pt idx="17">
                  <c:v>0.8360065250132046</c:v>
                </c:pt>
                <c:pt idx="18">
                  <c:v>0.85210741284546065</c:v>
                </c:pt>
                <c:pt idx="19">
                  <c:v>0.86511911951343268</c:v>
                </c:pt>
                <c:pt idx="20">
                  <c:v>0.87563695943624886</c:v>
                </c:pt>
              </c:numCache>
            </c:numRef>
          </c:val>
          <c:extLst>
            <c:ext xmlns:c16="http://schemas.microsoft.com/office/drawing/2014/chart" uri="{C3380CC4-5D6E-409C-BE32-E72D297353CC}">
              <c16:uniqueId val="{0000000D-0C27-4458-B867-6B27ADC5A272}"/>
            </c:ext>
          </c:extLst>
        </c:ser>
        <c:ser>
          <c:idx val="14"/>
          <c:order val="14"/>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0.15799056403474657</c:v>
                </c:pt>
                <c:pt idx="1">
                  <c:v>0.18268439072583662</c:v>
                </c:pt>
                <c:pt idx="2">
                  <c:v>0.21302267371839023</c:v>
                </c:pt>
                <c:pt idx="3">
                  <c:v>0.24973264984333457</c:v>
                </c:pt>
                <c:pt idx="4">
                  <c:v>0.29320013658423449</c:v>
                </c:pt>
                <c:pt idx="5">
                  <c:v>0.34321575389862791</c:v>
                </c:pt>
                <c:pt idx="6">
                  <c:v>0.39876396626039928</c:v>
                </c:pt>
                <c:pt idx="7">
                  <c:v>0.45797676158518658</c:v>
                </c:pt>
                <c:pt idx="8">
                  <c:v>0.51834435830233605</c:v>
                </c:pt>
                <c:pt idx="9">
                  <c:v>0.57715949012450896</c:v>
                </c:pt>
                <c:pt idx="10">
                  <c:v>0.63203526069231686</c:v>
                </c:pt>
                <c:pt idx="11">
                  <c:v>0.6812911121534494</c:v>
                </c:pt>
                <c:pt idx="12">
                  <c:v>0.72408730049314451</c:v>
                </c:pt>
                <c:pt idx="13">
                  <c:v>0.76032756674294555</c:v>
                </c:pt>
                <c:pt idx="14">
                  <c:v>0.79043723394017729</c:v>
                </c:pt>
                <c:pt idx="15">
                  <c:v>0.81512667869584654</c:v>
                </c:pt>
                <c:pt idx="16">
                  <c:v>0.83520467831524803</c:v>
                </c:pt>
                <c:pt idx="17">
                  <c:v>0.85145912136615953</c:v>
                </c:pt>
                <c:pt idx="18">
                  <c:v>0.86459527978049533</c:v>
                </c:pt>
                <c:pt idx="19">
                  <c:v>0.8752132787716963</c:v>
                </c:pt>
                <c:pt idx="20">
                  <c:v>0.88380808431604296</c:v>
                </c:pt>
              </c:numCache>
            </c:numRef>
          </c:val>
          <c:extLst>
            <c:ext xmlns:c16="http://schemas.microsoft.com/office/drawing/2014/chart" uri="{C3380CC4-5D6E-409C-BE32-E72D297353CC}">
              <c16:uniqueId val="{0000000E-0C27-4458-B867-6B27ADC5A272}"/>
            </c:ext>
          </c:extLst>
        </c:ser>
        <c:ser>
          <c:idx val="15"/>
          <c:order val="1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0.181467381281923</c:v>
                </c:pt>
                <c:pt idx="1">
                  <c:v>0.21153645598740603</c:v>
                </c:pt>
                <c:pt idx="2">
                  <c:v>0.24795021955976584</c:v>
                </c:pt>
                <c:pt idx="3">
                  <c:v>0.29111506590626923</c:v>
                </c:pt>
                <c:pt idx="4">
                  <c:v>0.34085343181820976</c:v>
                </c:pt>
                <c:pt idx="5">
                  <c:v>0.3961884413350818</c:v>
                </c:pt>
                <c:pt idx="6">
                  <c:v>0.45528770359107429</c:v>
                </c:pt>
                <c:pt idx="7">
                  <c:v>0.51566194259059361</c:v>
                </c:pt>
                <c:pt idx="8">
                  <c:v>0.57460142831480077</c:v>
                </c:pt>
                <c:pt idx="9">
                  <c:v>0.62969510491454006</c:v>
                </c:pt>
                <c:pt idx="10">
                  <c:v>0.67922601121063009</c:v>
                </c:pt>
                <c:pt idx="11">
                  <c:v>0.72231753478571592</c:v>
                </c:pt>
                <c:pt idx="12">
                  <c:v>0.75884447069718852</c:v>
                </c:pt>
                <c:pt idx="13">
                  <c:v>0.7892141008873681</c:v>
                </c:pt>
                <c:pt idx="14">
                  <c:v>0.81412854538023582</c:v>
                </c:pt>
                <c:pt idx="15">
                  <c:v>0.83439522095803997</c:v>
                </c:pt>
                <c:pt idx="16">
                  <c:v>0.8508046290917799</c:v>
                </c:pt>
                <c:pt idx="17">
                  <c:v>0.86406643581146447</c:v>
                </c:pt>
                <c:pt idx="18">
                  <c:v>0.87478557903189946</c:v>
                </c:pt>
                <c:pt idx="19">
                  <c:v>0.8834615395451656</c:v>
                </c:pt>
                <c:pt idx="20">
                  <c:v>0.89049881076332948</c:v>
                </c:pt>
              </c:numCache>
            </c:numRef>
          </c:val>
          <c:extLst>
            <c:ext xmlns:c16="http://schemas.microsoft.com/office/drawing/2014/chart" uri="{C3380CC4-5D6E-409C-BE32-E72D297353CC}">
              <c16:uniqueId val="{0000000F-0C27-4458-B867-6B27ADC5A272}"/>
            </c:ext>
          </c:extLst>
        </c:ser>
        <c:ser>
          <c:idx val="16"/>
          <c:order val="16"/>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0.21006294497048142</c:v>
                </c:pt>
                <c:pt idx="1">
                  <c:v>0.24618135029462782</c:v>
                </c:pt>
                <c:pt idx="2">
                  <c:v>0.28904324078197996</c:v>
                </c:pt>
                <c:pt idx="3">
                  <c:v>0.33850241894563027</c:v>
                </c:pt>
                <c:pt idx="4">
                  <c:v>0.39362053814570086</c:v>
                </c:pt>
                <c:pt idx="5">
                  <c:v>0.45260122686135135</c:v>
                </c:pt>
                <c:pt idx="6">
                  <c:v>0.51297661296744601</c:v>
                </c:pt>
                <c:pt idx="7">
                  <c:v>0.57203557570247154</c:v>
                </c:pt>
                <c:pt idx="8">
                  <c:v>0.62734371052807913</c:v>
                </c:pt>
                <c:pt idx="9">
                  <c:v>0.67714794088735519</c:v>
                </c:pt>
                <c:pt idx="10">
                  <c:v>0.72053458895554912</c:v>
                </c:pt>
                <c:pt idx="11">
                  <c:v>0.75734904764367594</c:v>
                </c:pt>
                <c:pt idx="12">
                  <c:v>0.78798007282378213</c:v>
                </c:pt>
                <c:pt idx="13">
                  <c:v>0.81312114726231333</c:v>
                </c:pt>
                <c:pt idx="14">
                  <c:v>0.83357808543667011</c:v>
                </c:pt>
                <c:pt idx="15">
                  <c:v>0.8501438775015725</c:v>
                </c:pt>
                <c:pt idx="16">
                  <c:v>0.86353253879688907</c:v>
                </c:pt>
                <c:pt idx="17">
                  <c:v>0.87435382045700749</c:v>
                </c:pt>
                <c:pt idx="18">
                  <c:v>0.88311174013513338</c:v>
                </c:pt>
                <c:pt idx="19">
                  <c:v>0.89021473671587836</c:v>
                </c:pt>
                <c:pt idx="20">
                  <c:v>0.89599003535629573</c:v>
                </c:pt>
              </c:numCache>
            </c:numRef>
          </c:val>
          <c:extLst>
            <c:ext xmlns:c16="http://schemas.microsoft.com/office/drawing/2014/chart" uri="{C3380CC4-5D6E-409C-BE32-E72D297353CC}">
              <c16:uniqueId val="{00000010-0C27-4458-B867-6B27ADC5A272}"/>
            </c:ext>
          </c:extLst>
        </c:ser>
        <c:ser>
          <c:idx val="17"/>
          <c:order val="17"/>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0.24442602490981585</c:v>
                </c:pt>
                <c:pt idx="1">
                  <c:v>0.28698470728548209</c:v>
                </c:pt>
                <c:pt idx="2">
                  <c:v>0.33616283986662621</c:v>
                </c:pt>
                <c:pt idx="3">
                  <c:v>0.39106045527793343</c:v>
                </c:pt>
                <c:pt idx="4">
                  <c:v>0.44991757415640954</c:v>
                </c:pt>
                <c:pt idx="5">
                  <c:v>0.51028860926313679</c:v>
                </c:pt>
                <c:pt idx="6">
                  <c:v>0.56946212388053596</c:v>
                </c:pt>
                <c:pt idx="7">
                  <c:v>0.62498119499814109</c:v>
                </c:pt>
                <c:pt idx="8">
                  <c:v>0.67505694325592258</c:v>
                </c:pt>
                <c:pt idx="9">
                  <c:v>0.71873844594268566</c:v>
                </c:pt>
                <c:pt idx="10">
                  <c:v>0.75584124379799023</c:v>
                </c:pt>
                <c:pt idx="11">
                  <c:v>0.78673507925349129</c:v>
                </c:pt>
                <c:pt idx="12">
                  <c:v>0.81210441115532017</c:v>
                </c:pt>
                <c:pt idx="13">
                  <c:v>0.83275320389857599</c:v>
                </c:pt>
                <c:pt idx="14">
                  <c:v>0.84947680764358735</c:v>
                </c:pt>
                <c:pt idx="15">
                  <c:v>0.8629935395010595</c:v>
                </c:pt>
                <c:pt idx="16">
                  <c:v>0.87391796290715684</c:v>
                </c:pt>
                <c:pt idx="17">
                  <c:v>0.88275865382436736</c:v>
                </c:pt>
                <c:pt idx="18">
                  <c:v>0.88992802587996478</c:v>
                </c:pt>
                <c:pt idx="19">
                  <c:v>0.89575661192894851</c:v>
                </c:pt>
                <c:pt idx="20">
                  <c:v>0.9005077425517547</c:v>
                </c:pt>
              </c:numCache>
            </c:numRef>
          </c:val>
          <c:extLst>
            <c:ext xmlns:c16="http://schemas.microsoft.com/office/drawing/2014/chart" uri="{C3380CC4-5D6E-409C-BE32-E72D297353CC}">
              <c16:uniqueId val="{00000011-0C27-4458-B867-6B27ADC5A272}"/>
            </c:ext>
          </c:extLst>
        </c:ser>
        <c:ser>
          <c:idx val="18"/>
          <c:order val="18"/>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0.28493950823716024</c:v>
                </c:pt>
                <c:pt idx="1">
                  <c:v>0.33383481557349592</c:v>
                </c:pt>
                <c:pt idx="2">
                  <c:v>0.38850838846770869</c:v>
                </c:pt>
                <c:pt idx="3">
                  <c:v>0.44723698720049337</c:v>
                </c:pt>
                <c:pt idx="4">
                  <c:v>0.50759817249552541</c:v>
                </c:pt>
                <c:pt idx="5">
                  <c:v>0.56688126733385169</c:v>
                </c:pt>
                <c:pt idx="6">
                  <c:v>0.62260767929785554</c:v>
                </c:pt>
                <c:pt idx="7">
                  <c:v>0.67295306349715411</c:v>
                </c:pt>
                <c:pt idx="8">
                  <c:v>0.71692909085715428</c:v>
                </c:pt>
                <c:pt idx="9">
                  <c:v>0.75432100655101197</c:v>
                </c:pt>
                <c:pt idx="10">
                  <c:v>0.78547905007953256</c:v>
                </c:pt>
                <c:pt idx="11">
                  <c:v>0.81107826378153081</c:v>
                </c:pt>
                <c:pt idx="12">
                  <c:v>0.83192050815036078</c:v>
                </c:pt>
                <c:pt idx="13">
                  <c:v>0.84880336013608026</c:v>
                </c:pt>
                <c:pt idx="14">
                  <c:v>0.86244938826063533</c:v>
                </c:pt>
                <c:pt idx="15">
                  <c:v>0.87347796585997006</c:v>
                </c:pt>
                <c:pt idx="16">
                  <c:v>0.88240224802834966</c:v>
                </c:pt>
                <c:pt idx="17">
                  <c:v>0.88963865225976302</c:v>
                </c:pt>
                <c:pt idx="18">
                  <c:v>0.89552104866534932</c:v>
                </c:pt>
                <c:pt idx="19">
                  <c:v>0.90031547245637122</c:v>
                </c:pt>
                <c:pt idx="20">
                  <c:v>0.90423343358322728</c:v>
                </c:pt>
              </c:numCache>
            </c:numRef>
          </c:val>
          <c:extLst>
            <c:ext xmlns:c16="http://schemas.microsoft.com/office/drawing/2014/chart" uri="{C3380CC4-5D6E-409C-BE32-E72D297353CC}">
              <c16:uniqueId val="{00000012-0C27-4458-B867-6B27ADC5A272}"/>
            </c:ext>
          </c:extLst>
        </c:ser>
        <c:ser>
          <c:idx val="19"/>
          <c:order val="19"/>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0.33151846345946367</c:v>
                </c:pt>
                <c:pt idx="1">
                  <c:v>0.38596453054260044</c:v>
                </c:pt>
                <c:pt idx="2">
                  <c:v>0.44455970658513533</c:v>
                </c:pt>
                <c:pt idx="3">
                  <c:v>0.50490554477542005</c:v>
                </c:pt>
                <c:pt idx="4">
                  <c:v>0.56429320338435274</c:v>
                </c:pt>
                <c:pt idx="5">
                  <c:v>0.62022328790505277</c:v>
                </c:pt>
                <c:pt idx="6">
                  <c:v>0.67083634993381136</c:v>
                </c:pt>
                <c:pt idx="7">
                  <c:v>0.71510651102504041</c:v>
                </c:pt>
                <c:pt idx="8">
                  <c:v>0.75278828450985991</c:v>
                </c:pt>
                <c:pt idx="9">
                  <c:v>0.78421191563240988</c:v>
                </c:pt>
                <c:pt idx="10">
                  <c:v>0.81004263178845548</c:v>
                </c:pt>
                <c:pt idx="11">
                  <c:v>0.83107992966493083</c:v>
                </c:pt>
                <c:pt idx="12">
                  <c:v>0.84812347516909881</c:v>
                </c:pt>
                <c:pt idx="13">
                  <c:v>0.86190003498335299</c:v>
                </c:pt>
                <c:pt idx="14">
                  <c:v>0.87303378840807799</c:v>
                </c:pt>
                <c:pt idx="15">
                  <c:v>0.88204248983689582</c:v>
                </c:pt>
                <c:pt idx="16">
                  <c:v>0.88934658959326973</c:v>
                </c:pt>
                <c:pt idx="17">
                  <c:v>0.89528332468242178</c:v>
                </c:pt>
                <c:pt idx="18">
                  <c:v>0.90012146158615514</c:v>
                </c:pt>
                <c:pt idx="19">
                  <c:v>0.90407468930203427</c:v>
                </c:pt>
                <c:pt idx="20">
                  <c:v>0.90731295761518571</c:v>
                </c:pt>
              </c:numCache>
            </c:numRef>
          </c:val>
          <c:extLst>
            <c:ext xmlns:c16="http://schemas.microsoft.com/office/drawing/2014/chart" uri="{C3380CC4-5D6E-409C-BE32-E72D297353CC}">
              <c16:uniqueId val="{00000013-0C27-4458-B867-6B27ADC5A272}"/>
            </c:ext>
          </c:extLst>
        </c:ser>
        <c:ser>
          <c:idx val="20"/>
          <c:order val="2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0.38342907136550808</c:v>
                </c:pt>
                <c:pt idx="1">
                  <c:v>0.4418859716735466</c:v>
                </c:pt>
                <c:pt idx="2">
                  <c:v>0.50221096921088371</c:v>
                </c:pt>
                <c:pt idx="3">
                  <c:v>0.56169813213401532</c:v>
                </c:pt>
                <c:pt idx="4">
                  <c:v>0.61782814879691061</c:v>
                </c:pt>
                <c:pt idx="5">
                  <c:v>0.66870685406288954</c:v>
                </c:pt>
                <c:pt idx="6">
                  <c:v>0.71327069603444715</c:v>
                </c:pt>
                <c:pt idx="7">
                  <c:v>0.75124302753928496</c:v>
                </c:pt>
                <c:pt idx="8">
                  <c:v>0.7829336066991851</c:v>
                </c:pt>
                <c:pt idx="9">
                  <c:v>0.80899744176553401</c:v>
                </c:pt>
                <c:pt idx="10">
                  <c:v>0.8302313995889572</c:v>
                </c:pt>
                <c:pt idx="11">
                  <c:v>0.84743709250625143</c:v>
                </c:pt>
                <c:pt idx="12">
                  <c:v>0.86134542914682088</c:v>
                </c:pt>
                <c:pt idx="13">
                  <c:v>0.87258538925667495</c:v>
                </c:pt>
                <c:pt idx="14">
                  <c:v>0.8816793460114275</c:v>
                </c:pt>
                <c:pt idx="15">
                  <c:v>0.88905181134975964</c:v>
                </c:pt>
                <c:pt idx="16">
                  <c:v>0.89504341888166994</c:v>
                </c:pt>
                <c:pt idx="17">
                  <c:v>0.89992569317189919</c:v>
                </c:pt>
                <c:pt idx="18">
                  <c:v>0.90391452487827739</c:v>
                </c:pt>
                <c:pt idx="19">
                  <c:v>0.90718160512428603</c:v>
                </c:pt>
                <c:pt idx="20">
                  <c:v>0.90986374379262236</c:v>
                </c:pt>
              </c:numCache>
            </c:numRef>
          </c:val>
          <c:extLst>
            <c:ext xmlns:c16="http://schemas.microsoft.com/office/drawing/2014/chart" uri="{C3380CC4-5D6E-409C-BE32-E72D297353CC}">
              <c16:uniqueId val="{00000014-0C27-4458-B867-6B27ADC5A272}"/>
            </c:ext>
          </c:extLst>
        </c:ser>
        <c:bandFmts>
          <c:bandFmt>
            <c:idx val="0"/>
            <c:spPr>
              <a:solidFill>
                <a:schemeClr val="accent1">
                  <a:shade val="32000"/>
                </a:schemeClr>
              </a:solidFill>
              <a:ln/>
              <a:effectLst/>
              <a:sp3d prstMaterial="flat"/>
            </c:spPr>
          </c:bandFmt>
          <c:bandFmt>
            <c:idx val="1"/>
            <c:spPr>
              <a:solidFill>
                <a:schemeClr val="accent1">
                  <a:shade val="35000"/>
                </a:schemeClr>
              </a:solidFill>
              <a:ln/>
              <a:effectLst/>
              <a:sp3d prstMaterial="flat"/>
            </c:spPr>
          </c:bandFmt>
          <c:bandFmt>
            <c:idx val="2"/>
            <c:spPr>
              <a:solidFill>
                <a:schemeClr val="accent1">
                  <a:shade val="38000"/>
                </a:schemeClr>
              </a:solidFill>
              <a:ln/>
              <a:effectLst/>
              <a:sp3d prstMaterial="flat"/>
            </c:spPr>
          </c:bandFmt>
          <c:bandFmt>
            <c:idx val="3"/>
            <c:spPr>
              <a:solidFill>
                <a:schemeClr val="accent1">
                  <a:shade val="40000"/>
                </a:schemeClr>
              </a:solidFill>
              <a:ln/>
              <a:effectLst/>
              <a:sp3d prstMaterial="flat"/>
            </c:spPr>
          </c:bandFmt>
          <c:bandFmt>
            <c:idx val="4"/>
            <c:spPr>
              <a:solidFill>
                <a:schemeClr val="accent1">
                  <a:shade val="43000"/>
                </a:schemeClr>
              </a:solidFill>
              <a:ln/>
              <a:effectLst/>
              <a:sp3d prstMaterial="flat"/>
            </c:spPr>
          </c:bandFmt>
          <c:bandFmt>
            <c:idx val="5"/>
            <c:spPr>
              <a:solidFill>
                <a:schemeClr val="accent1">
                  <a:shade val="46000"/>
                </a:schemeClr>
              </a:solidFill>
              <a:ln/>
              <a:effectLst/>
              <a:sp3d prstMaterial="flat"/>
            </c:spPr>
          </c:bandFmt>
          <c:bandFmt>
            <c:idx val="6"/>
            <c:spPr>
              <a:solidFill>
                <a:schemeClr val="accent1">
                  <a:shade val="48000"/>
                </a:schemeClr>
              </a:solidFill>
              <a:ln/>
              <a:effectLst/>
              <a:sp3d prstMaterial="flat"/>
            </c:spPr>
          </c:bandFmt>
          <c:bandFmt>
            <c:idx val="7"/>
            <c:spPr>
              <a:solidFill>
                <a:schemeClr val="accent1">
                  <a:shade val="51000"/>
                </a:schemeClr>
              </a:solidFill>
              <a:ln/>
              <a:effectLst/>
              <a:sp3d prstMaterial="flat"/>
            </c:spPr>
          </c:bandFmt>
          <c:bandFmt>
            <c:idx val="8"/>
            <c:spPr>
              <a:solidFill>
                <a:schemeClr val="accent1">
                  <a:shade val="54000"/>
                </a:schemeClr>
              </a:solidFill>
              <a:ln/>
              <a:effectLst/>
              <a:sp3d prstMaterial="flat"/>
            </c:spPr>
          </c:bandFmt>
          <c:bandFmt>
            <c:idx val="9"/>
            <c:spPr>
              <a:solidFill>
                <a:schemeClr val="accent1">
                  <a:shade val="56000"/>
                </a:schemeClr>
              </a:solidFill>
              <a:ln/>
              <a:effectLst/>
              <a:sp3d prstMaterial="flat"/>
            </c:spPr>
          </c:bandFmt>
          <c:bandFmt>
            <c:idx val="10"/>
            <c:spPr>
              <a:solidFill>
                <a:schemeClr val="accent1">
                  <a:shade val="59000"/>
                </a:schemeClr>
              </a:solidFill>
              <a:ln/>
              <a:effectLst/>
              <a:sp3d prstMaterial="flat"/>
            </c:spPr>
          </c:bandFmt>
          <c:bandFmt>
            <c:idx val="11"/>
            <c:spPr>
              <a:solidFill>
                <a:schemeClr val="accent1">
                  <a:shade val="62000"/>
                </a:schemeClr>
              </a:solidFill>
              <a:ln/>
              <a:effectLst/>
              <a:sp3d prstMaterial="flat"/>
            </c:spPr>
          </c:bandFmt>
          <c:bandFmt>
            <c:idx val="12"/>
            <c:spPr>
              <a:solidFill>
                <a:schemeClr val="accent1">
                  <a:shade val="65000"/>
                </a:schemeClr>
              </a:solidFill>
              <a:ln/>
              <a:effectLst/>
              <a:sp3d prstMaterial="flat"/>
            </c:spPr>
          </c:bandFmt>
          <c:bandFmt>
            <c:idx val="13"/>
            <c:spPr>
              <a:solidFill>
                <a:schemeClr val="accent1">
                  <a:shade val="67000"/>
                </a:schemeClr>
              </a:solidFill>
              <a:ln/>
              <a:effectLst/>
              <a:sp3d prstMaterial="flat"/>
            </c:spPr>
          </c:bandFmt>
          <c:bandFmt>
            <c:idx val="14"/>
            <c:spPr>
              <a:solidFill>
                <a:schemeClr val="accent1">
                  <a:shade val="70000"/>
                </a:schemeClr>
              </a:solidFill>
              <a:ln/>
              <a:effectLst/>
              <a:sp3d prstMaterial="flat"/>
            </c:spPr>
          </c:bandFmt>
          <c:bandFmt>
            <c:idx val="15"/>
            <c:spPr>
              <a:solidFill>
                <a:schemeClr val="accent1">
                  <a:shade val="73000"/>
                </a:schemeClr>
              </a:solidFill>
              <a:ln/>
              <a:effectLst/>
              <a:sp3d prstMaterial="flat"/>
            </c:spPr>
          </c:bandFmt>
          <c:bandFmt>
            <c:idx val="16"/>
            <c:spPr>
              <a:solidFill>
                <a:schemeClr val="accent1">
                  <a:shade val="75000"/>
                </a:schemeClr>
              </a:solidFill>
              <a:ln/>
              <a:effectLst/>
              <a:sp3d prstMaterial="flat"/>
            </c:spPr>
          </c:bandFmt>
          <c:bandFmt>
            <c:idx val="17"/>
            <c:spPr>
              <a:solidFill>
                <a:schemeClr val="accent1">
                  <a:shade val="78000"/>
                </a:schemeClr>
              </a:solidFill>
              <a:ln/>
              <a:effectLst/>
              <a:sp3d prstMaterial="flat"/>
            </c:spPr>
          </c:bandFmt>
          <c:bandFmt>
            <c:idx val="18"/>
            <c:spPr>
              <a:solidFill>
                <a:schemeClr val="accent1">
                  <a:shade val="81000"/>
                </a:schemeClr>
              </a:solidFill>
              <a:ln/>
              <a:effectLst/>
              <a:sp3d prstMaterial="flat"/>
            </c:spPr>
          </c:bandFmt>
          <c:bandFmt>
            <c:idx val="19"/>
            <c:spPr>
              <a:solidFill>
                <a:schemeClr val="accent1">
                  <a:shade val="83000"/>
                </a:schemeClr>
              </a:solidFill>
              <a:ln/>
              <a:effectLst/>
              <a:sp3d prstMaterial="flat"/>
            </c:spPr>
          </c:bandFmt>
          <c:bandFmt>
            <c:idx val="20"/>
            <c:spPr>
              <a:solidFill>
                <a:schemeClr val="accent1">
                  <a:shade val="86000"/>
                </a:schemeClr>
              </a:solidFill>
              <a:ln/>
              <a:effectLst/>
              <a:sp3d prstMaterial="flat"/>
            </c:spPr>
          </c:bandFmt>
          <c:bandFmt>
            <c:idx val="21"/>
            <c:spPr>
              <a:solidFill>
                <a:schemeClr val="accent1">
                  <a:shade val="89000"/>
                </a:schemeClr>
              </a:solidFill>
              <a:ln/>
              <a:effectLst/>
              <a:sp3d prstMaterial="flat"/>
            </c:spPr>
          </c:bandFmt>
          <c:bandFmt>
            <c:idx val="22"/>
            <c:spPr>
              <a:solidFill>
                <a:schemeClr val="accent1">
                  <a:shade val="91000"/>
                </a:schemeClr>
              </a:solidFill>
              <a:ln/>
              <a:effectLst/>
              <a:sp3d prstMaterial="flat"/>
            </c:spPr>
          </c:bandFmt>
          <c:bandFmt>
            <c:idx val="23"/>
            <c:spPr>
              <a:solidFill>
                <a:schemeClr val="accent1">
                  <a:shade val="94000"/>
                </a:schemeClr>
              </a:solidFill>
              <a:ln/>
              <a:effectLst/>
              <a:sp3d prstMaterial="flat"/>
            </c:spPr>
          </c:bandFmt>
          <c:bandFmt>
            <c:idx val="24"/>
            <c:spPr>
              <a:solidFill>
                <a:schemeClr val="accent1">
                  <a:shade val="97000"/>
                </a:schemeClr>
              </a:solidFill>
              <a:ln/>
              <a:effectLst/>
              <a:sp3d prstMaterial="flat"/>
            </c:spPr>
          </c:bandFmt>
          <c:bandFmt>
            <c:idx val="25"/>
            <c:spPr>
              <a:solidFill>
                <a:schemeClr val="accent1"/>
              </a:solidFill>
              <a:ln/>
              <a:effectLst/>
              <a:sp3d prstMaterial="flat"/>
            </c:spPr>
          </c:bandFmt>
          <c:bandFmt>
            <c:idx val="26"/>
            <c:spPr>
              <a:solidFill>
                <a:schemeClr val="accent1">
                  <a:tint val="98000"/>
                </a:schemeClr>
              </a:solidFill>
              <a:ln/>
              <a:effectLst/>
              <a:sp3d prstMaterial="flat"/>
            </c:spPr>
          </c:bandFmt>
          <c:bandFmt>
            <c:idx val="27"/>
            <c:spPr>
              <a:solidFill>
                <a:schemeClr val="accent1">
                  <a:tint val="95000"/>
                </a:schemeClr>
              </a:solidFill>
              <a:ln/>
              <a:effectLst/>
              <a:sp3d prstMaterial="flat"/>
            </c:spPr>
          </c:bandFmt>
          <c:bandFmt>
            <c:idx val="28"/>
            <c:spPr>
              <a:solidFill>
                <a:schemeClr val="accent1">
                  <a:tint val="92000"/>
                </a:schemeClr>
              </a:solidFill>
              <a:ln/>
              <a:effectLst/>
              <a:sp3d prstMaterial="flat"/>
            </c:spPr>
          </c:bandFmt>
          <c:bandFmt>
            <c:idx val="29"/>
            <c:spPr>
              <a:solidFill>
                <a:schemeClr val="accent1">
                  <a:tint val="90000"/>
                </a:schemeClr>
              </a:solidFill>
              <a:ln/>
              <a:effectLst/>
              <a:sp3d prstMaterial="flat"/>
            </c:spPr>
          </c:bandFmt>
          <c:bandFmt>
            <c:idx val="30"/>
            <c:spPr>
              <a:solidFill>
                <a:schemeClr val="accent1">
                  <a:tint val="87000"/>
                </a:schemeClr>
              </a:solidFill>
              <a:ln/>
              <a:effectLst/>
              <a:sp3d prstMaterial="flat"/>
            </c:spPr>
          </c:bandFmt>
          <c:bandFmt>
            <c:idx val="31"/>
            <c:spPr>
              <a:solidFill>
                <a:schemeClr val="accent1">
                  <a:tint val="84000"/>
                </a:schemeClr>
              </a:solidFill>
              <a:ln/>
              <a:effectLst/>
              <a:sp3d prstMaterial="flat"/>
            </c:spPr>
          </c:bandFmt>
          <c:bandFmt>
            <c:idx val="32"/>
            <c:spPr>
              <a:solidFill>
                <a:schemeClr val="accent1">
                  <a:tint val="82000"/>
                </a:schemeClr>
              </a:solidFill>
              <a:ln/>
              <a:effectLst/>
              <a:sp3d prstMaterial="flat"/>
            </c:spPr>
          </c:bandFmt>
          <c:bandFmt>
            <c:idx val="33"/>
            <c:spPr>
              <a:solidFill>
                <a:schemeClr val="accent1">
                  <a:tint val="79000"/>
                </a:schemeClr>
              </a:solidFill>
              <a:ln/>
              <a:effectLst/>
              <a:sp3d prstMaterial="flat"/>
            </c:spPr>
          </c:bandFmt>
          <c:bandFmt>
            <c:idx val="34"/>
            <c:spPr>
              <a:solidFill>
                <a:schemeClr val="accent1">
                  <a:tint val="76000"/>
                </a:schemeClr>
              </a:solidFill>
              <a:ln/>
              <a:effectLst/>
              <a:sp3d prstMaterial="flat"/>
            </c:spPr>
          </c:bandFmt>
          <c:bandFmt>
            <c:idx val="35"/>
            <c:spPr>
              <a:solidFill>
                <a:schemeClr val="accent1">
                  <a:tint val="74000"/>
                </a:schemeClr>
              </a:solidFill>
              <a:ln/>
              <a:effectLst/>
              <a:sp3d prstMaterial="flat"/>
            </c:spPr>
          </c:bandFmt>
          <c:bandFmt>
            <c:idx val="36"/>
            <c:spPr>
              <a:solidFill>
                <a:schemeClr val="accent1">
                  <a:tint val="71000"/>
                </a:schemeClr>
              </a:solidFill>
              <a:ln/>
              <a:effectLst/>
              <a:sp3d prstMaterial="flat"/>
            </c:spPr>
          </c:bandFmt>
          <c:bandFmt>
            <c:idx val="37"/>
            <c:spPr>
              <a:solidFill>
                <a:schemeClr val="accent1">
                  <a:tint val="68000"/>
                </a:schemeClr>
              </a:solidFill>
              <a:ln/>
              <a:effectLst/>
              <a:sp3d prstMaterial="flat"/>
            </c:spPr>
          </c:bandFmt>
          <c:bandFmt>
            <c:idx val="38"/>
            <c:spPr>
              <a:solidFill>
                <a:schemeClr val="accent1">
                  <a:tint val="65000"/>
                </a:schemeClr>
              </a:solidFill>
              <a:ln/>
              <a:effectLst/>
              <a:sp3d prstMaterial="flat"/>
            </c:spPr>
          </c:bandFmt>
          <c:bandFmt>
            <c:idx val="39"/>
            <c:spPr>
              <a:solidFill>
                <a:schemeClr val="accent1">
                  <a:tint val="63000"/>
                </a:schemeClr>
              </a:solidFill>
              <a:ln/>
              <a:effectLst/>
              <a:sp3d prstMaterial="flat"/>
            </c:spPr>
          </c:bandFmt>
          <c:bandFmt>
            <c:idx val="40"/>
            <c:spPr>
              <a:solidFill>
                <a:schemeClr val="accent1">
                  <a:tint val="60000"/>
                </a:schemeClr>
              </a:solidFill>
              <a:ln/>
              <a:effectLst/>
              <a:sp3d prstMaterial="flat"/>
            </c:spPr>
          </c:bandFmt>
          <c:bandFmt>
            <c:idx val="41"/>
            <c:spPr>
              <a:solidFill>
                <a:schemeClr val="accent1">
                  <a:tint val="57000"/>
                </a:schemeClr>
              </a:solidFill>
              <a:ln/>
              <a:effectLst/>
              <a:sp3d prstMaterial="flat"/>
            </c:spPr>
          </c:bandFmt>
          <c:bandFmt>
            <c:idx val="42"/>
            <c:spPr>
              <a:solidFill>
                <a:schemeClr val="accent1">
                  <a:tint val="55000"/>
                </a:schemeClr>
              </a:solidFill>
              <a:ln/>
              <a:effectLst/>
              <a:sp3d prstMaterial="flat"/>
            </c:spPr>
          </c:bandFmt>
          <c:bandFmt>
            <c:idx val="43"/>
            <c:spPr>
              <a:solidFill>
                <a:schemeClr val="accent1">
                  <a:tint val="52000"/>
                </a:schemeClr>
              </a:solidFill>
              <a:ln/>
              <a:effectLst/>
              <a:sp3d prstMaterial="flat"/>
            </c:spPr>
          </c:bandFmt>
          <c:bandFmt>
            <c:idx val="44"/>
            <c:spPr>
              <a:solidFill>
                <a:schemeClr val="accent1">
                  <a:tint val="49000"/>
                </a:schemeClr>
              </a:solidFill>
              <a:ln/>
              <a:effectLst/>
              <a:sp3d prstMaterial="flat"/>
            </c:spPr>
          </c:bandFmt>
          <c:bandFmt>
            <c:idx val="45"/>
            <c:spPr>
              <a:solidFill>
                <a:schemeClr val="accent1">
                  <a:tint val="47000"/>
                </a:schemeClr>
              </a:solidFill>
              <a:ln/>
              <a:effectLst/>
              <a:sp3d prstMaterial="flat"/>
            </c:spPr>
          </c:bandFmt>
          <c:bandFmt>
            <c:idx val="46"/>
            <c:spPr>
              <a:solidFill>
                <a:schemeClr val="accent1">
                  <a:tint val="44000"/>
                </a:schemeClr>
              </a:solidFill>
              <a:ln/>
              <a:effectLst/>
              <a:sp3d prstMaterial="flat"/>
            </c:spPr>
          </c:bandFmt>
          <c:bandFmt>
            <c:idx val="47"/>
            <c:spPr>
              <a:solidFill>
                <a:schemeClr val="accent1">
                  <a:tint val="41000"/>
                </a:schemeClr>
              </a:solidFill>
              <a:ln/>
              <a:effectLst/>
              <a:sp3d prstMaterial="flat"/>
            </c:spPr>
          </c:bandFmt>
          <c:bandFmt>
            <c:idx val="48"/>
            <c:spPr>
              <a:solidFill>
                <a:schemeClr val="accent1">
                  <a:tint val="39000"/>
                </a:schemeClr>
              </a:solidFill>
              <a:ln/>
              <a:effectLst/>
              <a:sp3d prstMaterial="flat"/>
            </c:spPr>
          </c:bandFmt>
          <c:bandFmt>
            <c:idx val="49"/>
            <c:spPr>
              <a:solidFill>
                <a:schemeClr val="accent1">
                  <a:tint val="36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886482939632541E-2"/>
          <c:y val="0.15782407407407409"/>
          <c:w val="0.89022462817147852"/>
          <c:h val="0.72088764946048411"/>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'Figure Backup'!$C$3:$C$10</c:f>
              <c:numCache>
                <c:formatCode>General</c:formatCode>
                <c:ptCount val="8"/>
                <c:pt idx="0">
                  <c:v>1</c:v>
                </c:pt>
                <c:pt idx="1">
                  <c:v>0.61818181818181817</c:v>
                </c:pt>
                <c:pt idx="2">
                  <c:v>0.43636363636363634</c:v>
                </c:pt>
                <c:pt idx="3">
                  <c:v>0.81818181818181823</c:v>
                </c:pt>
                <c:pt idx="4">
                  <c:v>0.2</c:v>
                </c:pt>
                <c:pt idx="5">
                  <c:v>0.38181818181818183</c:v>
                </c:pt>
                <c:pt idx="6">
                  <c:v>0.41818181818181815</c:v>
                </c:pt>
                <c:pt idx="7">
                  <c:v>0.14545454545454545</c:v>
                </c:pt>
              </c:numCache>
            </c:numRef>
          </c:xVal>
          <c:yVal>
            <c:numRef>
              <c:f>'Figure Backup'!$B$3:$B$10</c:f>
              <c:numCache>
                <c:formatCode>General</c:formatCode>
                <c:ptCount val="8"/>
                <c:pt idx="0">
                  <c:v>0.33333333333333331</c:v>
                </c:pt>
                <c:pt idx="1">
                  <c:v>0.51515151515151514</c:v>
                </c:pt>
                <c:pt idx="2">
                  <c:v>0.31818181818181818</c:v>
                </c:pt>
                <c:pt idx="3">
                  <c:v>0.34848484848484851</c:v>
                </c:pt>
                <c:pt idx="4">
                  <c:v>0.66666666666666663</c:v>
                </c:pt>
                <c:pt idx="5">
                  <c:v>1</c:v>
                </c:pt>
                <c:pt idx="6">
                  <c:v>0.68181818181818177</c:v>
                </c:pt>
                <c:pt idx="7">
                  <c:v>0.51515151515151514</c:v>
                </c:pt>
              </c:numCache>
            </c:numRef>
          </c:yVal>
          <c:smooth val="0"/>
          <c:extLst>
            <c:ext xmlns:c16="http://schemas.microsoft.com/office/drawing/2014/chart" uri="{C3380CC4-5D6E-409C-BE32-E72D297353CC}">
              <c16:uniqueId val="{00000000-29EE-401F-BB7E-BD46B88D81DE}"/>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2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0.38342907136550808</c:v>
                </c:pt>
                <c:pt idx="1">
                  <c:v>0.4418859716735466</c:v>
                </c:pt>
                <c:pt idx="2">
                  <c:v>0.50221096921088371</c:v>
                </c:pt>
                <c:pt idx="3">
                  <c:v>0.56169813213401532</c:v>
                </c:pt>
                <c:pt idx="4">
                  <c:v>0.61782814879691061</c:v>
                </c:pt>
                <c:pt idx="5">
                  <c:v>0.66870685406288954</c:v>
                </c:pt>
                <c:pt idx="6">
                  <c:v>0.71327069603444715</c:v>
                </c:pt>
                <c:pt idx="7">
                  <c:v>0.75124302753928496</c:v>
                </c:pt>
                <c:pt idx="8">
                  <c:v>0.7829336066991851</c:v>
                </c:pt>
                <c:pt idx="9">
                  <c:v>0.80899744176553401</c:v>
                </c:pt>
                <c:pt idx="10">
                  <c:v>0.8302313995889572</c:v>
                </c:pt>
                <c:pt idx="11">
                  <c:v>0.84743709250625143</c:v>
                </c:pt>
                <c:pt idx="12">
                  <c:v>0.86134542914682088</c:v>
                </c:pt>
                <c:pt idx="13">
                  <c:v>0.87258538925667495</c:v>
                </c:pt>
                <c:pt idx="14">
                  <c:v>0.8816793460114275</c:v>
                </c:pt>
                <c:pt idx="15">
                  <c:v>0.88905181134975964</c:v>
                </c:pt>
                <c:pt idx="16">
                  <c:v>0.89504341888166994</c:v>
                </c:pt>
                <c:pt idx="17">
                  <c:v>0.89992569317189919</c:v>
                </c:pt>
                <c:pt idx="18">
                  <c:v>0.90391452487827739</c:v>
                </c:pt>
                <c:pt idx="19">
                  <c:v>0.90718160512428603</c:v>
                </c:pt>
                <c:pt idx="20">
                  <c:v>0.90986374379262236</c:v>
                </c:pt>
              </c:numCache>
            </c:numRef>
          </c:val>
          <c:extLst>
            <c:ext xmlns:c16="http://schemas.microsoft.com/office/drawing/2014/chart" uri="{C3380CC4-5D6E-409C-BE32-E72D297353CC}">
              <c16:uniqueId val="{00000000-A1B8-4B7E-8C31-14F2FDA4B3BD}"/>
            </c:ext>
          </c:extLst>
        </c:ser>
        <c:ser>
          <c:idx val="19"/>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0.33151846345946367</c:v>
                </c:pt>
                <c:pt idx="1">
                  <c:v>0.38596453054260044</c:v>
                </c:pt>
                <c:pt idx="2">
                  <c:v>0.44455970658513533</c:v>
                </c:pt>
                <c:pt idx="3">
                  <c:v>0.50490554477542005</c:v>
                </c:pt>
                <c:pt idx="4">
                  <c:v>0.56429320338435274</c:v>
                </c:pt>
                <c:pt idx="5">
                  <c:v>0.62022328790505277</c:v>
                </c:pt>
                <c:pt idx="6">
                  <c:v>0.67083634993381136</c:v>
                </c:pt>
                <c:pt idx="7">
                  <c:v>0.71510651102504041</c:v>
                </c:pt>
                <c:pt idx="8">
                  <c:v>0.75278828450985991</c:v>
                </c:pt>
                <c:pt idx="9">
                  <c:v>0.78421191563240988</c:v>
                </c:pt>
                <c:pt idx="10">
                  <c:v>0.81004263178845548</c:v>
                </c:pt>
                <c:pt idx="11">
                  <c:v>0.83107992966493083</c:v>
                </c:pt>
                <c:pt idx="12">
                  <c:v>0.84812347516909881</c:v>
                </c:pt>
                <c:pt idx="13">
                  <c:v>0.86190003498335299</c:v>
                </c:pt>
                <c:pt idx="14">
                  <c:v>0.87303378840807799</c:v>
                </c:pt>
                <c:pt idx="15">
                  <c:v>0.88204248983689582</c:v>
                </c:pt>
                <c:pt idx="16">
                  <c:v>0.88934658959326973</c:v>
                </c:pt>
                <c:pt idx="17">
                  <c:v>0.89528332468242178</c:v>
                </c:pt>
                <c:pt idx="18">
                  <c:v>0.90012146158615514</c:v>
                </c:pt>
                <c:pt idx="19">
                  <c:v>0.90407468930203427</c:v>
                </c:pt>
                <c:pt idx="20">
                  <c:v>0.90731295761518571</c:v>
                </c:pt>
              </c:numCache>
            </c:numRef>
          </c:val>
          <c:extLst>
            <c:ext xmlns:c16="http://schemas.microsoft.com/office/drawing/2014/chart" uri="{C3380CC4-5D6E-409C-BE32-E72D297353CC}">
              <c16:uniqueId val="{00000001-A1B8-4B7E-8C31-14F2FDA4B3BD}"/>
            </c:ext>
          </c:extLst>
        </c:ser>
        <c:ser>
          <c:idx val="18"/>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0.28493950823716024</c:v>
                </c:pt>
                <c:pt idx="1">
                  <c:v>0.33383481557349592</c:v>
                </c:pt>
                <c:pt idx="2">
                  <c:v>0.38850838846770869</c:v>
                </c:pt>
                <c:pt idx="3">
                  <c:v>0.44723698720049337</c:v>
                </c:pt>
                <c:pt idx="4">
                  <c:v>0.50759817249552541</c:v>
                </c:pt>
                <c:pt idx="5">
                  <c:v>0.56688126733385169</c:v>
                </c:pt>
                <c:pt idx="6">
                  <c:v>0.62260767929785554</c:v>
                </c:pt>
                <c:pt idx="7">
                  <c:v>0.67295306349715411</c:v>
                </c:pt>
                <c:pt idx="8">
                  <c:v>0.71692909085715428</c:v>
                </c:pt>
                <c:pt idx="9">
                  <c:v>0.75432100655101197</c:v>
                </c:pt>
                <c:pt idx="10">
                  <c:v>0.78547905007953256</c:v>
                </c:pt>
                <c:pt idx="11">
                  <c:v>0.81107826378153081</c:v>
                </c:pt>
                <c:pt idx="12">
                  <c:v>0.83192050815036078</c:v>
                </c:pt>
                <c:pt idx="13">
                  <c:v>0.84880336013608026</c:v>
                </c:pt>
                <c:pt idx="14">
                  <c:v>0.86244938826063533</c:v>
                </c:pt>
                <c:pt idx="15">
                  <c:v>0.87347796585997006</c:v>
                </c:pt>
                <c:pt idx="16">
                  <c:v>0.88240224802834966</c:v>
                </c:pt>
                <c:pt idx="17">
                  <c:v>0.88963865225976302</c:v>
                </c:pt>
                <c:pt idx="18">
                  <c:v>0.89552104866534932</c:v>
                </c:pt>
                <c:pt idx="19">
                  <c:v>0.90031547245637122</c:v>
                </c:pt>
                <c:pt idx="20">
                  <c:v>0.90423343358322728</c:v>
                </c:pt>
              </c:numCache>
            </c:numRef>
          </c:val>
          <c:extLst>
            <c:ext xmlns:c16="http://schemas.microsoft.com/office/drawing/2014/chart" uri="{C3380CC4-5D6E-409C-BE32-E72D297353CC}">
              <c16:uniqueId val="{00000002-A1B8-4B7E-8C31-14F2FDA4B3BD}"/>
            </c:ext>
          </c:extLst>
        </c:ser>
        <c:ser>
          <c:idx val="17"/>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0.24442602490981585</c:v>
                </c:pt>
                <c:pt idx="1">
                  <c:v>0.28698470728548209</c:v>
                </c:pt>
                <c:pt idx="2">
                  <c:v>0.33616283986662621</c:v>
                </c:pt>
                <c:pt idx="3">
                  <c:v>0.39106045527793343</c:v>
                </c:pt>
                <c:pt idx="4">
                  <c:v>0.44991757415640954</c:v>
                </c:pt>
                <c:pt idx="5">
                  <c:v>0.51028860926313679</c:v>
                </c:pt>
                <c:pt idx="6">
                  <c:v>0.56946212388053596</c:v>
                </c:pt>
                <c:pt idx="7">
                  <c:v>0.62498119499814109</c:v>
                </c:pt>
                <c:pt idx="8">
                  <c:v>0.67505694325592258</c:v>
                </c:pt>
                <c:pt idx="9">
                  <c:v>0.71873844594268566</c:v>
                </c:pt>
                <c:pt idx="10">
                  <c:v>0.75584124379799023</c:v>
                </c:pt>
                <c:pt idx="11">
                  <c:v>0.78673507925349129</c:v>
                </c:pt>
                <c:pt idx="12">
                  <c:v>0.81210441115532017</c:v>
                </c:pt>
                <c:pt idx="13">
                  <c:v>0.83275320389857599</c:v>
                </c:pt>
                <c:pt idx="14">
                  <c:v>0.84947680764358735</c:v>
                </c:pt>
                <c:pt idx="15">
                  <c:v>0.8629935395010595</c:v>
                </c:pt>
                <c:pt idx="16">
                  <c:v>0.87391796290715684</c:v>
                </c:pt>
                <c:pt idx="17">
                  <c:v>0.88275865382436736</c:v>
                </c:pt>
                <c:pt idx="18">
                  <c:v>0.88992802587996478</c:v>
                </c:pt>
                <c:pt idx="19">
                  <c:v>0.89575661192894851</c:v>
                </c:pt>
                <c:pt idx="20">
                  <c:v>0.9005077425517547</c:v>
                </c:pt>
              </c:numCache>
            </c:numRef>
          </c:val>
          <c:extLst>
            <c:ext xmlns:c16="http://schemas.microsoft.com/office/drawing/2014/chart" uri="{C3380CC4-5D6E-409C-BE32-E72D297353CC}">
              <c16:uniqueId val="{00000003-A1B8-4B7E-8C31-14F2FDA4B3BD}"/>
            </c:ext>
          </c:extLst>
        </c:ser>
        <c:ser>
          <c:idx val="16"/>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0.21006294497048142</c:v>
                </c:pt>
                <c:pt idx="1">
                  <c:v>0.24618135029462782</c:v>
                </c:pt>
                <c:pt idx="2">
                  <c:v>0.28904324078197996</c:v>
                </c:pt>
                <c:pt idx="3">
                  <c:v>0.33850241894563027</c:v>
                </c:pt>
                <c:pt idx="4">
                  <c:v>0.39362053814570086</c:v>
                </c:pt>
                <c:pt idx="5">
                  <c:v>0.45260122686135135</c:v>
                </c:pt>
                <c:pt idx="6">
                  <c:v>0.51297661296744601</c:v>
                </c:pt>
                <c:pt idx="7">
                  <c:v>0.57203557570247154</c:v>
                </c:pt>
                <c:pt idx="8">
                  <c:v>0.62734371052807913</c:v>
                </c:pt>
                <c:pt idx="9">
                  <c:v>0.67714794088735519</c:v>
                </c:pt>
                <c:pt idx="10">
                  <c:v>0.72053458895554912</c:v>
                </c:pt>
                <c:pt idx="11">
                  <c:v>0.75734904764367594</c:v>
                </c:pt>
                <c:pt idx="12">
                  <c:v>0.78798007282378213</c:v>
                </c:pt>
                <c:pt idx="13">
                  <c:v>0.81312114726231333</c:v>
                </c:pt>
                <c:pt idx="14">
                  <c:v>0.83357808543667011</c:v>
                </c:pt>
                <c:pt idx="15">
                  <c:v>0.8501438775015725</c:v>
                </c:pt>
                <c:pt idx="16">
                  <c:v>0.86353253879688907</c:v>
                </c:pt>
                <c:pt idx="17">
                  <c:v>0.87435382045700749</c:v>
                </c:pt>
                <c:pt idx="18">
                  <c:v>0.88311174013513338</c:v>
                </c:pt>
                <c:pt idx="19">
                  <c:v>0.89021473671587836</c:v>
                </c:pt>
                <c:pt idx="20">
                  <c:v>0.89599003535629573</c:v>
                </c:pt>
              </c:numCache>
            </c:numRef>
          </c:val>
          <c:extLst>
            <c:ext xmlns:c16="http://schemas.microsoft.com/office/drawing/2014/chart" uri="{C3380CC4-5D6E-409C-BE32-E72D297353CC}">
              <c16:uniqueId val="{00000004-A1B8-4B7E-8C31-14F2FDA4B3BD}"/>
            </c:ext>
          </c:extLst>
        </c:ser>
        <c:ser>
          <c:idx val="1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0.181467381281923</c:v>
                </c:pt>
                <c:pt idx="1">
                  <c:v>0.21153645598740603</c:v>
                </c:pt>
                <c:pt idx="2">
                  <c:v>0.24795021955976584</c:v>
                </c:pt>
                <c:pt idx="3">
                  <c:v>0.29111506590626923</c:v>
                </c:pt>
                <c:pt idx="4">
                  <c:v>0.34085343181820976</c:v>
                </c:pt>
                <c:pt idx="5">
                  <c:v>0.3961884413350818</c:v>
                </c:pt>
                <c:pt idx="6">
                  <c:v>0.45528770359107429</c:v>
                </c:pt>
                <c:pt idx="7">
                  <c:v>0.51566194259059361</c:v>
                </c:pt>
                <c:pt idx="8">
                  <c:v>0.57460142831480077</c:v>
                </c:pt>
                <c:pt idx="9">
                  <c:v>0.62969510491454006</c:v>
                </c:pt>
                <c:pt idx="10">
                  <c:v>0.67922601121063009</c:v>
                </c:pt>
                <c:pt idx="11">
                  <c:v>0.72231753478571592</c:v>
                </c:pt>
                <c:pt idx="12">
                  <c:v>0.75884447069718852</c:v>
                </c:pt>
                <c:pt idx="13">
                  <c:v>0.7892141008873681</c:v>
                </c:pt>
                <c:pt idx="14">
                  <c:v>0.81412854538023582</c:v>
                </c:pt>
                <c:pt idx="15">
                  <c:v>0.83439522095803997</c:v>
                </c:pt>
                <c:pt idx="16">
                  <c:v>0.8508046290917799</c:v>
                </c:pt>
                <c:pt idx="17">
                  <c:v>0.86406643581146447</c:v>
                </c:pt>
                <c:pt idx="18">
                  <c:v>0.87478557903189946</c:v>
                </c:pt>
                <c:pt idx="19">
                  <c:v>0.8834615395451656</c:v>
                </c:pt>
                <c:pt idx="20">
                  <c:v>0.89049881076332948</c:v>
                </c:pt>
              </c:numCache>
            </c:numRef>
          </c:val>
          <c:extLst>
            <c:ext xmlns:c16="http://schemas.microsoft.com/office/drawing/2014/chart" uri="{C3380CC4-5D6E-409C-BE32-E72D297353CC}">
              <c16:uniqueId val="{00000005-A1B8-4B7E-8C31-14F2FDA4B3BD}"/>
            </c:ext>
          </c:extLst>
        </c:ser>
        <c:ser>
          <c:idx val="14"/>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0.15799056403474657</c:v>
                </c:pt>
                <c:pt idx="1">
                  <c:v>0.18268439072583662</c:v>
                </c:pt>
                <c:pt idx="2">
                  <c:v>0.21302267371839023</c:v>
                </c:pt>
                <c:pt idx="3">
                  <c:v>0.24973264984333457</c:v>
                </c:pt>
                <c:pt idx="4">
                  <c:v>0.29320013658423449</c:v>
                </c:pt>
                <c:pt idx="5">
                  <c:v>0.34321575389862791</c:v>
                </c:pt>
                <c:pt idx="6">
                  <c:v>0.39876396626039928</c:v>
                </c:pt>
                <c:pt idx="7">
                  <c:v>0.45797676158518658</c:v>
                </c:pt>
                <c:pt idx="8">
                  <c:v>0.51834435830233605</c:v>
                </c:pt>
                <c:pt idx="9">
                  <c:v>0.57715949012450896</c:v>
                </c:pt>
                <c:pt idx="10">
                  <c:v>0.63203526069231686</c:v>
                </c:pt>
                <c:pt idx="11">
                  <c:v>0.6812911121534494</c:v>
                </c:pt>
                <c:pt idx="12">
                  <c:v>0.72408730049314451</c:v>
                </c:pt>
                <c:pt idx="13">
                  <c:v>0.76032756674294555</c:v>
                </c:pt>
                <c:pt idx="14">
                  <c:v>0.79043723394017729</c:v>
                </c:pt>
                <c:pt idx="15">
                  <c:v>0.81512667869584654</c:v>
                </c:pt>
                <c:pt idx="16">
                  <c:v>0.83520467831524803</c:v>
                </c:pt>
                <c:pt idx="17">
                  <c:v>0.85145912136615953</c:v>
                </c:pt>
                <c:pt idx="18">
                  <c:v>0.86459527978049533</c:v>
                </c:pt>
                <c:pt idx="19">
                  <c:v>0.8752132787716963</c:v>
                </c:pt>
                <c:pt idx="20">
                  <c:v>0.88380808431604296</c:v>
                </c:pt>
              </c:numCache>
            </c:numRef>
          </c:val>
          <c:extLst>
            <c:ext xmlns:c16="http://schemas.microsoft.com/office/drawing/2014/chart" uri="{C3380CC4-5D6E-409C-BE32-E72D297353CC}">
              <c16:uniqueId val="{00000006-A1B8-4B7E-8C31-14F2FDA4B3BD}"/>
            </c:ext>
          </c:extLst>
        </c:ser>
        <c:ser>
          <c:idx val="13"/>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0.13888399418631478</c:v>
                </c:pt>
                <c:pt idx="1">
                  <c:v>0.15898470838512194</c:v>
                </c:pt>
                <c:pt idx="2">
                  <c:v>0.18391267639572045</c:v>
                </c:pt>
                <c:pt idx="3">
                  <c:v>0.21452165385770228</c:v>
                </c:pt>
                <c:pt idx="4">
                  <c:v>0.25152865594179996</c:v>
                </c:pt>
                <c:pt idx="5">
                  <c:v>0.29529840345536723</c:v>
                </c:pt>
                <c:pt idx="6">
                  <c:v>0.34558925701559035</c:v>
                </c:pt>
                <c:pt idx="7">
                  <c:v>0.40134691154709157</c:v>
                </c:pt>
                <c:pt idx="8">
                  <c:v>0.46066815714458226</c:v>
                </c:pt>
                <c:pt idx="9">
                  <c:v>0.52102362155360871</c:v>
                </c:pt>
                <c:pt idx="10">
                  <c:v>0.57970957248290012</c:v>
                </c:pt>
                <c:pt idx="11">
                  <c:v>0.63436406390525302</c:v>
                </c:pt>
                <c:pt idx="12">
                  <c:v>0.68334320471755117</c:v>
                </c:pt>
                <c:pt idx="13">
                  <c:v>0.72584390526163989</c:v>
                </c:pt>
                <c:pt idx="14">
                  <c:v>0.76179839070019661</c:v>
                </c:pt>
                <c:pt idx="15">
                  <c:v>0.79164954284919098</c:v>
                </c:pt>
                <c:pt idx="16">
                  <c:v>0.81611562028922024</c:v>
                </c:pt>
                <c:pt idx="17">
                  <c:v>0.8360065250132046</c:v>
                </c:pt>
                <c:pt idx="18">
                  <c:v>0.85210741284546065</c:v>
                </c:pt>
                <c:pt idx="19">
                  <c:v>0.86511911951343268</c:v>
                </c:pt>
                <c:pt idx="20">
                  <c:v>0.87563695943624886</c:v>
                </c:pt>
              </c:numCache>
            </c:numRef>
          </c:val>
          <c:extLst>
            <c:ext xmlns:c16="http://schemas.microsoft.com/office/drawing/2014/chart" uri="{C3380CC4-5D6E-409C-BE32-E72D297353CC}">
              <c16:uniqueId val="{00000007-A1B8-4B7E-8C31-14F2FDA4B3BD}"/>
            </c:ext>
          </c:extLst>
        </c:ser>
        <c:ser>
          <c:idx val="12"/>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0.12341031077124233</c:v>
                </c:pt>
                <c:pt idx="1">
                  <c:v>0.13969066504350985</c:v>
                </c:pt>
                <c:pt idx="2">
                  <c:v>0.15998847681455181</c:v>
                </c:pt>
                <c:pt idx="3">
                  <c:v>0.18515231252547351</c:v>
                </c:pt>
                <c:pt idx="4">
                  <c:v>0.21603345077578734</c:v>
                </c:pt>
                <c:pt idx="5">
                  <c:v>0.25333825026187984</c:v>
                </c:pt>
                <c:pt idx="6">
                  <c:v>0.29740981384140219</c:v>
                </c:pt>
                <c:pt idx="7">
                  <c:v>0.3479738094224008</c:v>
                </c:pt>
                <c:pt idx="8">
                  <c:v>0.40393707309479598</c:v>
                </c:pt>
                <c:pt idx="9">
                  <c:v>0.4633616457296606</c:v>
                </c:pt>
                <c:pt idx="10">
                  <c:v>0.52369949516890169</c:v>
                </c:pt>
                <c:pt idx="11">
                  <c:v>0.58225148973576357</c:v>
                </c:pt>
                <c:pt idx="12">
                  <c:v>0.63668140410531116</c:v>
                </c:pt>
                <c:pt idx="13">
                  <c:v>0.68538225294320509</c:v>
                </c:pt>
                <c:pt idx="14">
                  <c:v>0.72758737035267429</c:v>
                </c:pt>
                <c:pt idx="15">
                  <c:v>0.76325699858304175</c:v>
                </c:pt>
                <c:pt idx="16">
                  <c:v>0.79285109882512084</c:v>
                </c:pt>
                <c:pt idx="17">
                  <c:v>0.81709544311850246</c:v>
                </c:pt>
                <c:pt idx="18">
                  <c:v>0.83680082820266111</c:v>
                </c:pt>
                <c:pt idx="19">
                  <c:v>0.85274956161799509</c:v>
                </c:pt>
                <c:pt idx="20">
                  <c:v>0.86563800339492292</c:v>
                </c:pt>
              </c:numCache>
            </c:numRef>
          </c:val>
          <c:extLst>
            <c:ext xmlns:c16="http://schemas.microsoft.com/office/drawing/2014/chart" uri="{C3380CC4-5D6E-409C-BE32-E72D297353CC}">
              <c16:uniqueId val="{00000008-A1B8-4B7E-8C31-14F2FDA4B3BD}"/>
            </c:ext>
          </c:extLst>
        </c:ser>
        <c:ser>
          <c:idx val="11"/>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0.11090368891027452</c:v>
                </c:pt>
                <c:pt idx="1">
                  <c:v>0.1240626899119176</c:v>
                </c:pt>
                <c:pt idx="2">
                  <c:v>0.14050533299024637</c:v>
                </c:pt>
                <c:pt idx="3">
                  <c:v>0.16100194743737994</c:v>
                </c:pt>
                <c:pt idx="4">
                  <c:v>0.18640337285658762</c:v>
                </c:pt>
                <c:pt idx="5">
                  <c:v>0.21755811747439219</c:v>
                </c:pt>
                <c:pt idx="6">
                  <c:v>0.25516144277267105</c:v>
                </c:pt>
                <c:pt idx="7">
                  <c:v>0.29953431171630018</c:v>
                </c:pt>
                <c:pt idx="8">
                  <c:v>0.35036927580941485</c:v>
                </c:pt>
                <c:pt idx="9">
                  <c:v>0.40653424414262063</c:v>
                </c:pt>
                <c:pt idx="10">
                  <c:v>0.46605698205924001</c:v>
                </c:pt>
                <c:pt idx="11">
                  <c:v>0.52637174343737769</c:v>
                </c:pt>
                <c:pt idx="12">
                  <c:v>0.58478505927121116</c:v>
                </c:pt>
                <c:pt idx="13">
                  <c:v>0.63898717434961616</c:v>
                </c:pt>
                <c:pt idx="14">
                  <c:v>0.68740822387273237</c:v>
                </c:pt>
                <c:pt idx="15">
                  <c:v>0.72931771905920739</c:v>
                </c:pt>
                <c:pt idx="16">
                  <c:v>0.76470344746094465</c:v>
                </c:pt>
                <c:pt idx="17">
                  <c:v>0.79404197339567106</c:v>
                </c:pt>
                <c:pt idx="18">
                  <c:v>0.81806622000513785</c:v>
                </c:pt>
                <c:pt idx="19">
                  <c:v>0.83758765467400775</c:v>
                </c:pt>
                <c:pt idx="20">
                  <c:v>0.85338562533857054</c:v>
                </c:pt>
              </c:numCache>
            </c:numRef>
          </c:val>
          <c:extLst>
            <c:ext xmlns:c16="http://schemas.microsoft.com/office/drawing/2014/chart" uri="{C3380CC4-5D6E-409C-BE32-E72D297353CC}">
              <c16:uniqueId val="{00000009-A1B8-4B7E-8C31-14F2FDA4B3BD}"/>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0.10079402892836409</c:v>
                </c:pt>
                <c:pt idx="1">
                  <c:v>0.11143085245881253</c:v>
                </c:pt>
                <c:pt idx="2">
                  <c:v>0.12472159801655107</c:v>
                </c:pt>
                <c:pt idx="3">
                  <c:v>0.14132807121894492</c:v>
                </c:pt>
                <c:pt idx="4">
                  <c:v>0.16202519842493501</c:v>
                </c:pt>
                <c:pt idx="5">
                  <c:v>0.18766593060543393</c:v>
                </c:pt>
                <c:pt idx="6">
                  <c:v>0.21909570554126034</c:v>
                </c:pt>
                <c:pt idx="7">
                  <c:v>0.25699824095805551</c:v>
                </c:pt>
                <c:pt idx="8">
                  <c:v>0.30167183767763239</c:v>
                </c:pt>
                <c:pt idx="9">
                  <c:v>0.35277551731881568</c:v>
                </c:pt>
                <c:pt idx="10">
                  <c:v>0.40913821533656075</c:v>
                </c:pt>
                <c:pt idx="11">
                  <c:v>0.46875392021008289</c:v>
                </c:pt>
                <c:pt idx="12">
                  <c:v>0.52904013220264789</c:v>
                </c:pt>
                <c:pt idx="13">
                  <c:v>0.58731010156517616</c:v>
                </c:pt>
                <c:pt idx="14">
                  <c:v>0.64128127119551126</c:v>
                </c:pt>
                <c:pt idx="15">
                  <c:v>0.68942108751310982</c:v>
                </c:pt>
                <c:pt idx="16">
                  <c:v>0.73103497665953332</c:v>
                </c:pt>
                <c:pt idx="17">
                  <c:v>0.76613779541975568</c:v>
                </c:pt>
                <c:pt idx="18">
                  <c:v>0.79522223837938399</c:v>
                </c:pt>
                <c:pt idx="19">
                  <c:v>0.81902802361955607</c:v>
                </c:pt>
                <c:pt idx="20">
                  <c:v>0.83836707085137008</c:v>
                </c:pt>
              </c:numCache>
            </c:numRef>
          </c:val>
          <c:extLst>
            <c:ext xmlns:c16="http://schemas.microsoft.com/office/drawing/2014/chart" uri="{C3380CC4-5D6E-409C-BE32-E72D297353CC}">
              <c16:uniqueId val="{0000000A-A1B8-4B7E-8C31-14F2FDA4B3BD}"/>
            </c:ext>
          </c:extLst>
        </c:ser>
        <c:ser>
          <c:idx val="9"/>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9.2609291443765368E-2</c:v>
                </c:pt>
                <c:pt idx="1">
                  <c:v>0.10122040386251122</c:v>
                </c:pt>
                <c:pt idx="2">
                  <c:v>0.11196328880730282</c:v>
                </c:pt>
                <c:pt idx="3">
                  <c:v>0.12538709917428706</c:v>
                </c:pt>
                <c:pt idx="4">
                  <c:v>0.1421589532749144</c:v>
                </c:pt>
                <c:pt idx="5">
                  <c:v>0.16305830798599399</c:v>
                </c:pt>
                <c:pt idx="6">
                  <c:v>0.18894005842991266</c:v>
                </c:pt>
                <c:pt idx="7">
                  <c:v>0.22064626510442475</c:v>
                </c:pt>
                <c:pt idx="8">
                  <c:v>0.25884864976943078</c:v>
                </c:pt>
                <c:pt idx="9">
                  <c:v>0.30382232891941824</c:v>
                </c:pt>
                <c:pt idx="10">
                  <c:v>0.35519239156173654</c:v>
                </c:pt>
                <c:pt idx="11">
                  <c:v>0.41174877479902089</c:v>
                </c:pt>
                <c:pt idx="12">
                  <c:v>0.47145221371693952</c:v>
                </c:pt>
                <c:pt idx="13">
                  <c:v>0.53170442895114545</c:v>
                </c:pt>
                <c:pt idx="14">
                  <c:v>0.5898264402245551</c:v>
                </c:pt>
                <c:pt idx="15">
                  <c:v>0.64356359469367264</c:v>
                </c:pt>
                <c:pt idx="16">
                  <c:v>0.69142081679770151</c:v>
                </c:pt>
                <c:pt idx="17">
                  <c:v>0.73273917037119363</c:v>
                </c:pt>
                <c:pt idx="18">
                  <c:v>0.76756010152325382</c:v>
                </c:pt>
                <c:pt idx="19">
                  <c:v>0.79639196586006999</c:v>
                </c:pt>
                <c:pt idx="20">
                  <c:v>0.81998092646731691</c:v>
                </c:pt>
              </c:numCache>
            </c:numRef>
          </c:val>
          <c:extLst>
            <c:ext xmlns:c16="http://schemas.microsoft.com/office/drawing/2014/chart" uri="{C3380CC4-5D6E-409C-BE32-E72D297353CC}">
              <c16:uniqueId val="{0000000B-A1B8-4B7E-8C31-14F2FDA4B3BD}"/>
            </c:ext>
          </c:extLst>
        </c:ser>
        <c:ser>
          <c:idx val="8"/>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8.5966743370198884E-2</c:v>
                </c:pt>
                <c:pt idx="1">
                  <c:v>9.2954861241594036E-2</c:v>
                </c:pt>
                <c:pt idx="2">
                  <c:v>0.10165101213956228</c:v>
                </c:pt>
                <c:pt idx="3">
                  <c:v>0.11250105176108331</c:v>
                </c:pt>
                <c:pt idx="4">
                  <c:v>0.12605925794364736</c:v>
                </c:pt>
                <c:pt idx="5">
                  <c:v>0.14299805304713498</c:v>
                </c:pt>
                <c:pt idx="6">
                  <c:v>0.16410135434667697</c:v>
                </c:pt>
                <c:pt idx="7">
                  <c:v>0.19022582839546703</c:v>
                </c:pt>
                <c:pt idx="8">
                  <c:v>0.22220984478611183</c:v>
                </c:pt>
                <c:pt idx="9">
                  <c:v>0.26071267157880729</c:v>
                </c:pt>
                <c:pt idx="10">
                  <c:v>0.30598571920646733</c:v>
                </c:pt>
                <c:pt idx="11">
                  <c:v>0.35761975263774565</c:v>
                </c:pt>
                <c:pt idx="12">
                  <c:v>0.41436570820039442</c:v>
                </c:pt>
                <c:pt idx="13">
                  <c:v>0.47415161567302216</c:v>
                </c:pt>
                <c:pt idx="14">
                  <c:v>0.53436440289901199</c:v>
                </c:pt>
                <c:pt idx="15">
                  <c:v>0.59233390202799341</c:v>
                </c:pt>
                <c:pt idx="16">
                  <c:v>0.64583404837931202</c:v>
                </c:pt>
                <c:pt idx="17">
                  <c:v>0.69340738754716869</c:v>
                </c:pt>
                <c:pt idx="18">
                  <c:v>0.73443032930498009</c:v>
                </c:pt>
                <c:pt idx="19">
                  <c:v>0.76897042577521424</c:v>
                </c:pt>
                <c:pt idx="20">
                  <c:v>0.79755122816181101</c:v>
                </c:pt>
              </c:numCache>
            </c:numRef>
          </c:val>
          <c:extLst>
            <c:ext xmlns:c16="http://schemas.microsoft.com/office/drawing/2014/chart" uri="{C3380CC4-5D6E-409C-BE32-E72D297353CC}">
              <c16:uniqueId val="{0000000C-A1B8-4B7E-8C31-14F2FDA4B3BD}"/>
            </c:ext>
          </c:extLst>
        </c:ser>
        <c:ser>
          <c:idx val="7"/>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8.0559921496491327E-2</c:v>
                </c:pt>
                <c:pt idx="1">
                  <c:v>8.6247592186200345E-2</c:v>
                </c:pt>
                <c:pt idx="2">
                  <c:v>9.3303822001737841E-2</c:v>
                </c:pt>
                <c:pt idx="3">
                  <c:v>0.10208589775257307</c:v>
                </c:pt>
                <c:pt idx="4">
                  <c:v>0.1130441956044103</c:v>
                </c:pt>
                <c:pt idx="5">
                  <c:v>0.12673813934997008</c:v>
                </c:pt>
                <c:pt idx="6">
                  <c:v>0.1438454447586397</c:v>
                </c:pt>
                <c:pt idx="7">
                  <c:v>0.16515441572976686</c:v>
                </c:pt>
                <c:pt idx="8">
                  <c:v>0.19152331194046435</c:v>
                </c:pt>
                <c:pt idx="9">
                  <c:v>0.22378649165628475</c:v>
                </c:pt>
                <c:pt idx="10">
                  <c:v>0.26259030613231932</c:v>
                </c:pt>
                <c:pt idx="11">
                  <c:v>0.30816193885027654</c:v>
                </c:pt>
                <c:pt idx="12">
                  <c:v>0.36005745115670862</c:v>
                </c:pt>
                <c:pt idx="13">
                  <c:v>0.41698879883265416</c:v>
                </c:pt>
                <c:pt idx="14">
                  <c:v>0.47685187883081798</c:v>
                </c:pt>
                <c:pt idx="15">
                  <c:v>0.53701982507744095</c:v>
                </c:pt>
                <c:pt idx="16">
                  <c:v>0.59483231696430061</c:v>
                </c:pt>
                <c:pt idx="17">
                  <c:v>0.64809253926152011</c:v>
                </c:pt>
                <c:pt idx="18">
                  <c:v>0.69538077842960777</c:v>
                </c:pt>
                <c:pt idx="19">
                  <c:v>0.73610848441906251</c:v>
                </c:pt>
                <c:pt idx="20">
                  <c:v>0.77036882908201665</c:v>
                </c:pt>
              </c:numCache>
            </c:numRef>
          </c:val>
          <c:extLst>
            <c:ext xmlns:c16="http://schemas.microsoft.com/office/drawing/2014/chart" uri="{C3380CC4-5D6E-409C-BE32-E72D297353CC}">
              <c16:uniqueId val="{0000000D-A1B8-4B7E-8C31-14F2FDA4B3BD}"/>
            </c:ext>
          </c:extLst>
        </c:ser>
        <c:ser>
          <c:idx val="6"/>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7.6145065918124422E-2</c:v>
                </c:pt>
                <c:pt idx="1">
                  <c:v>8.0788875466351315E-2</c:v>
                </c:pt>
                <c:pt idx="2">
                  <c:v>8.6531157711457932E-2</c:v>
                </c:pt>
                <c:pt idx="3">
                  <c:v>9.3656209117415706E-2</c:v>
                </c:pt>
                <c:pt idx="4">
                  <c:v>0.10252510512949724</c:v>
                </c:pt>
                <c:pt idx="5">
                  <c:v>0.11359277510153989</c:v>
                </c:pt>
                <c:pt idx="6">
                  <c:v>0.12742380888261146</c:v>
                </c:pt>
                <c:pt idx="7">
                  <c:v>0.14470120295648936</c:v>
                </c:pt>
                <c:pt idx="8">
                  <c:v>0.16621757033344886</c:v>
                </c:pt>
                <c:pt idx="9">
                  <c:v>0.19283257984094884</c:v>
                </c:pt>
                <c:pt idx="10">
                  <c:v>0.22537625118584639</c:v>
                </c:pt>
                <c:pt idx="11">
                  <c:v>0.26448155050419592</c:v>
                </c:pt>
                <c:pt idx="12">
                  <c:v>0.31035091468653475</c:v>
                </c:pt>
                <c:pt idx="13">
                  <c:v>0.36250533426305098</c:v>
                </c:pt>
                <c:pt idx="14">
                  <c:v>0.41961782768490197</c:v>
                </c:pt>
                <c:pt idx="15">
                  <c:v>0.47955275570315259</c:v>
                </c:pt>
                <c:pt idx="16">
                  <c:v>0.53967046841640354</c:v>
                </c:pt>
                <c:pt idx="17">
                  <c:v>0.59732151826849844</c:v>
                </c:pt>
                <c:pt idx="18">
                  <c:v>0.65033897781078809</c:v>
                </c:pt>
                <c:pt idx="19">
                  <c:v>0.69734097091996394</c:v>
                </c:pt>
                <c:pt idx="20">
                  <c:v>0.73777366847326808</c:v>
                </c:pt>
              </c:numCache>
            </c:numRef>
          </c:val>
          <c:extLst>
            <c:ext xmlns:c16="http://schemas.microsoft.com/office/drawing/2014/chart" uri="{C3380CC4-5D6E-409C-BE32-E72D297353CC}">
              <c16:uniqueId val="{0000000E-A1B8-4B7E-8C31-14F2FDA4B3BD}"/>
            </c:ext>
          </c:extLst>
        </c:ser>
        <c:ser>
          <c:idx val="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7.2528796919810956E-2</c:v>
                </c:pt>
                <c:pt idx="1">
                  <c:v>7.6332308023550052E-2</c:v>
                </c:pt>
                <c:pt idx="2">
                  <c:v>8.1020010003863718E-2</c:v>
                </c:pt>
                <c:pt idx="3">
                  <c:v>8.6817468160401423E-2</c:v>
                </c:pt>
                <c:pt idx="4">
                  <c:v>9.4012058352459946E-2</c:v>
                </c:pt>
                <c:pt idx="5">
                  <c:v>0.1029686791358877</c:v>
                </c:pt>
                <c:pt idx="6">
                  <c:v>0.11414684549768966</c:v>
                </c:pt>
                <c:pt idx="7">
                  <c:v>0.12811633249190538</c:v>
                </c:pt>
                <c:pt idx="8">
                  <c:v>0.1455654025013314</c:v>
                </c:pt>
                <c:pt idx="9">
                  <c:v>0.16729089630946203</c:v>
                </c:pt>
                <c:pt idx="10">
                  <c:v>0.19415370217476705</c:v>
                </c:pt>
                <c:pt idx="11">
                  <c:v>0.22697916719952621</c:v>
                </c:pt>
                <c:pt idx="12">
                  <c:v>0.26638639905123562</c:v>
                </c:pt>
                <c:pt idx="13">
                  <c:v>0.31255257005428394</c:v>
                </c:pt>
                <c:pt idx="14">
                  <c:v>0.36496324566241878</c:v>
                </c:pt>
                <c:pt idx="15">
                  <c:v>0.42225257352082601</c:v>
                </c:pt>
                <c:pt idx="16">
                  <c:v>0.48225399866441093</c:v>
                </c:pt>
                <c:pt idx="17">
                  <c:v>0.54231610782669659</c:v>
                </c:pt>
                <c:pt idx="18">
                  <c:v>0.59980134245549932</c:v>
                </c:pt>
                <c:pt idx="19">
                  <c:v>0.65257327794475195</c:v>
                </c:pt>
                <c:pt idx="20">
                  <c:v>0.69928794925876803</c:v>
                </c:pt>
              </c:numCache>
            </c:numRef>
          </c:val>
          <c:extLst>
            <c:ext xmlns:c16="http://schemas.microsoft.com/office/drawing/2014/chart" uri="{C3380CC4-5D6E-409C-BE32-E72D297353CC}">
              <c16:uniqueId val="{0000000F-A1B8-4B7E-8C31-14F2FDA4B3BD}"/>
            </c:ext>
          </c:extLst>
        </c:ser>
        <c:ser>
          <c:idx val="4"/>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6.9557674243323653E-2</c:v>
                </c:pt>
                <c:pt idx="1">
                  <c:v>7.2682403194320691E-2</c:v>
                </c:pt>
                <c:pt idx="2">
                  <c:v>7.6521305457978528E-2</c:v>
                </c:pt>
                <c:pt idx="3">
                  <c:v>8.1253347503470602E-2</c:v>
                </c:pt>
                <c:pt idx="4">
                  <c:v>8.7106552051664662E-2</c:v>
                </c:pt>
                <c:pt idx="5">
                  <c:v>9.4371405844465253E-2</c:v>
                </c:pt>
                <c:pt idx="6">
                  <c:v>0.10341666507755397</c:v>
                </c:pt>
                <c:pt idx="7">
                  <c:v>0.11470646251988058</c:v>
                </c:pt>
                <c:pt idx="8">
                  <c:v>0.12881577658587112</c:v>
                </c:pt>
                <c:pt idx="9">
                  <c:v>0.14643811855653546</c:v>
                </c:pt>
                <c:pt idx="10">
                  <c:v>0.16837447174065789</c:v>
                </c:pt>
                <c:pt idx="11">
                  <c:v>0.19548674828507562</c:v>
                </c:pt>
                <c:pt idx="12">
                  <c:v>0.22859528182847733</c:v>
                </c:pt>
                <c:pt idx="13">
                  <c:v>0.26830484336783983</c:v>
                </c:pt>
                <c:pt idx="14">
                  <c:v>0.31476682477678247</c:v>
                </c:pt>
                <c:pt idx="15">
                  <c:v>0.3674310256507603</c:v>
                </c:pt>
                <c:pt idx="16">
                  <c:v>0.42489281295800396</c:v>
                </c:pt>
                <c:pt idx="17">
                  <c:v>0.4849553600518216</c:v>
                </c:pt>
                <c:pt idx="18">
                  <c:v>0.54495652028025343</c:v>
                </c:pt>
                <c:pt idx="19">
                  <c:v>0.6022716293514182</c:v>
                </c:pt>
                <c:pt idx="20">
                  <c:v>0.65479535701220848</c:v>
                </c:pt>
              </c:numCache>
            </c:numRef>
          </c:val>
          <c:extLst>
            <c:ext xmlns:c16="http://schemas.microsoft.com/office/drawing/2014/chart" uri="{C3380CC4-5D6E-409C-BE32-E72D297353CC}">
              <c16:uniqueId val="{00000010-A1B8-4B7E-8C31-14F2FDA4B3BD}"/>
            </c:ext>
          </c:extLst>
        </c:ser>
        <c:ser>
          <c:idx val="3"/>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6.7109696515017497E-2</c:v>
                </c:pt>
                <c:pt idx="1">
                  <c:v>6.9684057705092534E-2</c:v>
                </c:pt>
                <c:pt idx="2">
                  <c:v>7.2837427440615637E-2</c:v>
                </c:pt>
                <c:pt idx="3">
                  <c:v>7.6712075978883451E-2</c:v>
                </c:pt>
                <c:pt idx="4">
                  <c:v>8.1488910603744732E-2</c:v>
                </c:pt>
                <c:pt idx="5">
                  <c:v>8.7398438211088322E-2</c:v>
                </c:pt>
                <c:pt idx="6">
                  <c:v>9.4734288107933357E-2</c:v>
                </c:pt>
                <c:pt idx="7">
                  <c:v>0.10386910870317292</c:v>
                </c:pt>
                <c:pt idx="8">
                  <c:v>0.11527168237765044</c:v>
                </c:pt>
                <c:pt idx="9">
                  <c:v>0.1295222080266665</c:v>
                </c:pt>
                <c:pt idx="10">
                  <c:v>0.14731942657689437</c:v>
                </c:pt>
                <c:pt idx="11">
                  <c:v>0.16946837461796102</c:v>
                </c:pt>
                <c:pt idx="12">
                  <c:v>0.19683178674323079</c:v>
                </c:pt>
                <c:pt idx="13">
                  <c:v>0.23022463546261099</c:v>
                </c:pt>
                <c:pt idx="14">
                  <c:v>0.27023687224164455</c:v>
                </c:pt>
                <c:pt idx="15">
                  <c:v>0.31699359514412789</c:v>
                </c:pt>
                <c:pt idx="16">
                  <c:v>0.3699085111458239</c:v>
                </c:pt>
                <c:pt idx="17">
                  <c:v>0.42753832054899882</c:v>
                </c:pt>
                <c:pt idx="18">
                  <c:v>0.48765659226672181</c:v>
                </c:pt>
                <c:pt idx="19">
                  <c:v>0.54759148488865339</c:v>
                </c:pt>
                <c:pt idx="20">
                  <c:v>0.60473222212252609</c:v>
                </c:pt>
              </c:numCache>
            </c:numRef>
          </c:val>
          <c:extLst>
            <c:ext xmlns:c16="http://schemas.microsoft.com/office/drawing/2014/chart" uri="{C3380CC4-5D6E-409C-BE32-E72D297353CC}">
              <c16:uniqueId val="{00000011-A1B8-4B7E-8C31-14F2FDA4B3BD}"/>
            </c:ext>
          </c:extLst>
        </c:ser>
        <c:ser>
          <c:idx val="2"/>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6.5087541527060075E-2</c:v>
                </c:pt>
                <c:pt idx="1">
                  <c:v>6.7213963686101552E-2</c:v>
                </c:pt>
                <c:pt idx="2">
                  <c:v>6.9811590936436421E-2</c:v>
                </c:pt>
                <c:pt idx="3">
                  <c:v>7.2993883757565464E-2</c:v>
                </c:pt>
                <c:pt idx="4">
                  <c:v>7.6904637537108633E-2</c:v>
                </c:pt>
                <c:pt idx="5">
                  <c:v>8.1726722190000337E-2</c:v>
                </c:pt>
                <c:pt idx="6">
                  <c:v>8.7693155774736839E-2</c:v>
                </c:pt>
                <c:pt idx="7">
                  <c:v>9.5100742037412006E-2</c:v>
                </c:pt>
                <c:pt idx="8">
                  <c:v>0.10432605620685038</c:v>
                </c:pt>
                <c:pt idx="9">
                  <c:v>0.115842561763637</c:v>
                </c:pt>
                <c:pt idx="10">
                  <c:v>0.13023569412677452</c:v>
                </c:pt>
                <c:pt idx="11">
                  <c:v>0.14820940229688809</c:v>
                </c:pt>
                <c:pt idx="12">
                  <c:v>0.17057268281672414</c:v>
                </c:pt>
                <c:pt idx="13">
                  <c:v>0.19818888531107043</c:v>
                </c:pt>
                <c:pt idx="14">
                  <c:v>0.23186726670269259</c:v>
                </c:pt>
                <c:pt idx="15">
                  <c:v>0.27218247160980674</c:v>
                </c:pt>
                <c:pt idx="16">
                  <c:v>0.31923279389767495</c:v>
                </c:pt>
                <c:pt idx="17">
                  <c:v>0.37239553572108236</c:v>
                </c:pt>
                <c:pt idx="18">
                  <c:v>0.43018886886418234</c:v>
                </c:pt>
                <c:pt idx="19">
                  <c:v>0.49035744787569874</c:v>
                </c:pt>
                <c:pt idx="20">
                  <c:v>0.5502207829797805</c:v>
                </c:pt>
              </c:numCache>
            </c:numRef>
          </c:val>
          <c:extLst>
            <c:ext xmlns:c16="http://schemas.microsoft.com/office/drawing/2014/chart" uri="{C3380CC4-5D6E-409C-BE32-E72D297353CC}">
              <c16:uniqueId val="{00000012-A1B8-4B7E-8C31-14F2FDA4B3BD}"/>
            </c:ext>
          </c:extLst>
        </c:ser>
        <c:ser>
          <c:idx val="1"/>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6.3413263902481268E-2</c:v>
                </c:pt>
                <c:pt idx="1">
                  <c:v>6.517377365639157E-2</c:v>
                </c:pt>
                <c:pt idx="2">
                  <c:v>6.7319166697695457E-2</c:v>
                </c:pt>
                <c:pt idx="3">
                  <c:v>6.9940285162740562E-2</c:v>
                </c:pt>
                <c:pt idx="4">
                  <c:v>7.3151786396156826E-2</c:v>
                </c:pt>
                <c:pt idx="5">
                  <c:v>7.7099008279023745E-2</c:v>
                </c:pt>
                <c:pt idx="6">
                  <c:v>8.1966805396922748E-2</c:v>
                </c:pt>
                <c:pt idx="7">
                  <c:v>8.7990734191929446E-2</c:v>
                </c:pt>
                <c:pt idx="8">
                  <c:v>9.5470804910627372E-2</c:v>
                </c:pt>
                <c:pt idx="9">
                  <c:v>0.10478755423063019</c:v>
                </c:pt>
                <c:pt idx="10">
                  <c:v>0.11641915785402351</c:v>
                </c:pt>
                <c:pt idx="11">
                  <c:v>0.13095630264492095</c:v>
                </c:pt>
                <c:pt idx="12">
                  <c:v>0.14910812171849389</c:v>
                </c:pt>
                <c:pt idx="13">
                  <c:v>0.1716874740724752</c:v>
                </c:pt>
                <c:pt idx="14">
                  <c:v>0.19955811090259337</c:v>
                </c:pt>
                <c:pt idx="15">
                  <c:v>0.23352321231223261</c:v>
                </c:pt>
                <c:pt idx="16">
                  <c:v>0.27414162451599222</c:v>
                </c:pt>
                <c:pt idx="17">
                  <c:v>0.32148433021630446</c:v>
                </c:pt>
                <c:pt idx="18">
                  <c:v>0.37489192964208112</c:v>
                </c:pt>
                <c:pt idx="19">
                  <c:v>0.43284422857622096</c:v>
                </c:pt>
                <c:pt idx="20">
                  <c:v>0.49305767971153158</c:v>
                </c:pt>
              </c:numCache>
            </c:numRef>
          </c:val>
          <c:extLst>
            <c:ext xmlns:c16="http://schemas.microsoft.com/office/drawing/2014/chart" uri="{C3380CC4-5D6E-409C-BE32-E72D297353CC}">
              <c16:uniqueId val="{00000013-A1B8-4B7E-8C31-14F2FDA4B3BD}"/>
            </c:ext>
          </c:extLst>
        </c:ser>
        <c:ser>
          <c:idx val="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6.2024165944873741E-2</c:v>
                </c:pt>
                <c:pt idx="1">
                  <c:v>6.3484736574214815E-2</c:v>
                </c:pt>
                <c:pt idx="2">
                  <c:v>6.526077030228436E-2</c:v>
                </c:pt>
                <c:pt idx="3">
                  <c:v>6.7425314520671006E-2</c:v>
                </c:pt>
                <c:pt idx="4">
                  <c:v>7.0070151728744701E-2</c:v>
                </c:pt>
                <c:pt idx="5">
                  <c:v>7.331114976122248E-2</c:v>
                </c:pt>
                <c:pt idx="6">
                  <c:v>7.7295206548702228E-2</c:v>
                </c:pt>
                <c:pt idx="7">
                  <c:v>8.2209183611220607E-2</c:v>
                </c:pt>
                <c:pt idx="8">
                  <c:v>8.829120322828421E-2</c:v>
                </c:pt>
                <c:pt idx="9">
                  <c:v>9.5844514391608487E-2</c:v>
                </c:pt>
                <c:pt idx="10">
                  <c:v>0.10525364986694932</c:v>
                </c:pt>
                <c:pt idx="11">
                  <c:v>0.1170015283088454</c:v>
                </c:pt>
                <c:pt idx="12">
                  <c:v>0.13168410178171208</c:v>
                </c:pt>
                <c:pt idx="13">
                  <c:v>0.15001566109854392</c:v>
                </c:pt>
                <c:pt idx="14">
                  <c:v>0.17281282595604971</c:v>
                </c:pt>
                <c:pt idx="15">
                  <c:v>0.20093952954504429</c:v>
                </c:pt>
                <c:pt idx="16">
                  <c:v>0.23519250716919834</c:v>
                </c:pt>
                <c:pt idx="17">
                  <c:v>0.27611431106811468</c:v>
                </c:pt>
                <c:pt idx="18">
                  <c:v>0.32374810970458356</c:v>
                </c:pt>
                <c:pt idx="19">
                  <c:v>0.37739751990520726</c:v>
                </c:pt>
                <c:pt idx="20">
                  <c:v>0.4355041685461617</c:v>
                </c:pt>
              </c:numCache>
            </c:numRef>
          </c:val>
          <c:extLst>
            <c:ext xmlns:c16="http://schemas.microsoft.com/office/drawing/2014/chart" uri="{C3380CC4-5D6E-409C-BE32-E72D297353CC}">
              <c16:uniqueId val="{00000014-A1B8-4B7E-8C31-14F2FDA4B3BD}"/>
            </c:ext>
          </c:extLst>
        </c:ser>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6.png"/><Relationship Id="rId18" Type="http://schemas.openxmlformats.org/officeDocument/2006/relationships/image" Target="../media/image11.png"/><Relationship Id="rId26" Type="http://schemas.openxmlformats.org/officeDocument/2006/relationships/image" Target="../media/image19.png"/><Relationship Id="rId3" Type="http://schemas.openxmlformats.org/officeDocument/2006/relationships/chart" Target="../charts/chart2.xml"/><Relationship Id="rId21" Type="http://schemas.openxmlformats.org/officeDocument/2006/relationships/image" Target="../media/image14.png"/><Relationship Id="rId7" Type="http://schemas.openxmlformats.org/officeDocument/2006/relationships/chart" Target="../charts/chart5.xml"/><Relationship Id="rId12" Type="http://schemas.openxmlformats.org/officeDocument/2006/relationships/image" Target="../media/image5.png"/><Relationship Id="rId17" Type="http://schemas.openxmlformats.org/officeDocument/2006/relationships/image" Target="../media/image10.png"/><Relationship Id="rId25" Type="http://schemas.openxmlformats.org/officeDocument/2006/relationships/image" Target="../media/image18.png"/><Relationship Id="rId2" Type="http://schemas.openxmlformats.org/officeDocument/2006/relationships/chart" Target="../charts/chart1.xml"/><Relationship Id="rId16" Type="http://schemas.openxmlformats.org/officeDocument/2006/relationships/image" Target="../media/image9.png"/><Relationship Id="rId20" Type="http://schemas.openxmlformats.org/officeDocument/2006/relationships/image" Target="../media/image13.png"/><Relationship Id="rId29" Type="http://schemas.openxmlformats.org/officeDocument/2006/relationships/image" Target="../media/image22.png"/><Relationship Id="rId1" Type="http://schemas.openxmlformats.org/officeDocument/2006/relationships/image" Target="../media/image1.png"/><Relationship Id="rId6" Type="http://schemas.openxmlformats.org/officeDocument/2006/relationships/chart" Target="../charts/chart4.xml"/><Relationship Id="rId11" Type="http://schemas.openxmlformats.org/officeDocument/2006/relationships/image" Target="../media/image4.png"/><Relationship Id="rId24" Type="http://schemas.openxmlformats.org/officeDocument/2006/relationships/image" Target="../media/image17.png"/><Relationship Id="rId5" Type="http://schemas.openxmlformats.org/officeDocument/2006/relationships/chart" Target="../charts/chart3.xml"/><Relationship Id="rId15" Type="http://schemas.openxmlformats.org/officeDocument/2006/relationships/image" Target="../media/image8.png"/><Relationship Id="rId23" Type="http://schemas.openxmlformats.org/officeDocument/2006/relationships/image" Target="../media/image16.png"/><Relationship Id="rId28" Type="http://schemas.openxmlformats.org/officeDocument/2006/relationships/image" Target="../media/image21.png"/><Relationship Id="rId10" Type="http://schemas.openxmlformats.org/officeDocument/2006/relationships/image" Target="../media/image3.png"/><Relationship Id="rId19" Type="http://schemas.openxmlformats.org/officeDocument/2006/relationships/image" Target="../media/image12.png"/><Relationship Id="rId4" Type="http://schemas.openxmlformats.org/officeDocument/2006/relationships/image" Target="../media/image2.png"/><Relationship Id="rId9" Type="http://schemas.openxmlformats.org/officeDocument/2006/relationships/chart" Target="../charts/chart7.xml"/><Relationship Id="rId14" Type="http://schemas.openxmlformats.org/officeDocument/2006/relationships/image" Target="../media/image7.png"/><Relationship Id="rId22" Type="http://schemas.openxmlformats.org/officeDocument/2006/relationships/image" Target="../media/image15.png"/><Relationship Id="rId27" Type="http://schemas.openxmlformats.org/officeDocument/2006/relationships/image" Target="../media/image20.png"/><Relationship Id="rId30" Type="http://schemas.openxmlformats.org/officeDocument/2006/relationships/image" Target="../media/image23.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0</xdr:col>
      <xdr:colOff>517072</xdr:colOff>
      <xdr:row>15</xdr:row>
      <xdr:rowOff>63501</xdr:rowOff>
    </xdr:from>
    <xdr:to>
      <xdr:col>11</xdr:col>
      <xdr:colOff>517072</xdr:colOff>
      <xdr:row>32</xdr:row>
      <xdr:rowOff>69846</xdr:rowOff>
    </xdr:to>
    <xdr:grpSp>
      <xdr:nvGrpSpPr>
        <xdr:cNvPr id="1024" name="Group 1023">
          <a:extLst>
            <a:ext uri="{FF2B5EF4-FFF2-40B4-BE49-F238E27FC236}">
              <a16:creationId xmlns:a16="http://schemas.microsoft.com/office/drawing/2014/main" id="{00000000-0008-0000-0000-000000040000}"/>
            </a:ext>
          </a:extLst>
        </xdr:cNvPr>
        <xdr:cNvGrpSpPr/>
      </xdr:nvGrpSpPr>
      <xdr:grpSpPr>
        <a:xfrm>
          <a:off x="517072" y="2828926"/>
          <a:ext cx="6905625" cy="3036089"/>
          <a:chOff x="399143" y="2857501"/>
          <a:chExt cx="6912429" cy="3084280"/>
        </a:xfrm>
      </xdr:grpSpPr>
      <xdr:sp macro="" textlink="">
        <xdr:nvSpPr>
          <xdr:cNvPr id="15" name="Rectangle 14">
            <a:extLst>
              <a:ext uri="{FF2B5EF4-FFF2-40B4-BE49-F238E27FC236}">
                <a16:creationId xmlns:a16="http://schemas.microsoft.com/office/drawing/2014/main" id="{00000000-0008-0000-0000-00000F000000}"/>
              </a:ext>
            </a:extLst>
          </xdr:cNvPr>
          <xdr:cNvSpPr/>
        </xdr:nvSpPr>
        <xdr:spPr>
          <a:xfrm>
            <a:off x="399143" y="2857501"/>
            <a:ext cx="6912429" cy="286657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nvGrpSpPr>
          <xdr:cNvPr id="125" name="Group 124">
            <a:extLst>
              <a:ext uri="{FF2B5EF4-FFF2-40B4-BE49-F238E27FC236}">
                <a16:creationId xmlns:a16="http://schemas.microsoft.com/office/drawing/2014/main" id="{00000000-0008-0000-0000-00007D000000}"/>
              </a:ext>
            </a:extLst>
          </xdr:cNvPr>
          <xdr:cNvGrpSpPr/>
        </xdr:nvGrpSpPr>
        <xdr:grpSpPr>
          <a:xfrm>
            <a:off x="469897" y="2930068"/>
            <a:ext cx="6633029" cy="3011713"/>
            <a:chOff x="469897" y="2930068"/>
            <a:chExt cx="6633029" cy="3011713"/>
          </a:xfrm>
        </xdr:grpSpPr>
        <xdr:sp macro="" textlink="">
          <xdr:nvSpPr>
            <xdr:cNvPr id="154" name="Rectangle 153">
              <a:extLst>
                <a:ext uri="{FF2B5EF4-FFF2-40B4-BE49-F238E27FC236}">
                  <a16:creationId xmlns:a16="http://schemas.microsoft.com/office/drawing/2014/main" id="{00000000-0008-0000-0000-00009A000000}"/>
                </a:ext>
              </a:extLst>
            </xdr:cNvPr>
            <xdr:cNvSpPr/>
          </xdr:nvSpPr>
          <xdr:spPr>
            <a:xfrm>
              <a:off x="480784" y="2930068"/>
              <a:ext cx="6622142" cy="301171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This sheet is purely academic to aid the reader in understanding the mechanics of a neural network. Here we take 8 samples, with only two features (x1 and x2) with binary labels. The network is very simple, with a single hidden layer of one neuron and single output layer of one neuron. Pressing the 'perform single iteration' button will take the gradient of each weight and bias and update based upon the user defined learning rate. Cost is recalculated using all the samples. Note that this is because we only have 8 samples, if we had more, we may </a:t>
              </a:r>
            </a:p>
          </xdr:txBody>
        </xdr:sp>
        <xdr:sp macro="" textlink="">
          <xdr:nvSpPr>
            <xdr:cNvPr id="156" name="Rectangle 155">
              <a:extLst>
                <a:ext uri="{FF2B5EF4-FFF2-40B4-BE49-F238E27FC236}">
                  <a16:creationId xmlns:a16="http://schemas.microsoft.com/office/drawing/2014/main" id="{00000000-0008-0000-0000-00009C000000}"/>
                </a:ext>
              </a:extLst>
            </xdr:cNvPr>
            <xdr:cNvSpPr/>
          </xdr:nvSpPr>
          <xdr:spPr>
            <a:xfrm>
              <a:off x="469897" y="3790041"/>
              <a:ext cx="2200472" cy="19249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wish to go with stochastic gradient descent (SGD) or mini-batch SGD at this point. With this updated cost,</a:t>
              </a:r>
              <a:r>
                <a:rPr lang="en-GB" sz="1100" b="0" baseline="0">
                  <a:solidFill>
                    <a:schemeClr val="tx1">
                      <a:lumMod val="85000"/>
                      <a:lumOff val="15000"/>
                    </a:schemeClr>
                  </a:solidFill>
                </a:rPr>
                <a:t> and using backprogagation, </a:t>
              </a:r>
              <a:r>
                <a:rPr lang="en-GB" sz="1100" b="0">
                  <a:solidFill>
                    <a:schemeClr val="tx1">
                      <a:lumMod val="85000"/>
                      <a:lumOff val="15000"/>
                    </a:schemeClr>
                  </a:solidFill>
                </a:rPr>
                <a:t>we can then recalculate the gradient of each weight and bias ready for the next iteration. We can view how our weights and biases are changing with each iteration with the handy x-plots shown below. </a:t>
              </a:r>
            </a:p>
          </xdr:txBody>
        </xdr:sp>
      </xdr:grpSp>
    </xdr:grpSp>
    <xdr:clientData/>
  </xdr:twoCellAnchor>
  <xdr:twoCellAnchor editAs="oneCell">
    <xdr:from>
      <xdr:col>22</xdr:col>
      <xdr:colOff>678391</xdr:colOff>
      <xdr:row>24</xdr:row>
      <xdr:rowOff>78318</xdr:rowOff>
    </xdr:from>
    <xdr:to>
      <xdr:col>24</xdr:col>
      <xdr:colOff>563055</xdr:colOff>
      <xdr:row>28</xdr:row>
      <xdr:rowOff>35985</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a:stretch>
          <a:fillRect/>
        </a:stretch>
      </xdr:blipFill>
      <xdr:spPr>
        <a:xfrm>
          <a:off x="14759516" y="4515381"/>
          <a:ext cx="1229277" cy="687917"/>
        </a:xfrm>
        <a:prstGeom prst="rect">
          <a:avLst/>
        </a:prstGeom>
      </xdr:spPr>
    </xdr:pic>
    <xdr:clientData/>
  </xdr:twoCellAnchor>
  <xdr:twoCellAnchor>
    <xdr:from>
      <xdr:col>33</xdr:col>
      <xdr:colOff>246590</xdr:colOff>
      <xdr:row>2</xdr:row>
      <xdr:rowOff>0</xdr:rowOff>
    </xdr:from>
    <xdr:to>
      <xdr:col>33</xdr:col>
      <xdr:colOff>257173</xdr:colOff>
      <xdr:row>46</xdr:row>
      <xdr:rowOff>28575</xdr:rowOff>
    </xdr:to>
    <xdr:cxnSp macro="">
      <xdr:nvCxnSpPr>
        <xdr:cNvPr id="58" name="Straight Connector 57">
          <a:extLst>
            <a:ext uri="{FF2B5EF4-FFF2-40B4-BE49-F238E27FC236}">
              <a16:creationId xmlns:a16="http://schemas.microsoft.com/office/drawing/2014/main" id="{00000000-0008-0000-0000-00003A000000}"/>
            </a:ext>
          </a:extLst>
        </xdr:cNvPr>
        <xdr:cNvCxnSpPr/>
      </xdr:nvCxnSpPr>
      <xdr:spPr>
        <a:xfrm>
          <a:off x="20820590" y="349250"/>
          <a:ext cx="10583" cy="7955492"/>
        </a:xfrm>
        <a:prstGeom prst="line">
          <a:avLst/>
        </a:prstGeom>
        <a:ln w="15875">
          <a:solidFill>
            <a:srgbClr val="92D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439115</xdr:colOff>
      <xdr:row>20</xdr:row>
      <xdr:rowOff>170138</xdr:rowOff>
    </xdr:from>
    <xdr:to>
      <xdr:col>11</xdr:col>
      <xdr:colOff>240224</xdr:colOff>
      <xdr:row>29</xdr:row>
      <xdr:rowOff>133283</xdr:rowOff>
    </xdr:to>
    <xdr:grpSp>
      <xdr:nvGrpSpPr>
        <xdr:cNvPr id="118" name="Group 117">
          <a:extLst>
            <a:ext uri="{FF2B5EF4-FFF2-40B4-BE49-F238E27FC236}">
              <a16:creationId xmlns:a16="http://schemas.microsoft.com/office/drawing/2014/main" id="{00000000-0008-0000-0000-000076000000}"/>
            </a:ext>
          </a:extLst>
        </xdr:cNvPr>
        <xdr:cNvGrpSpPr/>
      </xdr:nvGrpSpPr>
      <xdr:grpSpPr>
        <a:xfrm>
          <a:off x="2867990" y="3825357"/>
          <a:ext cx="4274684" cy="1570489"/>
          <a:chOff x="1759122" y="3980138"/>
          <a:chExt cx="4276045" cy="1596003"/>
        </a:xfrm>
      </xdr:grpSpPr>
      <xdr:sp macro="" textlink="">
        <xdr:nvSpPr>
          <xdr:cNvPr id="2" name="Oval 1">
            <a:extLst>
              <a:ext uri="{FF2B5EF4-FFF2-40B4-BE49-F238E27FC236}">
                <a16:creationId xmlns:a16="http://schemas.microsoft.com/office/drawing/2014/main" id="{00000000-0008-0000-0000-000002000000}"/>
              </a:ext>
            </a:extLst>
          </xdr:cNvPr>
          <xdr:cNvSpPr/>
        </xdr:nvSpPr>
        <xdr:spPr>
          <a:xfrm>
            <a:off x="1794063" y="4450514"/>
            <a:ext cx="479312" cy="42075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3" name="Oval 2">
            <a:extLst>
              <a:ext uri="{FF2B5EF4-FFF2-40B4-BE49-F238E27FC236}">
                <a16:creationId xmlns:a16="http://schemas.microsoft.com/office/drawing/2014/main" id="{00000000-0008-0000-0000-000003000000}"/>
              </a:ext>
            </a:extLst>
          </xdr:cNvPr>
          <xdr:cNvSpPr/>
        </xdr:nvSpPr>
        <xdr:spPr>
          <a:xfrm>
            <a:off x="1789273" y="5155936"/>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4" name="Oval 3">
            <a:extLst>
              <a:ext uri="{FF2B5EF4-FFF2-40B4-BE49-F238E27FC236}">
                <a16:creationId xmlns:a16="http://schemas.microsoft.com/office/drawing/2014/main" id="{00000000-0008-0000-0000-000004000000}"/>
              </a:ext>
            </a:extLst>
          </xdr:cNvPr>
          <xdr:cNvSpPr/>
        </xdr:nvSpPr>
        <xdr:spPr>
          <a:xfrm>
            <a:off x="3672423"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5" name="Oval 4">
            <a:extLst>
              <a:ext uri="{FF2B5EF4-FFF2-40B4-BE49-F238E27FC236}">
                <a16:creationId xmlns:a16="http://schemas.microsoft.com/office/drawing/2014/main" id="{00000000-0008-0000-0000-000005000000}"/>
              </a:ext>
            </a:extLst>
          </xdr:cNvPr>
          <xdr:cNvSpPr/>
        </xdr:nvSpPr>
        <xdr:spPr>
          <a:xfrm>
            <a:off x="5451878"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7" name="Straight Connector 6">
            <a:extLst>
              <a:ext uri="{FF2B5EF4-FFF2-40B4-BE49-F238E27FC236}">
                <a16:creationId xmlns:a16="http://schemas.microsoft.com/office/drawing/2014/main" id="{00000000-0008-0000-0000-000007000000}"/>
              </a:ext>
            </a:extLst>
          </xdr:cNvPr>
          <xdr:cNvCxnSpPr/>
        </xdr:nvCxnSpPr>
        <xdr:spPr>
          <a:xfrm>
            <a:off x="2337620" y="4672257"/>
            <a:ext cx="1206592" cy="272468"/>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00000000-0008-0000-0000-000008000000}"/>
              </a:ext>
            </a:extLst>
          </xdr:cNvPr>
          <xdr:cNvCxnSpPr/>
        </xdr:nvCxnSpPr>
        <xdr:spPr>
          <a:xfrm flipV="1">
            <a:off x="2381860" y="5022615"/>
            <a:ext cx="1162916" cy="324021"/>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00000000-0008-0000-0000-00000A000000}"/>
              </a:ext>
            </a:extLst>
          </xdr:cNvPr>
          <xdr:cNvCxnSpPr/>
        </xdr:nvCxnSpPr>
        <xdr:spPr>
          <a:xfrm>
            <a:off x="4255431" y="4963019"/>
            <a:ext cx="1062318"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000-00000C000000}"/>
              </a:ext>
            </a:extLst>
          </xdr:cNvPr>
          <xdr:cNvSpPr txBox="1"/>
        </xdr:nvSpPr>
        <xdr:spPr>
          <a:xfrm rot="801931">
            <a:off x="2670685" y="4549743"/>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w1</a:t>
            </a:r>
          </a:p>
        </xdr:txBody>
      </xdr:sp>
      <xdr:sp macro="" textlink="">
        <xdr:nvSpPr>
          <xdr:cNvPr id="13" name="TextBox 12">
            <a:extLst>
              <a:ext uri="{FF2B5EF4-FFF2-40B4-BE49-F238E27FC236}">
                <a16:creationId xmlns:a16="http://schemas.microsoft.com/office/drawing/2014/main" id="{00000000-0008-0000-0000-00000D000000}"/>
              </a:ext>
            </a:extLst>
          </xdr:cNvPr>
          <xdr:cNvSpPr txBox="1"/>
        </xdr:nvSpPr>
        <xdr:spPr>
          <a:xfrm rot="20682794">
            <a:off x="2699451" y="5169796"/>
            <a:ext cx="625702"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w2</a:t>
            </a:r>
          </a:p>
        </xdr:txBody>
      </xdr:sp>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4548203" y="4993508"/>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w3</a:t>
            </a:r>
          </a:p>
        </xdr:txBody>
      </xdr:sp>
      <xdr:sp macro="" textlink="">
        <xdr:nvSpPr>
          <xdr:cNvPr id="71" name="Rectangle 70">
            <a:extLst>
              <a:ext uri="{FF2B5EF4-FFF2-40B4-BE49-F238E27FC236}">
                <a16:creationId xmlns:a16="http://schemas.microsoft.com/office/drawing/2014/main" id="{00000000-0008-0000-0000-000047000000}"/>
              </a:ext>
            </a:extLst>
          </xdr:cNvPr>
          <xdr:cNvSpPr/>
        </xdr:nvSpPr>
        <xdr:spPr>
          <a:xfrm>
            <a:off x="1759122" y="4027260"/>
            <a:ext cx="524115" cy="3076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74" name="Rectangle 73">
            <a:extLst>
              <a:ext uri="{FF2B5EF4-FFF2-40B4-BE49-F238E27FC236}">
                <a16:creationId xmlns:a16="http://schemas.microsoft.com/office/drawing/2014/main" id="{00000000-0008-0000-0000-00004A000000}"/>
              </a:ext>
            </a:extLst>
          </xdr:cNvPr>
          <xdr:cNvSpPr/>
        </xdr:nvSpPr>
        <xdr:spPr>
          <a:xfrm>
            <a:off x="3552665" y="3982911"/>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76" name="Rectangle 75">
            <a:extLst>
              <a:ext uri="{FF2B5EF4-FFF2-40B4-BE49-F238E27FC236}">
                <a16:creationId xmlns:a16="http://schemas.microsoft.com/office/drawing/2014/main" id="{00000000-0008-0000-0000-00004C000000}"/>
              </a:ext>
            </a:extLst>
          </xdr:cNvPr>
          <xdr:cNvSpPr/>
        </xdr:nvSpPr>
        <xdr:spPr>
          <a:xfrm>
            <a:off x="5353254" y="3980138"/>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clientData/>
  </xdr:twoCellAnchor>
  <xdr:twoCellAnchor>
    <xdr:from>
      <xdr:col>11</xdr:col>
      <xdr:colOff>784341</xdr:colOff>
      <xdr:row>15</xdr:row>
      <xdr:rowOff>56605</xdr:rowOff>
    </xdr:from>
    <xdr:to>
      <xdr:col>21</xdr:col>
      <xdr:colOff>530812</xdr:colOff>
      <xdr:row>45</xdr:row>
      <xdr:rowOff>171720</xdr:rowOff>
    </xdr:to>
    <xdr:grpSp>
      <xdr:nvGrpSpPr>
        <xdr:cNvPr id="77" name="Group 76">
          <a:extLst>
            <a:ext uri="{FF2B5EF4-FFF2-40B4-BE49-F238E27FC236}">
              <a16:creationId xmlns:a16="http://schemas.microsoft.com/office/drawing/2014/main" id="{00000000-0008-0000-0000-00004D000000}"/>
            </a:ext>
          </a:extLst>
        </xdr:cNvPr>
        <xdr:cNvGrpSpPr/>
      </xdr:nvGrpSpPr>
      <xdr:grpSpPr>
        <a:xfrm>
          <a:off x="7693141" y="2818855"/>
          <a:ext cx="6232202" cy="5472928"/>
          <a:chOff x="6903947" y="2956985"/>
          <a:chExt cx="5936747" cy="5839187"/>
        </a:xfrm>
      </xdr:grpSpPr>
      <xdr:grpSp>
        <xdr:nvGrpSpPr>
          <xdr:cNvPr id="63" name="Group 62">
            <a:extLst>
              <a:ext uri="{FF2B5EF4-FFF2-40B4-BE49-F238E27FC236}">
                <a16:creationId xmlns:a16="http://schemas.microsoft.com/office/drawing/2014/main" id="{00000000-0008-0000-0000-00003F000000}"/>
              </a:ext>
            </a:extLst>
          </xdr:cNvPr>
          <xdr:cNvGrpSpPr/>
        </xdr:nvGrpSpPr>
        <xdr:grpSpPr>
          <a:xfrm>
            <a:off x="6903947" y="2956985"/>
            <a:ext cx="5936747" cy="5839187"/>
            <a:chOff x="6812662" y="4110567"/>
            <a:chExt cx="5960292" cy="5511104"/>
          </a:xfrm>
        </xdr:grpSpPr>
        <xdr:graphicFrame macro="">
          <xdr:nvGraphicFramePr>
            <xdr:cNvPr id="67" name="Chart 66">
              <a:extLst>
                <a:ext uri="{FF2B5EF4-FFF2-40B4-BE49-F238E27FC236}">
                  <a16:creationId xmlns:a16="http://schemas.microsoft.com/office/drawing/2014/main" id="{00000000-0008-0000-0000-000043000000}"/>
                </a:ext>
              </a:extLst>
            </xdr:cNvPr>
            <xdr:cNvGraphicFramePr>
              <a:graphicFrameLocks/>
            </xdr:cNvGraphicFramePr>
          </xdr:nvGraphicFramePr>
          <xdr:xfrm>
            <a:off x="6879165" y="4110567"/>
            <a:ext cx="5893789" cy="551110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70" name="Chart 69">
              <a:extLst>
                <a:ext uri="{FF2B5EF4-FFF2-40B4-BE49-F238E27FC236}">
                  <a16:creationId xmlns:a16="http://schemas.microsoft.com/office/drawing/2014/main" id="{00000000-0008-0000-0000-000046000000}"/>
                </a:ext>
              </a:extLst>
            </xdr:cNvPr>
            <xdr:cNvGraphicFramePr>
              <a:graphicFrameLocks/>
            </xdr:cNvGraphicFramePr>
          </xdr:nvGraphicFramePr>
          <xdr:xfrm>
            <a:off x="6812662" y="4529666"/>
            <a:ext cx="5125507" cy="4688418"/>
          </xdr:xfrm>
          <a:graphic>
            <a:graphicData uri="http://schemas.openxmlformats.org/drawingml/2006/chart">
              <c:chart xmlns:c="http://schemas.openxmlformats.org/drawingml/2006/chart" xmlns:r="http://schemas.openxmlformats.org/officeDocument/2006/relationships" r:id="rId3"/>
            </a:graphicData>
          </a:graphic>
        </xdr:graphicFrame>
      </xdr:grpSp>
      <xdr:pic>
        <xdr:nvPicPr>
          <xdr:cNvPr id="73" name="Picture 72">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4"/>
          <a:stretch>
            <a:fillRect/>
          </a:stretch>
        </xdr:blipFill>
        <xdr:spPr>
          <a:xfrm>
            <a:off x="7162800" y="3117850"/>
            <a:ext cx="825661" cy="1631950"/>
          </a:xfrm>
          <a:prstGeom prst="rect">
            <a:avLst/>
          </a:prstGeom>
        </xdr:spPr>
      </xdr:pic>
    </xdr:grpSp>
    <xdr:clientData/>
  </xdr:twoCellAnchor>
  <xdr:twoCellAnchor>
    <xdr:from>
      <xdr:col>4</xdr:col>
      <xdr:colOff>244535</xdr:colOff>
      <xdr:row>32</xdr:row>
      <xdr:rowOff>139331</xdr:rowOff>
    </xdr:from>
    <xdr:to>
      <xdr:col>11</xdr:col>
      <xdr:colOff>562740</xdr:colOff>
      <xdr:row>44</xdr:row>
      <xdr:rowOff>111651</xdr:rowOff>
    </xdr:to>
    <xdr:grpSp>
      <xdr:nvGrpSpPr>
        <xdr:cNvPr id="106" name="Group 105">
          <a:extLst>
            <a:ext uri="{FF2B5EF4-FFF2-40B4-BE49-F238E27FC236}">
              <a16:creationId xmlns:a16="http://schemas.microsoft.com/office/drawing/2014/main" id="{00000000-0008-0000-0000-00006A000000}"/>
            </a:ext>
          </a:extLst>
        </xdr:cNvPr>
        <xdr:cNvGrpSpPr/>
      </xdr:nvGrpSpPr>
      <xdr:grpSpPr>
        <a:xfrm>
          <a:off x="2673410" y="5940850"/>
          <a:ext cx="4791780" cy="2112270"/>
          <a:chOff x="762977" y="2965722"/>
          <a:chExt cx="4811238" cy="2176502"/>
        </a:xfrm>
      </xdr:grpSpPr>
      <xdr:sp macro="" textlink="">
        <xdr:nvSpPr>
          <xdr:cNvPr id="126" name="Rectangle 125">
            <a:extLst>
              <a:ext uri="{FF2B5EF4-FFF2-40B4-BE49-F238E27FC236}">
                <a16:creationId xmlns:a16="http://schemas.microsoft.com/office/drawing/2014/main" id="{00000000-0008-0000-0000-00007E000000}"/>
              </a:ext>
            </a:extLst>
          </xdr:cNvPr>
          <xdr:cNvSpPr/>
        </xdr:nvSpPr>
        <xdr:spPr>
          <a:xfrm>
            <a:off x="762977" y="2986210"/>
            <a:ext cx="4811238" cy="2156014"/>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1187938" y="3565769"/>
                <a:ext cx="1838081" cy="604471"/>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00"/>
                    </a:solidFill>
                    <a:latin typeface="Calibri"/>
                    <a:cs typeface="Calibri"/>
                  </a:rPr>
                  <a:t>Perform Single Iteration</a:t>
                </a:r>
              </a:p>
            </xdr:txBody>
          </xdr:sp>
        </mc:Choice>
        <mc:Fallback/>
      </mc:AlternateContent>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234837" y="3571876"/>
                <a:ext cx="1851269" cy="586153"/>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00"/>
                    </a:solidFill>
                    <a:latin typeface="Calibri"/>
                    <a:cs typeface="Calibri"/>
                  </a:rPr>
                  <a:t>Remove Iteration History</a:t>
                </a:r>
              </a:p>
            </xdr:txBody>
          </xdr:sp>
        </mc:Choice>
        <mc:Fallback/>
      </mc:AlternateContent>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940777" y="4414471"/>
                <a:ext cx="1405304" cy="53681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Random</a:t>
                </a:r>
              </a:p>
            </xdr:txBody>
          </xdr:sp>
        </mc:Choice>
        <mc:Fallback/>
      </mc:AlternateContent>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2434981" y="4414471"/>
                <a:ext cx="1418981" cy="5431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Good Start</a:t>
                </a:r>
              </a:p>
            </xdr:txBody>
          </xdr:sp>
        </mc:Choice>
        <mc:Fallback/>
      </mc:AlternateContent>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3968262" y="4382721"/>
                <a:ext cx="1418003" cy="5558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Bad Start</a:t>
                </a:r>
              </a:p>
            </xdr:txBody>
          </xdr:sp>
        </mc:Choice>
        <mc:Fallback/>
      </mc:AlternateContent>
      <xdr:sp macro="" textlink="">
        <xdr:nvSpPr>
          <xdr:cNvPr id="127" name="Rectangle 126">
            <a:extLst>
              <a:ext uri="{FF2B5EF4-FFF2-40B4-BE49-F238E27FC236}">
                <a16:creationId xmlns:a16="http://schemas.microsoft.com/office/drawing/2014/main" id="{00000000-0008-0000-0000-00007F000000}"/>
              </a:ext>
            </a:extLst>
          </xdr:cNvPr>
          <xdr:cNvSpPr/>
        </xdr:nvSpPr>
        <xdr:spPr>
          <a:xfrm>
            <a:off x="1487582" y="2965722"/>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Spreadsheet</a:t>
            </a:r>
            <a:r>
              <a:rPr lang="en-GB" sz="1800" b="1" u="sng" baseline="0">
                <a:solidFill>
                  <a:schemeClr val="tx1">
                    <a:lumMod val="85000"/>
                    <a:lumOff val="15000"/>
                  </a:schemeClr>
                </a:solidFill>
              </a:rPr>
              <a:t> Functions</a:t>
            </a:r>
            <a:endParaRPr lang="en-GB" sz="1800" b="1" u="sng">
              <a:solidFill>
                <a:schemeClr val="tx1">
                  <a:lumMod val="85000"/>
                  <a:lumOff val="15000"/>
                </a:schemeClr>
              </a:solidFill>
            </a:endParaRPr>
          </a:p>
        </xdr:txBody>
      </xdr:sp>
    </xdr:grpSp>
    <xdr:clientData/>
  </xdr:twoCellAnchor>
  <xdr:twoCellAnchor>
    <xdr:from>
      <xdr:col>0</xdr:col>
      <xdr:colOff>495481</xdr:colOff>
      <xdr:row>47</xdr:row>
      <xdr:rowOff>12511</xdr:rowOff>
    </xdr:from>
    <xdr:to>
      <xdr:col>27</xdr:col>
      <xdr:colOff>96309</xdr:colOff>
      <xdr:row>68</xdr:row>
      <xdr:rowOff>142130</xdr:rowOff>
    </xdr:to>
    <xdr:grpSp>
      <xdr:nvGrpSpPr>
        <xdr:cNvPr id="117" name="Group 116">
          <a:extLst>
            <a:ext uri="{FF2B5EF4-FFF2-40B4-BE49-F238E27FC236}">
              <a16:creationId xmlns:a16="http://schemas.microsoft.com/office/drawing/2014/main" id="{00000000-0008-0000-0000-000075000000}"/>
            </a:ext>
          </a:extLst>
        </xdr:cNvPr>
        <xdr:cNvGrpSpPr/>
      </xdr:nvGrpSpPr>
      <xdr:grpSpPr>
        <a:xfrm>
          <a:off x="495481" y="8486586"/>
          <a:ext cx="16769641" cy="3886438"/>
          <a:chOff x="6350000" y="9118600"/>
          <a:chExt cx="16829258" cy="4114800"/>
        </a:xfrm>
      </xdr:grpSpPr>
      <xdr:sp macro="" textlink="">
        <xdr:nvSpPr>
          <xdr:cNvPr id="130" name="Rectangle 129">
            <a:extLst>
              <a:ext uri="{FF2B5EF4-FFF2-40B4-BE49-F238E27FC236}">
                <a16:creationId xmlns:a16="http://schemas.microsoft.com/office/drawing/2014/main" id="{00000000-0008-0000-0000-000082000000}"/>
              </a:ext>
            </a:extLst>
          </xdr:cNvPr>
          <xdr:cNvSpPr/>
        </xdr:nvSpPr>
        <xdr:spPr>
          <a:xfrm>
            <a:off x="6350000" y="9118600"/>
            <a:ext cx="16829258" cy="41148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6883308" y="10512001"/>
          <a:ext cx="2894319" cy="238811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61" name="Chart 60">
            <a:extLst>
              <a:ext uri="{FF2B5EF4-FFF2-40B4-BE49-F238E27FC236}">
                <a16:creationId xmlns:a16="http://schemas.microsoft.com/office/drawing/2014/main" id="{00000000-0008-0000-0000-00003D000000}"/>
              </a:ext>
            </a:extLst>
          </xdr:cNvPr>
          <xdr:cNvGraphicFramePr>
            <a:graphicFrameLocks/>
          </xdr:cNvGraphicFramePr>
        </xdr:nvGraphicFramePr>
        <xdr:xfrm>
          <a:off x="10192607" y="10494663"/>
          <a:ext cx="2887455" cy="237781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64" name="Chart 63">
            <a:extLst>
              <a:ext uri="{FF2B5EF4-FFF2-40B4-BE49-F238E27FC236}">
                <a16:creationId xmlns:a16="http://schemas.microsoft.com/office/drawing/2014/main" id="{00000000-0008-0000-0000-000040000000}"/>
              </a:ext>
            </a:extLst>
          </xdr:cNvPr>
          <xdr:cNvGraphicFramePr>
            <a:graphicFrameLocks/>
          </xdr:cNvGraphicFramePr>
        </xdr:nvGraphicFramePr>
        <xdr:xfrm>
          <a:off x="13492892" y="10482991"/>
          <a:ext cx="2887111" cy="238811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65" name="Chart 64">
            <a:extLst>
              <a:ext uri="{FF2B5EF4-FFF2-40B4-BE49-F238E27FC236}">
                <a16:creationId xmlns:a16="http://schemas.microsoft.com/office/drawing/2014/main" id="{00000000-0008-0000-0000-000041000000}"/>
              </a:ext>
            </a:extLst>
          </xdr:cNvPr>
          <xdr:cNvGraphicFramePr>
            <a:graphicFrameLocks/>
          </xdr:cNvGraphicFramePr>
        </xdr:nvGraphicFramePr>
        <xdr:xfrm>
          <a:off x="16764687" y="10491229"/>
          <a:ext cx="2887111" cy="2377813"/>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68" name="Chart 67">
            <a:extLst>
              <a:ext uri="{FF2B5EF4-FFF2-40B4-BE49-F238E27FC236}">
                <a16:creationId xmlns:a16="http://schemas.microsoft.com/office/drawing/2014/main" id="{00000000-0008-0000-0000-000044000000}"/>
              </a:ext>
            </a:extLst>
          </xdr:cNvPr>
          <xdr:cNvGraphicFramePr>
            <a:graphicFrameLocks/>
          </xdr:cNvGraphicFramePr>
        </xdr:nvGraphicFramePr>
        <xdr:xfrm>
          <a:off x="19959251" y="10503586"/>
          <a:ext cx="2887454" cy="2377813"/>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131" name="Rectangle 130">
            <a:extLst>
              <a:ext uri="{FF2B5EF4-FFF2-40B4-BE49-F238E27FC236}">
                <a16:creationId xmlns:a16="http://schemas.microsoft.com/office/drawing/2014/main" id="{00000000-0008-0000-0000-000083000000}"/>
              </a:ext>
            </a:extLst>
          </xdr:cNvPr>
          <xdr:cNvSpPr/>
        </xdr:nvSpPr>
        <xdr:spPr>
          <a:xfrm>
            <a:off x="11776551" y="9183664"/>
            <a:ext cx="5765312" cy="7412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X-Plotting</a:t>
            </a:r>
            <a:r>
              <a:rPr lang="en-GB" sz="1800" b="1" u="sng" baseline="0">
                <a:solidFill>
                  <a:schemeClr val="tx1">
                    <a:lumMod val="85000"/>
                    <a:lumOff val="15000"/>
                  </a:schemeClr>
                </a:solidFill>
              </a:rPr>
              <a:t> Trainable Model Paremeters Against Cost </a:t>
            </a:r>
          </a:p>
          <a:p>
            <a:pPr algn="ctr"/>
            <a:r>
              <a:rPr lang="en-GB" sz="1400" b="0" i="1" u="none" baseline="0">
                <a:solidFill>
                  <a:schemeClr val="tx1">
                    <a:lumMod val="85000"/>
                    <a:lumOff val="15000"/>
                  </a:schemeClr>
                </a:solidFill>
              </a:rPr>
              <a:t>Dynamic x-plots update upon each iteration</a:t>
            </a:r>
            <a:endParaRPr lang="en-GB" sz="1400" b="0" i="1" u="none">
              <a:solidFill>
                <a:schemeClr val="tx1">
                  <a:lumMod val="85000"/>
                  <a:lumOff val="15000"/>
                </a:schemeClr>
              </a:solidFill>
            </a:endParaRPr>
          </a:p>
        </xdr:txBody>
      </xdr:sp>
      <xdr:sp macro="" textlink="">
        <xdr:nvSpPr>
          <xdr:cNvPr id="132" name="Rectangle 131">
            <a:extLst>
              <a:ext uri="{FF2B5EF4-FFF2-40B4-BE49-F238E27FC236}">
                <a16:creationId xmlns:a16="http://schemas.microsoft.com/office/drawing/2014/main" id="{00000000-0008-0000-0000-000084000000}"/>
              </a:ext>
            </a:extLst>
          </xdr:cNvPr>
          <xdr:cNvSpPr/>
        </xdr:nvSpPr>
        <xdr:spPr>
          <a:xfrm>
            <a:off x="7455388" y="100156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3</a:t>
            </a:r>
            <a:endParaRPr lang="en-GB" sz="1400" b="0" i="1" u="none">
              <a:solidFill>
                <a:schemeClr val="tx1">
                  <a:lumMod val="85000"/>
                  <a:lumOff val="15000"/>
                </a:schemeClr>
              </a:solidFill>
            </a:endParaRPr>
          </a:p>
        </xdr:txBody>
      </xdr:sp>
      <xdr:sp macro="" textlink="">
        <xdr:nvSpPr>
          <xdr:cNvPr id="133" name="Rectangle 132">
            <a:extLst>
              <a:ext uri="{FF2B5EF4-FFF2-40B4-BE49-F238E27FC236}">
                <a16:creationId xmlns:a16="http://schemas.microsoft.com/office/drawing/2014/main" id="{00000000-0008-0000-0000-000085000000}"/>
              </a:ext>
            </a:extLst>
          </xdr:cNvPr>
          <xdr:cNvSpPr/>
        </xdr:nvSpPr>
        <xdr:spPr>
          <a:xfrm>
            <a:off x="10770088" y="99648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2</a:t>
            </a:r>
            <a:endParaRPr lang="en-GB" sz="1400" b="0" i="1" u="none">
              <a:solidFill>
                <a:schemeClr val="tx1">
                  <a:lumMod val="85000"/>
                  <a:lumOff val="15000"/>
                </a:schemeClr>
              </a:solidFill>
            </a:endParaRPr>
          </a:p>
        </xdr:txBody>
      </xdr:sp>
      <xdr:sp macro="" textlink="">
        <xdr:nvSpPr>
          <xdr:cNvPr id="134" name="Rectangle 133">
            <a:extLst>
              <a:ext uri="{FF2B5EF4-FFF2-40B4-BE49-F238E27FC236}">
                <a16:creationId xmlns:a16="http://schemas.microsoft.com/office/drawing/2014/main" id="{00000000-0008-0000-0000-000086000000}"/>
              </a:ext>
            </a:extLst>
          </xdr:cNvPr>
          <xdr:cNvSpPr/>
        </xdr:nvSpPr>
        <xdr:spPr>
          <a:xfrm>
            <a:off x="14072088" y="99267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2</a:t>
            </a:r>
            <a:endParaRPr lang="en-GB" sz="1400" b="0" i="1" u="none">
              <a:solidFill>
                <a:schemeClr val="tx1">
                  <a:lumMod val="85000"/>
                  <a:lumOff val="15000"/>
                </a:schemeClr>
              </a:solidFill>
            </a:endParaRPr>
          </a:p>
        </xdr:txBody>
      </xdr:sp>
      <xdr:sp macro="" textlink="">
        <xdr:nvSpPr>
          <xdr:cNvPr id="135" name="Rectangle 134">
            <a:extLst>
              <a:ext uri="{FF2B5EF4-FFF2-40B4-BE49-F238E27FC236}">
                <a16:creationId xmlns:a16="http://schemas.microsoft.com/office/drawing/2014/main" id="{00000000-0008-0000-0000-000087000000}"/>
              </a:ext>
            </a:extLst>
          </xdr:cNvPr>
          <xdr:cNvSpPr/>
        </xdr:nvSpPr>
        <xdr:spPr>
          <a:xfrm>
            <a:off x="17437588" y="99140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sp macro="" textlink="">
        <xdr:nvSpPr>
          <xdr:cNvPr id="137" name="Rectangle 136">
            <a:extLst>
              <a:ext uri="{FF2B5EF4-FFF2-40B4-BE49-F238E27FC236}">
                <a16:creationId xmlns:a16="http://schemas.microsoft.com/office/drawing/2014/main" id="{00000000-0008-0000-0000-000089000000}"/>
              </a:ext>
            </a:extLst>
          </xdr:cNvPr>
          <xdr:cNvSpPr/>
        </xdr:nvSpPr>
        <xdr:spPr>
          <a:xfrm>
            <a:off x="20688788" y="99013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grpSp>
    <xdr:clientData/>
  </xdr:twoCellAnchor>
  <xdr:twoCellAnchor>
    <xdr:from>
      <xdr:col>22</xdr:col>
      <xdr:colOff>349250</xdr:colOff>
      <xdr:row>15</xdr:row>
      <xdr:rowOff>119063</xdr:rowOff>
    </xdr:from>
    <xdr:to>
      <xdr:col>33</xdr:col>
      <xdr:colOff>0</xdr:colOff>
      <xdr:row>44</xdr:row>
      <xdr:rowOff>39687</xdr:rowOff>
    </xdr:to>
    <xdr:grpSp>
      <xdr:nvGrpSpPr>
        <xdr:cNvPr id="1030" name="Group 1029">
          <a:extLst>
            <a:ext uri="{FF2B5EF4-FFF2-40B4-BE49-F238E27FC236}">
              <a16:creationId xmlns:a16="http://schemas.microsoft.com/office/drawing/2014/main" id="{00000000-0008-0000-0000-000006040000}"/>
            </a:ext>
          </a:extLst>
        </xdr:cNvPr>
        <xdr:cNvGrpSpPr/>
      </xdr:nvGrpSpPr>
      <xdr:grpSpPr>
        <a:xfrm>
          <a:off x="14354175" y="2884488"/>
          <a:ext cx="6457950" cy="5096668"/>
          <a:chOff x="14478000" y="2891896"/>
          <a:chExt cx="6519333" cy="5138208"/>
        </a:xfrm>
      </xdr:grpSpPr>
      <xdr:sp macro="" textlink="">
        <xdr:nvSpPr>
          <xdr:cNvPr id="160" name="Rectangle 159">
            <a:extLst>
              <a:ext uri="{FF2B5EF4-FFF2-40B4-BE49-F238E27FC236}">
                <a16:creationId xmlns:a16="http://schemas.microsoft.com/office/drawing/2014/main" id="{00000000-0008-0000-0000-0000A0000000}"/>
              </a:ext>
            </a:extLst>
          </xdr:cNvPr>
          <xdr:cNvSpPr/>
        </xdr:nvSpPr>
        <xdr:spPr>
          <a:xfrm>
            <a:off x="14478000" y="2891896"/>
            <a:ext cx="6519333" cy="5138208"/>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0"/>
          <a:stretch>
            <a:fillRect/>
          </a:stretch>
        </xdr:blipFill>
        <xdr:spPr>
          <a:xfrm>
            <a:off x="14782800" y="6143089"/>
            <a:ext cx="2772832" cy="662986"/>
          </a:xfrm>
          <a:prstGeom prst="rect">
            <a:avLst/>
          </a:prstGeom>
        </xdr:spPr>
      </xdr:pic>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1"/>
          <a:stretch>
            <a:fillRect/>
          </a:stretch>
        </xdr:blipFill>
        <xdr:spPr>
          <a:xfrm>
            <a:off x="14797617" y="6965416"/>
            <a:ext cx="2056342" cy="739257"/>
          </a:xfrm>
          <a:prstGeom prst="rect">
            <a:avLst/>
          </a:prstGeom>
        </xdr:spPr>
      </xdr:pic>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0"/>
          <a:stretch>
            <a:fillRect/>
          </a:stretch>
        </xdr:blipFill>
        <xdr:spPr>
          <a:xfrm>
            <a:off x="17936634" y="6118747"/>
            <a:ext cx="2769656" cy="666161"/>
          </a:xfrm>
          <a:prstGeom prst="rect">
            <a:avLst/>
          </a:prstGeom>
        </xdr:spPr>
      </xdr:pic>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1"/>
          <a:stretch>
            <a:fillRect/>
          </a:stretch>
        </xdr:blipFill>
        <xdr:spPr>
          <a:xfrm>
            <a:off x="17951451" y="6947424"/>
            <a:ext cx="2056342" cy="736082"/>
          </a:xfrm>
          <a:prstGeom prst="rect">
            <a:avLst/>
          </a:prstGeom>
        </xdr:spPr>
      </xdr:pic>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2"/>
          <a:stretch>
            <a:fillRect/>
          </a:stretch>
        </xdr:blipFill>
        <xdr:spPr>
          <a:xfrm>
            <a:off x="17905412" y="4303138"/>
            <a:ext cx="2517246" cy="706379"/>
          </a:xfrm>
          <a:prstGeom prst="rect">
            <a:avLst/>
          </a:prstGeom>
        </xdr:spPr>
      </xdr:pic>
      <xdr:pic>
        <xdr:nvPicPr>
          <xdr:cNvPr id="27" name="Pictur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3"/>
          <a:stretch>
            <a:fillRect/>
          </a:stretch>
        </xdr:blipFill>
        <xdr:spPr>
          <a:xfrm>
            <a:off x="17920229" y="5208580"/>
            <a:ext cx="1117520" cy="722844"/>
          </a:xfrm>
          <a:prstGeom prst="rect">
            <a:avLst/>
          </a:prstGeom>
        </xdr:spPr>
      </xdr:pic>
      <xdr:sp macro="" textlink="">
        <xdr:nvSpPr>
          <xdr:cNvPr id="56" name="Rectangle 55">
            <a:extLst>
              <a:ext uri="{FF2B5EF4-FFF2-40B4-BE49-F238E27FC236}">
                <a16:creationId xmlns:a16="http://schemas.microsoft.com/office/drawing/2014/main" id="{00000000-0008-0000-0000-000038000000}"/>
              </a:ext>
            </a:extLst>
          </xdr:cNvPr>
          <xdr:cNvSpPr/>
        </xdr:nvSpPr>
        <xdr:spPr>
          <a:xfrm>
            <a:off x="14681200" y="6047839"/>
            <a:ext cx="6194425" cy="1664758"/>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1" name="Rectangle 160">
            <a:extLst>
              <a:ext uri="{FF2B5EF4-FFF2-40B4-BE49-F238E27FC236}">
                <a16:creationId xmlns:a16="http://schemas.microsoft.com/office/drawing/2014/main" id="{00000000-0008-0000-0000-0000A1000000}"/>
              </a:ext>
            </a:extLst>
          </xdr:cNvPr>
          <xdr:cNvSpPr/>
        </xdr:nvSpPr>
        <xdr:spPr>
          <a:xfrm>
            <a:off x="14716125" y="2947458"/>
            <a:ext cx="599464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Hidden Layer to Output Layer -</a:t>
            </a:r>
            <a:r>
              <a:rPr lang="en-GB" sz="1800" b="1" u="sng" baseline="0">
                <a:solidFill>
                  <a:schemeClr val="tx1">
                    <a:lumMod val="85000"/>
                    <a:lumOff val="15000"/>
                  </a:schemeClr>
                </a:solidFill>
              </a:rPr>
              <a:t> Partial Differents of Cost</a:t>
            </a:r>
          </a:p>
          <a:p>
            <a:pPr algn="ctr"/>
            <a:r>
              <a:rPr lang="en-GB" sz="1400" b="0" i="1" u="none" baseline="0">
                <a:solidFill>
                  <a:schemeClr val="tx1">
                    <a:lumMod val="85000"/>
                    <a:lumOff val="15000"/>
                  </a:schemeClr>
                </a:solidFill>
              </a:rPr>
              <a:t>Note the red box denotes the differentials that are the same between w3 and b3</a:t>
            </a:r>
            <a:r>
              <a:rPr lang="en-GB" sz="1400" b="0" i="1" u="none">
                <a:solidFill>
                  <a:schemeClr val="tx1">
                    <a:lumMod val="85000"/>
                    <a:lumOff val="15000"/>
                  </a:schemeClr>
                </a:solidFill>
              </a:rPr>
              <a:t> </a:t>
            </a:r>
            <a:endParaRPr lang="en-GB" sz="1100" b="0" i="1" u="none">
              <a:solidFill>
                <a:schemeClr val="tx1">
                  <a:lumMod val="85000"/>
                  <a:lumOff val="15000"/>
                </a:schemeClr>
              </a:solidFill>
            </a:endParaRPr>
          </a:p>
        </xdr:txBody>
      </xdr:sp>
      <xdr:pic>
        <xdr:nvPicPr>
          <xdr:cNvPr id="162" name="Picture 161">
            <a:extLst>
              <a:ext uri="{FF2B5EF4-FFF2-40B4-BE49-F238E27FC236}">
                <a16:creationId xmlns:a16="http://schemas.microsoft.com/office/drawing/2014/main" id="{00000000-0008-0000-0000-0000A2000000}"/>
              </a:ext>
            </a:extLst>
          </xdr:cNvPr>
          <xdr:cNvPicPr>
            <a:picLocks noChangeAspect="1"/>
          </xdr:cNvPicPr>
        </xdr:nvPicPr>
        <xdr:blipFill>
          <a:blip xmlns:r="http://schemas.openxmlformats.org/officeDocument/2006/relationships" r:embed="rId14"/>
          <a:stretch>
            <a:fillRect/>
          </a:stretch>
        </xdr:blipFill>
        <xdr:spPr>
          <a:xfrm>
            <a:off x="14811377" y="4264018"/>
            <a:ext cx="2586566" cy="727610"/>
          </a:xfrm>
          <a:prstGeom prst="rect">
            <a:avLst/>
          </a:prstGeom>
        </xdr:spPr>
      </xdr:pic>
      <xdr:pic>
        <xdr:nvPicPr>
          <xdr:cNvPr id="163" name="Picture 162">
            <a:extLst>
              <a:ext uri="{FF2B5EF4-FFF2-40B4-BE49-F238E27FC236}">
                <a16:creationId xmlns:a16="http://schemas.microsoft.com/office/drawing/2014/main" id="{00000000-0008-0000-0000-0000A3000000}"/>
              </a:ext>
            </a:extLst>
          </xdr:cNvPr>
          <xdr:cNvPicPr>
            <a:picLocks noChangeAspect="1"/>
          </xdr:cNvPicPr>
        </xdr:nvPicPr>
        <xdr:blipFill>
          <a:blip xmlns:r="http://schemas.openxmlformats.org/officeDocument/2006/relationships" r:embed="rId1"/>
          <a:stretch>
            <a:fillRect/>
          </a:stretch>
        </xdr:blipFill>
        <xdr:spPr>
          <a:xfrm>
            <a:off x="14775391" y="5205936"/>
            <a:ext cx="1231922" cy="677334"/>
          </a:xfrm>
          <a:prstGeom prst="rect">
            <a:avLst/>
          </a:prstGeom>
        </xdr:spPr>
      </xdr:pic>
      <xdr:sp macro="" textlink="">
        <xdr:nvSpPr>
          <xdr:cNvPr id="164" name="Rectangle 163">
            <a:extLst>
              <a:ext uri="{FF2B5EF4-FFF2-40B4-BE49-F238E27FC236}">
                <a16:creationId xmlns:a16="http://schemas.microsoft.com/office/drawing/2014/main" id="{00000000-0008-0000-0000-0000A4000000}"/>
              </a:ext>
            </a:extLst>
          </xdr:cNvPr>
          <xdr:cNvSpPr/>
        </xdr:nvSpPr>
        <xdr:spPr>
          <a:xfrm>
            <a:off x="15273339" y="3644900"/>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3</a:t>
            </a:r>
            <a:endParaRPr lang="en-GB" sz="1100" b="0" i="1" u="none">
              <a:solidFill>
                <a:schemeClr val="tx1">
                  <a:lumMod val="85000"/>
                  <a:lumOff val="15000"/>
                </a:schemeClr>
              </a:solidFill>
            </a:endParaRPr>
          </a:p>
        </xdr:txBody>
      </xdr:sp>
      <xdr:sp macro="" textlink="">
        <xdr:nvSpPr>
          <xdr:cNvPr id="165" name="Rectangle 164">
            <a:extLst>
              <a:ext uri="{FF2B5EF4-FFF2-40B4-BE49-F238E27FC236}">
                <a16:creationId xmlns:a16="http://schemas.microsoft.com/office/drawing/2014/main" id="{00000000-0008-0000-0000-0000A5000000}"/>
              </a:ext>
            </a:extLst>
          </xdr:cNvPr>
          <xdr:cNvSpPr/>
        </xdr:nvSpPr>
        <xdr:spPr>
          <a:xfrm>
            <a:off x="18439343" y="3630613"/>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3</a:t>
            </a:r>
            <a:endParaRPr lang="en-GB" sz="1100" b="0" i="1" u="none">
              <a:solidFill>
                <a:schemeClr val="tx1">
                  <a:lumMod val="85000"/>
                  <a:lumOff val="15000"/>
                </a:schemeClr>
              </a:solidFill>
            </a:endParaRPr>
          </a:p>
        </xdr:txBody>
      </xdr:sp>
    </xdr:grpSp>
    <xdr:clientData/>
  </xdr:twoCellAnchor>
  <xdr:twoCellAnchor>
    <xdr:from>
      <xdr:col>33</xdr:col>
      <xdr:colOff>588963</xdr:colOff>
      <xdr:row>15</xdr:row>
      <xdr:rowOff>101600</xdr:rowOff>
    </xdr:from>
    <xdr:to>
      <xdr:col>54</xdr:col>
      <xdr:colOff>550334</xdr:colOff>
      <xdr:row>54</xdr:row>
      <xdr:rowOff>140759</xdr:rowOff>
    </xdr:to>
    <xdr:grpSp>
      <xdr:nvGrpSpPr>
        <xdr:cNvPr id="1031" name="Group 1030">
          <a:extLst>
            <a:ext uri="{FF2B5EF4-FFF2-40B4-BE49-F238E27FC236}">
              <a16:creationId xmlns:a16="http://schemas.microsoft.com/office/drawing/2014/main" id="{00000000-0008-0000-0000-000007040000}"/>
            </a:ext>
          </a:extLst>
        </xdr:cNvPr>
        <xdr:cNvGrpSpPr/>
      </xdr:nvGrpSpPr>
      <xdr:grpSpPr>
        <a:xfrm>
          <a:off x="21401088" y="2867025"/>
          <a:ext cx="12712965" cy="7004315"/>
          <a:chOff x="21586296" y="2877608"/>
          <a:chExt cx="12851871" cy="7049559"/>
        </a:xfrm>
      </xdr:grpSpPr>
      <xdr:sp macro="" textlink="">
        <xdr:nvSpPr>
          <xdr:cNvPr id="166" name="Rectangle 165">
            <a:extLst>
              <a:ext uri="{FF2B5EF4-FFF2-40B4-BE49-F238E27FC236}">
                <a16:creationId xmlns:a16="http://schemas.microsoft.com/office/drawing/2014/main" id="{00000000-0008-0000-0000-0000A6000000}"/>
              </a:ext>
            </a:extLst>
          </xdr:cNvPr>
          <xdr:cNvSpPr/>
        </xdr:nvSpPr>
        <xdr:spPr>
          <a:xfrm>
            <a:off x="21586296" y="2877608"/>
            <a:ext cx="12851871" cy="7049559"/>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21664083" y="4308369"/>
            <a:ext cx="3766609" cy="757790"/>
          </a:xfrm>
          <a:prstGeom prst="rect">
            <a:avLst/>
          </a:prstGeom>
        </xdr:spPr>
      </xdr:pic>
      <xdr:pic>
        <xdr:nvPicPr>
          <xdr:cNvPr id="30" name="Pictur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6"/>
          <a:stretch>
            <a:fillRect/>
          </a:stretch>
        </xdr:blipFill>
        <xdr:spPr>
          <a:xfrm>
            <a:off x="25918584" y="4304135"/>
            <a:ext cx="3778249" cy="741026"/>
          </a:xfrm>
          <a:prstGeom prst="rect">
            <a:avLst/>
          </a:prstGeom>
        </xdr:spPr>
      </xdr:pic>
      <xdr:pic>
        <xdr:nvPicPr>
          <xdr:cNvPr id="31" name="Pictur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7"/>
          <a:stretch>
            <a:fillRect/>
          </a:stretch>
        </xdr:blipFill>
        <xdr:spPr>
          <a:xfrm>
            <a:off x="30201658" y="4313990"/>
            <a:ext cx="3792009" cy="731695"/>
          </a:xfrm>
          <a:prstGeom prst="rect">
            <a:avLst/>
          </a:prstGeom>
        </xdr:spPr>
      </xdr:pic>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11"/>
          <a:stretch>
            <a:fillRect/>
          </a:stretch>
        </xdr:blipFill>
        <xdr:spPr>
          <a:xfrm>
            <a:off x="21976292" y="8703733"/>
            <a:ext cx="2069042" cy="742433"/>
          </a:xfrm>
          <a:prstGeom prst="rect">
            <a:avLst/>
          </a:prstGeom>
        </xdr:spPr>
      </xdr:pic>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10"/>
          <a:stretch>
            <a:fillRect/>
          </a:stretch>
        </xdr:blipFill>
        <xdr:spPr>
          <a:xfrm>
            <a:off x="21981583" y="7891993"/>
            <a:ext cx="2779181" cy="672511"/>
          </a:xfrm>
          <a:prstGeom prst="rect">
            <a:avLst/>
          </a:prstGeom>
        </xdr:spPr>
      </xdr:pic>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18"/>
          <a:stretch>
            <a:fillRect/>
          </a:stretch>
        </xdr:blipFill>
        <xdr:spPr>
          <a:xfrm>
            <a:off x="21960418" y="6980767"/>
            <a:ext cx="1366307" cy="767389"/>
          </a:xfrm>
          <a:prstGeom prst="rect">
            <a:avLst/>
          </a:prstGeom>
        </xdr:spPr>
      </xdr:pic>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19"/>
          <a:stretch>
            <a:fillRect/>
          </a:stretch>
        </xdr:blipFill>
        <xdr:spPr>
          <a:xfrm>
            <a:off x="21907501" y="6026151"/>
            <a:ext cx="3058583" cy="739413"/>
          </a:xfrm>
          <a:prstGeom prst="rect">
            <a:avLst/>
          </a:prstGeom>
        </xdr:spPr>
      </xdr:pic>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1"/>
          <a:stretch>
            <a:fillRect/>
          </a:stretch>
        </xdr:blipFill>
        <xdr:spPr>
          <a:xfrm>
            <a:off x="26241375" y="8675158"/>
            <a:ext cx="2069042" cy="732908"/>
          </a:xfrm>
          <a:prstGeom prst="rect">
            <a:avLst/>
          </a:prstGeom>
        </xdr:spPr>
      </xdr:pic>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0"/>
          <a:stretch>
            <a:fillRect/>
          </a:stretch>
        </xdr:blipFill>
        <xdr:spPr>
          <a:xfrm>
            <a:off x="26246666" y="7853893"/>
            <a:ext cx="2772833" cy="675686"/>
          </a:xfrm>
          <a:prstGeom prst="rect">
            <a:avLst/>
          </a:prstGeom>
        </xdr:spPr>
      </xdr:pic>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8"/>
          <a:stretch>
            <a:fillRect/>
          </a:stretch>
        </xdr:blipFill>
        <xdr:spPr>
          <a:xfrm>
            <a:off x="26219151" y="6952192"/>
            <a:ext cx="1372659" cy="767389"/>
          </a:xfrm>
          <a:prstGeom prst="rect">
            <a:avLst/>
          </a:prstGeom>
        </xdr:spPr>
      </xdr:pic>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9"/>
          <a:stretch>
            <a:fillRect/>
          </a:stretch>
        </xdr:blipFill>
        <xdr:spPr>
          <a:xfrm>
            <a:off x="26172584" y="5997576"/>
            <a:ext cx="3061760" cy="739413"/>
          </a:xfrm>
          <a:prstGeom prst="rect">
            <a:avLst/>
          </a:prstGeom>
        </xdr:spPr>
      </xdr:pic>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1"/>
          <a:stretch>
            <a:fillRect/>
          </a:stretch>
        </xdr:blipFill>
        <xdr:spPr>
          <a:xfrm>
            <a:off x="30362524" y="8688916"/>
            <a:ext cx="2065867" cy="736083"/>
          </a:xfrm>
          <a:prstGeom prst="rect">
            <a:avLst/>
          </a:prstGeom>
        </xdr:spPr>
      </xdr:pic>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0"/>
          <a:stretch>
            <a:fillRect/>
          </a:stretch>
        </xdr:blipFill>
        <xdr:spPr>
          <a:xfrm>
            <a:off x="30377340" y="7874001"/>
            <a:ext cx="2782358" cy="669336"/>
          </a:xfrm>
          <a:prstGeom prst="rect">
            <a:avLst/>
          </a:prstGeom>
        </xdr:spPr>
      </xdr:pic>
      <xdr:pic>
        <xdr:nvPicPr>
          <xdr:cNvPr id="46" name="Pictur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8"/>
          <a:stretch>
            <a:fillRect/>
          </a:stretch>
        </xdr:blipFill>
        <xdr:spPr>
          <a:xfrm>
            <a:off x="30349825" y="6962775"/>
            <a:ext cx="1369483" cy="767389"/>
          </a:xfrm>
          <a:prstGeom prst="rect">
            <a:avLst/>
          </a:prstGeom>
        </xdr:spPr>
      </xdr:pic>
      <xdr:pic>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9"/>
          <a:stretch>
            <a:fillRect/>
          </a:stretch>
        </xdr:blipFill>
        <xdr:spPr>
          <a:xfrm>
            <a:off x="30303258" y="6008159"/>
            <a:ext cx="3058584" cy="736238"/>
          </a:xfrm>
          <a:prstGeom prst="rect">
            <a:avLst/>
          </a:prstGeom>
        </xdr:spPr>
      </xdr:pic>
      <xdr:pic>
        <xdr:nvPicPr>
          <xdr:cNvPr id="52" name="Pictur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20"/>
          <a:stretch>
            <a:fillRect/>
          </a:stretch>
        </xdr:blipFill>
        <xdr:spPr>
          <a:xfrm>
            <a:off x="21960418" y="5228168"/>
            <a:ext cx="1308982" cy="674158"/>
          </a:xfrm>
          <a:prstGeom prst="rect">
            <a:avLst/>
          </a:prstGeom>
        </xdr:spPr>
      </xdr:pic>
      <xdr:pic>
        <xdr:nvPicPr>
          <xdr:cNvPr id="53" name="Picture 52">
            <a:extLst>
              <a:ext uri="{FF2B5EF4-FFF2-40B4-BE49-F238E27FC236}">
                <a16:creationId xmlns:a16="http://schemas.microsoft.com/office/drawing/2014/main" id="{00000000-0008-0000-0000-000035000000}"/>
              </a:ext>
            </a:extLst>
          </xdr:cNvPr>
          <xdr:cNvPicPr>
            <a:picLocks noChangeAspect="1"/>
          </xdr:cNvPicPr>
        </xdr:nvPicPr>
        <xdr:blipFill>
          <a:blip xmlns:r="http://schemas.openxmlformats.org/officeDocument/2006/relationships" r:embed="rId21"/>
          <a:stretch>
            <a:fillRect/>
          </a:stretch>
        </xdr:blipFill>
        <xdr:spPr>
          <a:xfrm>
            <a:off x="26176817" y="5140326"/>
            <a:ext cx="1170518" cy="763643"/>
          </a:xfrm>
          <a:prstGeom prst="rect">
            <a:avLst/>
          </a:prstGeom>
        </xdr:spPr>
      </xdr:pic>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22"/>
          <a:stretch>
            <a:fillRect/>
          </a:stretch>
        </xdr:blipFill>
        <xdr:spPr>
          <a:xfrm>
            <a:off x="30342416" y="5143501"/>
            <a:ext cx="1454150" cy="753609"/>
          </a:xfrm>
          <a:prstGeom prst="rect">
            <a:avLst/>
          </a:prstGeom>
        </xdr:spPr>
      </xdr:pic>
      <xdr:sp macro="" textlink="">
        <xdr:nvSpPr>
          <xdr:cNvPr id="59" name="Rectangle 58">
            <a:extLst>
              <a:ext uri="{FF2B5EF4-FFF2-40B4-BE49-F238E27FC236}">
                <a16:creationId xmlns:a16="http://schemas.microsoft.com/office/drawing/2014/main" id="{00000000-0008-0000-0000-00003B000000}"/>
              </a:ext>
            </a:extLst>
          </xdr:cNvPr>
          <xdr:cNvSpPr/>
        </xdr:nvSpPr>
        <xdr:spPr>
          <a:xfrm>
            <a:off x="21801667" y="6000749"/>
            <a:ext cx="12403666" cy="3651250"/>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70" name="Rectangle 169">
            <a:extLst>
              <a:ext uri="{FF2B5EF4-FFF2-40B4-BE49-F238E27FC236}">
                <a16:creationId xmlns:a16="http://schemas.microsoft.com/office/drawing/2014/main" id="{00000000-0008-0000-0000-0000AA000000}"/>
              </a:ext>
            </a:extLst>
          </xdr:cNvPr>
          <xdr:cNvSpPr/>
        </xdr:nvSpPr>
        <xdr:spPr>
          <a:xfrm>
            <a:off x="21949834" y="2947459"/>
            <a:ext cx="12012084" cy="8754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Input Layer</a:t>
            </a:r>
            <a:r>
              <a:rPr lang="en-GB" sz="1800" b="1" u="sng" baseline="0">
                <a:solidFill>
                  <a:schemeClr val="tx1">
                    <a:lumMod val="85000"/>
                    <a:lumOff val="15000"/>
                  </a:schemeClr>
                </a:solidFill>
              </a:rPr>
              <a:t> </a:t>
            </a:r>
            <a:r>
              <a:rPr lang="en-GB" sz="1800" b="1" u="sng">
                <a:solidFill>
                  <a:schemeClr val="tx1">
                    <a:lumMod val="85000"/>
                    <a:lumOff val="15000"/>
                  </a:schemeClr>
                </a:solidFill>
              </a:rPr>
              <a:t>to Hidden Layer -</a:t>
            </a:r>
            <a:r>
              <a:rPr lang="en-GB" sz="1800" b="1" u="sng" baseline="0">
                <a:solidFill>
                  <a:schemeClr val="tx1">
                    <a:lumMod val="85000"/>
                    <a:lumOff val="15000"/>
                  </a:schemeClr>
                </a:solidFill>
              </a:rPr>
              <a:t> Partial Differential of Cost</a:t>
            </a:r>
          </a:p>
          <a:p>
            <a:pPr algn="ctr"/>
            <a:r>
              <a:rPr lang="en-GB" sz="1400" b="0" i="1" u="none" baseline="0">
                <a:solidFill>
                  <a:schemeClr val="tx1">
                    <a:lumMod val="85000"/>
                    <a:lumOff val="15000"/>
                  </a:schemeClr>
                </a:solidFill>
              </a:rPr>
              <a:t>Note the red box denotes the differentials that are the same between w1, w2, b1 and b2. Also note, increasing number of partial differentials reliant on the previous layer - more susceptible to vanishing / exploding gradient.  </a:t>
            </a:r>
          </a:p>
        </xdr:txBody>
      </xdr:sp>
      <xdr:sp macro="" textlink="">
        <xdr:nvSpPr>
          <xdr:cNvPr id="171" name="Rectangle 170">
            <a:extLst>
              <a:ext uri="{FF2B5EF4-FFF2-40B4-BE49-F238E27FC236}">
                <a16:creationId xmlns:a16="http://schemas.microsoft.com/office/drawing/2014/main" id="{00000000-0008-0000-0000-0000AB000000}"/>
              </a:ext>
            </a:extLst>
          </xdr:cNvPr>
          <xdr:cNvSpPr/>
        </xdr:nvSpPr>
        <xdr:spPr>
          <a:xfrm>
            <a:off x="22962131" y="3634202"/>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2</a:t>
            </a:r>
            <a:endParaRPr lang="en-GB" sz="1100" b="0" i="1" u="none">
              <a:solidFill>
                <a:schemeClr val="tx1">
                  <a:lumMod val="85000"/>
                  <a:lumOff val="15000"/>
                </a:schemeClr>
              </a:solidFill>
            </a:endParaRPr>
          </a:p>
        </xdr:txBody>
      </xdr:sp>
      <xdr:sp macro="" textlink="">
        <xdr:nvSpPr>
          <xdr:cNvPr id="172" name="Rectangle 171">
            <a:extLst>
              <a:ext uri="{FF2B5EF4-FFF2-40B4-BE49-F238E27FC236}">
                <a16:creationId xmlns:a16="http://schemas.microsoft.com/office/drawing/2014/main" id="{00000000-0008-0000-0000-0000AC000000}"/>
              </a:ext>
            </a:extLst>
          </xdr:cNvPr>
          <xdr:cNvSpPr/>
        </xdr:nvSpPr>
        <xdr:spPr>
          <a:xfrm>
            <a:off x="27218219" y="3662248"/>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2</a:t>
            </a:r>
            <a:endParaRPr lang="en-GB" sz="1100" b="0" i="1" u="none">
              <a:solidFill>
                <a:schemeClr val="tx1">
                  <a:lumMod val="85000"/>
                  <a:lumOff val="15000"/>
                </a:schemeClr>
              </a:solidFill>
            </a:endParaRPr>
          </a:p>
        </xdr:txBody>
      </xdr:sp>
      <xdr:sp macro="" textlink="">
        <xdr:nvSpPr>
          <xdr:cNvPr id="173" name="Rectangle 172">
            <a:extLst>
              <a:ext uri="{FF2B5EF4-FFF2-40B4-BE49-F238E27FC236}">
                <a16:creationId xmlns:a16="http://schemas.microsoft.com/office/drawing/2014/main" id="{00000000-0008-0000-0000-0000AD000000}"/>
              </a:ext>
            </a:extLst>
          </xdr:cNvPr>
          <xdr:cNvSpPr/>
        </xdr:nvSpPr>
        <xdr:spPr>
          <a:xfrm>
            <a:off x="31369531" y="3659603"/>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100" b="0" i="1" u="none">
              <a:solidFill>
                <a:schemeClr val="tx1">
                  <a:lumMod val="85000"/>
                  <a:lumOff val="15000"/>
                </a:schemeClr>
              </a:solidFill>
            </a:endParaRPr>
          </a:p>
        </xdr:txBody>
      </xdr:sp>
    </xdr:grpSp>
    <xdr:clientData/>
  </xdr:twoCellAnchor>
  <xdr:twoCellAnchor>
    <xdr:from>
      <xdr:col>0</xdr:col>
      <xdr:colOff>530286</xdr:colOff>
      <xdr:row>32</xdr:row>
      <xdr:rowOff>95251</xdr:rowOff>
    </xdr:from>
    <xdr:to>
      <xdr:col>4</xdr:col>
      <xdr:colOff>42334</xdr:colOff>
      <xdr:row>44</xdr:row>
      <xdr:rowOff>105834</xdr:rowOff>
    </xdr:to>
    <xdr:grpSp>
      <xdr:nvGrpSpPr>
        <xdr:cNvPr id="1032" name="Group 1031">
          <a:extLst>
            <a:ext uri="{FF2B5EF4-FFF2-40B4-BE49-F238E27FC236}">
              <a16:creationId xmlns:a16="http://schemas.microsoft.com/office/drawing/2014/main" id="{00000000-0008-0000-0000-000008040000}"/>
            </a:ext>
          </a:extLst>
        </xdr:cNvPr>
        <xdr:cNvGrpSpPr/>
      </xdr:nvGrpSpPr>
      <xdr:grpSpPr>
        <a:xfrm>
          <a:off x="530286" y="5893595"/>
          <a:ext cx="1944098" cy="2150533"/>
          <a:chOff x="3557119" y="7175500"/>
          <a:chExt cx="1967381" cy="2169583"/>
        </a:xfrm>
      </xdr:grpSpPr>
      <xdr:sp macro="" textlink="">
        <xdr:nvSpPr>
          <xdr:cNvPr id="193" name="Rectangle 192">
            <a:extLst>
              <a:ext uri="{FF2B5EF4-FFF2-40B4-BE49-F238E27FC236}">
                <a16:creationId xmlns:a16="http://schemas.microsoft.com/office/drawing/2014/main" id="{00000000-0008-0000-0000-0000C1000000}"/>
              </a:ext>
            </a:extLst>
          </xdr:cNvPr>
          <xdr:cNvSpPr/>
        </xdr:nvSpPr>
        <xdr:spPr>
          <a:xfrm>
            <a:off x="3557119" y="7175500"/>
            <a:ext cx="1967381" cy="2169583"/>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4" name="Rectangle 193">
            <a:extLst>
              <a:ext uri="{FF2B5EF4-FFF2-40B4-BE49-F238E27FC236}">
                <a16:creationId xmlns:a16="http://schemas.microsoft.com/office/drawing/2014/main" id="{00000000-0008-0000-0000-0000C2000000}"/>
              </a:ext>
            </a:extLst>
          </xdr:cNvPr>
          <xdr:cNvSpPr/>
        </xdr:nvSpPr>
        <xdr:spPr>
          <a:xfrm>
            <a:off x="3575655" y="7249586"/>
            <a:ext cx="1948845" cy="20214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Written</a:t>
            </a:r>
            <a:r>
              <a:rPr lang="en-GB" sz="1100" b="1" baseline="0">
                <a:solidFill>
                  <a:schemeClr val="tx1">
                    <a:lumMod val="85000"/>
                    <a:lumOff val="15000"/>
                  </a:schemeClr>
                </a:solidFill>
              </a:rPr>
              <a:t> by Matt Haythornthwaite</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https://github.com/mhaythornthwaite</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https://www.linkedin.com/in/matthewhaythornthwaite/</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m.haythornthwaite@yahoo.co.uk</a:t>
            </a:r>
            <a:endParaRPr lang="en-GB" sz="1100" b="0">
              <a:solidFill>
                <a:schemeClr val="tx1">
                  <a:lumMod val="85000"/>
                  <a:lumOff val="15000"/>
                </a:schemeClr>
              </a:solidFill>
            </a:endParaRPr>
          </a:p>
        </xdr:txBody>
      </xdr:sp>
    </xdr:grpSp>
    <xdr:clientData/>
  </xdr:twoCellAnchor>
  <xdr:twoCellAnchor>
    <xdr:from>
      <xdr:col>7</xdr:col>
      <xdr:colOff>513464</xdr:colOff>
      <xdr:row>28</xdr:row>
      <xdr:rowOff>142622</xdr:rowOff>
    </xdr:from>
    <xdr:to>
      <xdr:col>8</xdr:col>
      <xdr:colOff>467550</xdr:colOff>
      <xdr:row>30</xdr:row>
      <xdr:rowOff>49932</xdr:rowOff>
    </xdr:to>
    <xdr:sp macro="" textlink="">
      <xdr:nvSpPr>
        <xdr:cNvPr id="114" name="TextBox 113">
          <a:extLst>
            <a:ext uri="{FF2B5EF4-FFF2-40B4-BE49-F238E27FC236}">
              <a16:creationId xmlns:a16="http://schemas.microsoft.com/office/drawing/2014/main" id="{D19F1F22-4777-4CE4-AC8B-B5BD541E18F6}"/>
            </a:ext>
          </a:extLst>
        </xdr:cNvPr>
        <xdr:cNvSpPr txBox="1"/>
      </xdr:nvSpPr>
      <xdr:spPr>
        <a:xfrm>
          <a:off x="4810297" y="5254372"/>
          <a:ext cx="567920" cy="267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b1</a:t>
          </a:r>
        </a:p>
      </xdr:txBody>
    </xdr:sp>
    <xdr:clientData/>
  </xdr:twoCellAnchor>
  <xdr:twoCellAnchor>
    <xdr:from>
      <xdr:col>10</xdr:col>
      <xdr:colOff>495472</xdr:colOff>
      <xdr:row>28</xdr:row>
      <xdr:rowOff>104522</xdr:rowOff>
    </xdr:from>
    <xdr:to>
      <xdr:col>11</xdr:col>
      <xdr:colOff>230483</xdr:colOff>
      <xdr:row>30</xdr:row>
      <xdr:rowOff>18182</xdr:rowOff>
    </xdr:to>
    <xdr:sp macro="" textlink="">
      <xdr:nvSpPr>
        <xdr:cNvPr id="122" name="TextBox 121">
          <a:extLst>
            <a:ext uri="{FF2B5EF4-FFF2-40B4-BE49-F238E27FC236}">
              <a16:creationId xmlns:a16="http://schemas.microsoft.com/office/drawing/2014/main" id="{D904C456-728B-4924-BE48-B3918F81C34D}"/>
            </a:ext>
          </a:extLst>
        </xdr:cNvPr>
        <xdr:cNvSpPr txBox="1"/>
      </xdr:nvSpPr>
      <xdr:spPr>
        <a:xfrm>
          <a:off x="6633805" y="5216272"/>
          <a:ext cx="571095" cy="2734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b2</a:t>
          </a:r>
        </a:p>
      </xdr:txBody>
    </xdr:sp>
    <xdr:clientData/>
  </xdr:twoCellAnchor>
  <xdr:twoCellAnchor>
    <xdr:from>
      <xdr:col>8</xdr:col>
      <xdr:colOff>63500</xdr:colOff>
      <xdr:row>27</xdr:row>
      <xdr:rowOff>169333</xdr:rowOff>
    </xdr:from>
    <xdr:to>
      <xdr:col>8</xdr:col>
      <xdr:colOff>63500</xdr:colOff>
      <xdr:row>28</xdr:row>
      <xdr:rowOff>150614</xdr:rowOff>
    </xdr:to>
    <xdr:cxnSp macro="">
      <xdr:nvCxnSpPr>
        <xdr:cNvPr id="123" name="Straight Connector 122">
          <a:extLst>
            <a:ext uri="{FF2B5EF4-FFF2-40B4-BE49-F238E27FC236}">
              <a16:creationId xmlns:a16="http://schemas.microsoft.com/office/drawing/2014/main" id="{F9BD4945-78D3-43A8-800B-D5B3D976A05D}"/>
            </a:ext>
          </a:extLst>
        </xdr:cNvPr>
        <xdr:cNvCxnSpPr/>
      </xdr:nvCxnSpPr>
      <xdr:spPr>
        <a:xfrm flipH="1" flipV="1">
          <a:off x="4974167" y="5101166"/>
          <a:ext cx="0" cy="161198"/>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659342</xdr:colOff>
      <xdr:row>27</xdr:row>
      <xdr:rowOff>158750</xdr:rowOff>
    </xdr:from>
    <xdr:to>
      <xdr:col>10</xdr:col>
      <xdr:colOff>659342</xdr:colOff>
      <xdr:row>28</xdr:row>
      <xdr:rowOff>140031</xdr:rowOff>
    </xdr:to>
    <xdr:cxnSp macro="">
      <xdr:nvCxnSpPr>
        <xdr:cNvPr id="124" name="Straight Connector 123">
          <a:extLst>
            <a:ext uri="{FF2B5EF4-FFF2-40B4-BE49-F238E27FC236}">
              <a16:creationId xmlns:a16="http://schemas.microsoft.com/office/drawing/2014/main" id="{0A9030F5-8B65-4023-8CBE-8E8C28E5E753}"/>
            </a:ext>
          </a:extLst>
        </xdr:cNvPr>
        <xdr:cNvCxnSpPr/>
      </xdr:nvCxnSpPr>
      <xdr:spPr>
        <a:xfrm flipH="1" flipV="1">
          <a:off x="6797675" y="5090583"/>
          <a:ext cx="0" cy="161198"/>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495789</xdr:colOff>
      <xdr:row>69</xdr:row>
      <xdr:rowOff>148027</xdr:rowOff>
    </xdr:from>
    <xdr:to>
      <xdr:col>10</xdr:col>
      <xdr:colOff>148960</xdr:colOff>
      <xdr:row>104</xdr:row>
      <xdr:rowOff>108216</xdr:rowOff>
    </xdr:to>
    <xdr:grpSp>
      <xdr:nvGrpSpPr>
        <xdr:cNvPr id="29" name="Group 28">
          <a:extLst>
            <a:ext uri="{FF2B5EF4-FFF2-40B4-BE49-F238E27FC236}">
              <a16:creationId xmlns:a16="http://schemas.microsoft.com/office/drawing/2014/main" id="{D07D8256-CEFB-423E-A869-1C68EF7AAFCA}"/>
            </a:ext>
          </a:extLst>
        </xdr:cNvPr>
        <xdr:cNvGrpSpPr/>
      </xdr:nvGrpSpPr>
      <xdr:grpSpPr>
        <a:xfrm>
          <a:off x="495789" y="12551165"/>
          <a:ext cx="5722184" cy="6234782"/>
          <a:chOff x="6612427" y="12491634"/>
          <a:chExt cx="5731709" cy="6234782"/>
        </a:xfrm>
      </xdr:grpSpPr>
      <xdr:grpSp>
        <xdr:nvGrpSpPr>
          <xdr:cNvPr id="116" name="Group 115">
            <a:extLst>
              <a:ext uri="{FF2B5EF4-FFF2-40B4-BE49-F238E27FC236}">
                <a16:creationId xmlns:a16="http://schemas.microsoft.com/office/drawing/2014/main" id="{00000000-0008-0000-0000-000074000000}"/>
              </a:ext>
            </a:extLst>
          </xdr:cNvPr>
          <xdr:cNvGrpSpPr/>
        </xdr:nvGrpSpPr>
        <xdr:grpSpPr>
          <a:xfrm>
            <a:off x="6615602" y="12494809"/>
            <a:ext cx="5725359" cy="6234782"/>
            <a:chOff x="330200" y="8216656"/>
            <a:chExt cx="5749005" cy="6381288"/>
          </a:xfrm>
        </xdr:grpSpPr>
        <xdr:grpSp>
          <xdr:nvGrpSpPr>
            <xdr:cNvPr id="105" name="Group 104">
              <a:extLst>
                <a:ext uri="{FF2B5EF4-FFF2-40B4-BE49-F238E27FC236}">
                  <a16:creationId xmlns:a16="http://schemas.microsoft.com/office/drawing/2014/main" id="{00000000-0008-0000-0000-000069000000}"/>
                </a:ext>
              </a:extLst>
            </xdr:cNvPr>
            <xdr:cNvGrpSpPr/>
          </xdr:nvGrpSpPr>
          <xdr:grpSpPr>
            <a:xfrm>
              <a:off x="330200" y="8216656"/>
              <a:ext cx="5749005" cy="6381288"/>
              <a:chOff x="330200" y="8496300"/>
              <a:chExt cx="5739912" cy="6640690"/>
            </a:xfrm>
          </xdr:grpSpPr>
          <xdr:sp macro="" textlink="">
            <xdr:nvSpPr>
              <xdr:cNvPr id="115" name="Rectangle 114">
                <a:extLst>
                  <a:ext uri="{FF2B5EF4-FFF2-40B4-BE49-F238E27FC236}">
                    <a16:creationId xmlns:a16="http://schemas.microsoft.com/office/drawing/2014/main" id="{00000000-0008-0000-0000-000073000000}"/>
                  </a:ext>
                </a:extLst>
              </xdr:cNvPr>
              <xdr:cNvSpPr/>
            </xdr:nvSpPr>
            <xdr:spPr>
              <a:xfrm>
                <a:off x="330200" y="8496300"/>
                <a:ext cx="5739912" cy="664069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3"/>
              <a:stretch>
                <a:fillRect/>
              </a:stretch>
            </xdr:blipFill>
            <xdr:spPr>
              <a:xfrm>
                <a:off x="977900" y="11882523"/>
                <a:ext cx="1587500" cy="499142"/>
              </a:xfrm>
              <a:prstGeom prst="rect">
                <a:avLst/>
              </a:prstGeom>
            </xdr:spPr>
          </xdr:pic>
          <xdr:pic>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4"/>
              <a:stretch>
                <a:fillRect/>
              </a:stretch>
            </xdr:blipFill>
            <xdr:spPr>
              <a:xfrm>
                <a:off x="785284" y="14318665"/>
                <a:ext cx="1701799" cy="542925"/>
              </a:xfrm>
              <a:prstGeom prst="rect">
                <a:avLst/>
              </a:prstGeom>
            </xdr:spPr>
          </xdr:pic>
          <xdr:pic>
            <xdr:nvPicPr>
              <xdr:cNvPr id="34" name="Pictur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25"/>
              <a:stretch>
                <a:fillRect/>
              </a:stretch>
            </xdr:blipFill>
            <xdr:spPr>
              <a:xfrm>
                <a:off x="2862793" y="11721655"/>
                <a:ext cx="2301875" cy="793649"/>
              </a:xfrm>
              <a:prstGeom prst="rect">
                <a:avLst/>
              </a:prstGeom>
            </xdr:spPr>
          </xdr:pic>
          <xdr:pic>
            <xdr:nvPicPr>
              <xdr:cNvPr id="35" name="Pictur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26"/>
              <a:stretch>
                <a:fillRect/>
              </a:stretch>
            </xdr:blipFill>
            <xdr:spPr>
              <a:xfrm>
                <a:off x="2851149" y="14185314"/>
                <a:ext cx="2364144" cy="786341"/>
              </a:xfrm>
              <a:prstGeom prst="rect">
                <a:avLst/>
              </a:prstGeom>
            </xdr:spPr>
          </xdr:pic>
          <xdr:pic>
            <xdr:nvPicPr>
              <xdr:cNvPr id="79" name="Picture 78">
                <a:extLst>
                  <a:ext uri="{FF2B5EF4-FFF2-40B4-BE49-F238E27FC236}">
                    <a16:creationId xmlns:a16="http://schemas.microsoft.com/office/drawing/2014/main" id="{00000000-0008-0000-0000-00004F000000}"/>
                  </a:ext>
                </a:extLst>
              </xdr:cNvPr>
              <xdr:cNvPicPr>
                <a:picLocks noChangeAspect="1"/>
              </xdr:cNvPicPr>
            </xdr:nvPicPr>
            <xdr:blipFill>
              <a:blip xmlns:r="http://schemas.openxmlformats.org/officeDocument/2006/relationships" r:embed="rId27"/>
              <a:stretch>
                <a:fillRect/>
              </a:stretch>
            </xdr:blipFill>
            <xdr:spPr>
              <a:xfrm>
                <a:off x="927100" y="9385072"/>
                <a:ext cx="1951021" cy="457200"/>
              </a:xfrm>
              <a:prstGeom prst="rect">
                <a:avLst/>
              </a:prstGeom>
            </xdr:spPr>
          </xdr:pic>
          <xdr:pic>
            <xdr:nvPicPr>
              <xdr:cNvPr id="104" name="Picture 103">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28"/>
              <a:stretch>
                <a:fillRect/>
              </a:stretch>
            </xdr:blipFill>
            <xdr:spPr>
              <a:xfrm>
                <a:off x="3314700" y="9156472"/>
                <a:ext cx="1829196" cy="977899"/>
              </a:xfrm>
              <a:prstGeom prst="rect">
                <a:avLst/>
              </a:prstGeom>
            </xdr:spPr>
          </xdr:pic>
          <xdr:sp macro="" textlink="">
            <xdr:nvSpPr>
              <xdr:cNvPr id="119" name="Rectangle 118">
                <a:extLst>
                  <a:ext uri="{FF2B5EF4-FFF2-40B4-BE49-F238E27FC236}">
                    <a16:creationId xmlns:a16="http://schemas.microsoft.com/office/drawing/2014/main" id="{00000000-0008-0000-0000-000077000000}"/>
                  </a:ext>
                </a:extLst>
              </xdr:cNvPr>
              <xdr:cNvSpPr/>
            </xdr:nvSpPr>
            <xdr:spPr>
              <a:xfrm>
                <a:off x="1378654" y="12755859"/>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First Neuron</a:t>
                </a:r>
              </a:p>
            </xdr:txBody>
          </xdr:sp>
          <xdr:sp macro="" textlink="">
            <xdr:nvSpPr>
              <xdr:cNvPr id="120" name="Rectangle 119">
                <a:extLst>
                  <a:ext uri="{FF2B5EF4-FFF2-40B4-BE49-F238E27FC236}">
                    <a16:creationId xmlns:a16="http://schemas.microsoft.com/office/drawing/2014/main" id="{00000000-0008-0000-0000-000078000000}"/>
                  </a:ext>
                </a:extLst>
              </xdr:cNvPr>
              <xdr:cNvSpPr/>
            </xdr:nvSpPr>
            <xdr:spPr>
              <a:xfrm>
                <a:off x="1416754" y="10393800"/>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Second</a:t>
                </a:r>
                <a:r>
                  <a:rPr lang="en-GB" sz="1800" b="1" u="sng" baseline="0">
                    <a:solidFill>
                      <a:schemeClr val="tx1">
                        <a:lumMod val="85000"/>
                        <a:lumOff val="15000"/>
                      </a:schemeClr>
                    </a:solidFill>
                  </a:rPr>
                  <a:t> Neuron</a:t>
                </a:r>
                <a:endParaRPr lang="en-GB" sz="1800" b="1" u="sng">
                  <a:solidFill>
                    <a:schemeClr val="tx1">
                      <a:lumMod val="85000"/>
                      <a:lumOff val="15000"/>
                    </a:schemeClr>
                  </a:solidFill>
                </a:endParaRPr>
              </a:p>
            </xdr:txBody>
          </xdr:sp>
        </xdr:grpSp>
        <xdr:sp macro="" textlink="">
          <xdr:nvSpPr>
            <xdr:cNvPr id="121" name="Rectangle 120">
              <a:extLst>
                <a:ext uri="{FF2B5EF4-FFF2-40B4-BE49-F238E27FC236}">
                  <a16:creationId xmlns:a16="http://schemas.microsoft.com/office/drawing/2014/main" id="{00000000-0008-0000-0000-000079000000}"/>
                </a:ext>
              </a:extLst>
            </xdr:cNvPr>
            <xdr:cNvSpPr/>
          </xdr:nvSpPr>
          <xdr:spPr>
            <a:xfrm>
              <a:off x="1367928" y="8308229"/>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Evaluating</a:t>
              </a:r>
              <a:r>
                <a:rPr lang="en-GB" sz="1800" b="1" u="sng" baseline="0">
                  <a:solidFill>
                    <a:schemeClr val="tx1">
                      <a:lumMod val="85000"/>
                      <a:lumOff val="15000"/>
                    </a:schemeClr>
                  </a:solidFill>
                </a:rPr>
                <a:t> our Model - Loss &amp; Cost</a:t>
              </a:r>
              <a:endParaRPr lang="en-GB" sz="1800" b="1" u="sng">
                <a:solidFill>
                  <a:schemeClr val="tx1">
                    <a:lumMod val="85000"/>
                    <a:lumOff val="15000"/>
                  </a:schemeClr>
                </a:solidFill>
              </a:endParaRPr>
            </a:p>
          </xdr:txBody>
        </xdr:sp>
      </xdr:grpSp>
      <xdr:pic>
        <xdr:nvPicPr>
          <xdr:cNvPr id="17" name="Picture 16">
            <a:extLst>
              <a:ext uri="{FF2B5EF4-FFF2-40B4-BE49-F238E27FC236}">
                <a16:creationId xmlns:a16="http://schemas.microsoft.com/office/drawing/2014/main" id="{97A7A5CC-4828-434A-8D68-FA32AEE59713}"/>
              </a:ext>
            </a:extLst>
          </xdr:cNvPr>
          <xdr:cNvPicPr>
            <a:picLocks noChangeAspect="1"/>
          </xdr:cNvPicPr>
        </xdr:nvPicPr>
        <xdr:blipFill>
          <a:blip xmlns:r="http://schemas.openxmlformats.org/officeDocument/2006/relationships" r:embed="rId29"/>
          <a:stretch>
            <a:fillRect/>
          </a:stretch>
        </xdr:blipFill>
        <xdr:spPr>
          <a:xfrm>
            <a:off x="6988968" y="17222123"/>
            <a:ext cx="4878388" cy="473254"/>
          </a:xfrm>
          <a:prstGeom prst="rect">
            <a:avLst/>
          </a:prstGeom>
        </xdr:spPr>
      </xdr:pic>
      <xdr:pic>
        <xdr:nvPicPr>
          <xdr:cNvPr id="22" name="Picture 21">
            <a:extLst>
              <a:ext uri="{FF2B5EF4-FFF2-40B4-BE49-F238E27FC236}">
                <a16:creationId xmlns:a16="http://schemas.microsoft.com/office/drawing/2014/main" id="{AABF3C60-0384-4589-B251-22811C434254}"/>
              </a:ext>
            </a:extLst>
          </xdr:cNvPr>
          <xdr:cNvPicPr>
            <a:picLocks noChangeAspect="1"/>
          </xdr:cNvPicPr>
        </xdr:nvPicPr>
        <xdr:blipFill>
          <a:blip xmlns:r="http://schemas.openxmlformats.org/officeDocument/2006/relationships" r:embed="rId30"/>
          <a:stretch>
            <a:fillRect/>
          </a:stretch>
        </xdr:blipFill>
        <xdr:spPr>
          <a:xfrm>
            <a:off x="7897018" y="14933613"/>
            <a:ext cx="2994026" cy="433183"/>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3</xdr:row>
      <xdr:rowOff>0</xdr:rowOff>
    </xdr:from>
    <xdr:to>
      <xdr:col>13</xdr:col>
      <xdr:colOff>407389</xdr:colOff>
      <xdr:row>32</xdr:row>
      <xdr:rowOff>170754</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269874</xdr:colOff>
      <xdr:row>0</xdr:row>
      <xdr:rowOff>82550</xdr:rowOff>
    </xdr:from>
    <xdr:to>
      <xdr:col>12</xdr:col>
      <xdr:colOff>304800</xdr:colOff>
      <xdr:row>33</xdr:row>
      <xdr:rowOff>95250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5</xdr:row>
      <xdr:rowOff>0</xdr:rowOff>
    </xdr:from>
    <xdr:to>
      <xdr:col>26</xdr:col>
      <xdr:colOff>407389</xdr:colOff>
      <xdr:row>34</xdr:row>
      <xdr:rowOff>170754</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20</xdr:row>
      <xdr:rowOff>0</xdr:rowOff>
    </xdr:from>
    <xdr:to>
      <xdr:col>2</xdr:col>
      <xdr:colOff>434125</xdr:colOff>
      <xdr:row>31</xdr:row>
      <xdr:rowOff>35982</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611038" y="3594340"/>
          <a:ext cx="1041987" cy="2012868"/>
          <a:chOff x="6356048" y="9042208"/>
          <a:chExt cx="1047430" cy="1971291"/>
        </a:xfrm>
      </xdr:grpSpPr>
      <xdr:sp macro="" textlink="">
        <xdr:nvSpPr>
          <xdr:cNvPr id="9" name="Rectangle 8">
            <a:extLst>
              <a:ext uri="{FF2B5EF4-FFF2-40B4-BE49-F238E27FC236}">
                <a16:creationId xmlns:a16="http://schemas.microsoft.com/office/drawing/2014/main" id="{00000000-0008-0000-0200-000009000000}"/>
              </a:ext>
            </a:extLst>
          </xdr:cNvPr>
          <xdr:cNvSpPr/>
        </xdr:nvSpPr>
        <xdr:spPr>
          <a:xfrm>
            <a:off x="6356048" y="9042208"/>
            <a:ext cx="1007946" cy="1971291"/>
          </a:xfrm>
          <a:prstGeom prst="rect">
            <a:avLst/>
          </a:prstGeom>
          <a:solidFill>
            <a:schemeClr val="bg1"/>
          </a:solidFill>
          <a:ln w="15875" cap="flat" cmpd="sng" algn="ctr">
            <a:solidFill>
              <a:sysClr val="windowText" lastClr="000000">
                <a:lumMod val="85000"/>
                <a:lumOff val="15000"/>
              </a:sys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4"/>
          <a:stretch>
            <a:fillRect/>
          </a:stretch>
        </xdr:blipFill>
        <xdr:spPr>
          <a:xfrm rot="5400000">
            <a:off x="5842594" y="10012757"/>
            <a:ext cx="1525252" cy="263656"/>
          </a:xfrm>
          <a:prstGeom prst="rect">
            <a:avLst/>
          </a:prstGeom>
        </xdr:spPr>
      </xdr:pic>
      <xdr:sp macro="" textlink="">
        <xdr:nvSpPr>
          <xdr:cNvPr id="11" name="Rectangle 10">
            <a:extLst>
              <a:ext uri="{FF2B5EF4-FFF2-40B4-BE49-F238E27FC236}">
                <a16:creationId xmlns:a16="http://schemas.microsoft.com/office/drawing/2014/main" id="{00000000-0008-0000-0200-00000B000000}"/>
              </a:ext>
            </a:extLst>
          </xdr:cNvPr>
          <xdr:cNvSpPr/>
        </xdr:nvSpPr>
        <xdr:spPr>
          <a:xfrm>
            <a:off x="6401842" y="9093496"/>
            <a:ext cx="1001636" cy="320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lumMod val="85000"/>
                    <a:lumOff val="15000"/>
                  </a:schemeClr>
                </a:solidFill>
              </a:rPr>
              <a:t>Prediction</a:t>
            </a:r>
          </a:p>
        </xdr:txBody>
      </xdr:sp>
      <xdr:sp macro="" textlink="">
        <xdr:nvSpPr>
          <xdr:cNvPr id="12" name="Rectangle 11">
            <a:extLst>
              <a:ext uri="{FF2B5EF4-FFF2-40B4-BE49-F238E27FC236}">
                <a16:creationId xmlns:a16="http://schemas.microsoft.com/office/drawing/2014/main" id="{00000000-0008-0000-0200-00000C000000}"/>
              </a:ext>
            </a:extLst>
          </xdr:cNvPr>
          <xdr:cNvSpPr/>
        </xdr:nvSpPr>
        <xdr:spPr>
          <a:xfrm>
            <a:off x="6709124" y="10206986"/>
            <a:ext cx="542320" cy="3159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0.67</a:t>
            </a:r>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6721335" y="10643112"/>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1</a:t>
            </a:r>
          </a:p>
        </xdr:txBody>
      </xdr:sp>
      <xdr:sp macro="" textlink="">
        <xdr:nvSpPr>
          <xdr:cNvPr id="14" name="Rectangle 13">
            <a:extLst>
              <a:ext uri="{FF2B5EF4-FFF2-40B4-BE49-F238E27FC236}">
                <a16:creationId xmlns:a16="http://schemas.microsoft.com/office/drawing/2014/main" id="{00000000-0008-0000-0200-00000E000000}"/>
              </a:ext>
            </a:extLst>
          </xdr:cNvPr>
          <xdr:cNvSpPr/>
        </xdr:nvSpPr>
        <xdr:spPr>
          <a:xfrm>
            <a:off x="6696668" y="9827311"/>
            <a:ext cx="542320" cy="314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0.33</a:t>
            </a:r>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6708635" y="9393994"/>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a:t>
            </a:r>
          </a:p>
        </xdr:txBody>
      </xdr:sp>
    </xdr:grpSp>
    <xdr:clientData/>
  </xdr:twoCellAnchor>
  <xdr:twoCellAnchor>
    <xdr:from>
      <xdr:col>0</xdr:col>
      <xdr:colOff>311509</xdr:colOff>
      <xdr:row>34</xdr:row>
      <xdr:rowOff>107831</xdr:rowOff>
    </xdr:from>
    <xdr:to>
      <xdr:col>8</xdr:col>
      <xdr:colOff>199417</xdr:colOff>
      <xdr:row>46</xdr:row>
      <xdr:rowOff>71654</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314684" y="6215033"/>
          <a:ext cx="4776210" cy="2120427"/>
          <a:chOff x="966610" y="2674056"/>
          <a:chExt cx="4783667" cy="2159000"/>
        </a:xfrm>
      </xdr:grpSpPr>
      <xdr:sp macro="" textlink="">
        <xdr:nvSpPr>
          <xdr:cNvPr id="17" name="Rectangle 16">
            <a:extLst>
              <a:ext uri="{FF2B5EF4-FFF2-40B4-BE49-F238E27FC236}">
                <a16:creationId xmlns:a16="http://schemas.microsoft.com/office/drawing/2014/main" id="{00000000-0008-0000-0200-000011000000}"/>
              </a:ext>
            </a:extLst>
          </xdr:cNvPr>
          <xdr:cNvSpPr/>
        </xdr:nvSpPr>
        <xdr:spPr>
          <a:xfrm>
            <a:off x="966610" y="2674056"/>
            <a:ext cx="4783667" cy="21590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8" name="Oval 17">
            <a:extLst>
              <a:ext uri="{FF2B5EF4-FFF2-40B4-BE49-F238E27FC236}">
                <a16:creationId xmlns:a16="http://schemas.microsoft.com/office/drawing/2014/main" id="{00000000-0008-0000-0200-000012000000}"/>
              </a:ext>
            </a:extLst>
          </xdr:cNvPr>
          <xdr:cNvSpPr/>
        </xdr:nvSpPr>
        <xdr:spPr>
          <a:xfrm>
            <a:off x="1266896" y="3236243"/>
            <a:ext cx="480060" cy="428413"/>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19" name="Oval 18">
            <a:extLst>
              <a:ext uri="{FF2B5EF4-FFF2-40B4-BE49-F238E27FC236}">
                <a16:creationId xmlns:a16="http://schemas.microsoft.com/office/drawing/2014/main" id="{00000000-0008-0000-0200-000013000000}"/>
              </a:ext>
            </a:extLst>
          </xdr:cNvPr>
          <xdr:cNvSpPr/>
        </xdr:nvSpPr>
        <xdr:spPr>
          <a:xfrm>
            <a:off x="1262098" y="3954498"/>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20" name="Oval 19">
            <a:extLst>
              <a:ext uri="{FF2B5EF4-FFF2-40B4-BE49-F238E27FC236}">
                <a16:creationId xmlns:a16="http://schemas.microsoft.com/office/drawing/2014/main" id="{00000000-0008-0000-0200-000014000000}"/>
              </a:ext>
            </a:extLst>
          </xdr:cNvPr>
          <xdr:cNvSpPr/>
        </xdr:nvSpPr>
        <xdr:spPr>
          <a:xfrm>
            <a:off x="3148189"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21" name="Oval 20">
            <a:extLst>
              <a:ext uri="{FF2B5EF4-FFF2-40B4-BE49-F238E27FC236}">
                <a16:creationId xmlns:a16="http://schemas.microsoft.com/office/drawing/2014/main" id="{00000000-0008-0000-0200-000015000000}"/>
              </a:ext>
            </a:extLst>
          </xdr:cNvPr>
          <xdr:cNvSpPr/>
        </xdr:nvSpPr>
        <xdr:spPr>
          <a:xfrm>
            <a:off x="4930422"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22" name="Straight Connector 21">
            <a:extLst>
              <a:ext uri="{FF2B5EF4-FFF2-40B4-BE49-F238E27FC236}">
                <a16:creationId xmlns:a16="http://schemas.microsoft.com/office/drawing/2014/main" id="{00000000-0008-0000-0200-000016000000}"/>
              </a:ext>
            </a:extLst>
          </xdr:cNvPr>
          <xdr:cNvCxnSpPr/>
        </xdr:nvCxnSpPr>
        <xdr:spPr>
          <a:xfrm>
            <a:off x="1811302" y="3462020"/>
            <a:ext cx="1208476" cy="277424"/>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200-000017000000}"/>
              </a:ext>
            </a:extLst>
          </xdr:cNvPr>
          <xdr:cNvCxnSpPr/>
        </xdr:nvCxnSpPr>
        <xdr:spPr>
          <a:xfrm flipV="1">
            <a:off x="1855611" y="3818752"/>
            <a:ext cx="1164732" cy="32991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00000000-0008-0000-0200-000018000000}"/>
              </a:ext>
            </a:extLst>
          </xdr:cNvPr>
          <xdr:cNvCxnSpPr/>
        </xdr:nvCxnSpPr>
        <xdr:spPr>
          <a:xfrm>
            <a:off x="3732107" y="3758071"/>
            <a:ext cx="1063977"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5" name="TextBox 24">
            <a:extLst>
              <a:ext uri="{FF2B5EF4-FFF2-40B4-BE49-F238E27FC236}">
                <a16:creationId xmlns:a16="http://schemas.microsoft.com/office/drawing/2014/main" id="{00000000-0008-0000-0200-000019000000}"/>
              </a:ext>
            </a:extLst>
          </xdr:cNvPr>
          <xdr:cNvSpPr txBox="1"/>
        </xdr:nvSpPr>
        <xdr:spPr>
          <a:xfrm rot="801931">
            <a:off x="2144887" y="3337278"/>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w1, b1</a:t>
            </a:r>
          </a:p>
        </xdr:txBody>
      </xdr:sp>
      <xdr:sp macro="" textlink="">
        <xdr:nvSpPr>
          <xdr:cNvPr id="26" name="TextBox 25">
            <a:extLst>
              <a:ext uri="{FF2B5EF4-FFF2-40B4-BE49-F238E27FC236}">
                <a16:creationId xmlns:a16="http://schemas.microsoft.com/office/drawing/2014/main" id="{00000000-0008-0000-0200-00001A000000}"/>
              </a:ext>
            </a:extLst>
          </xdr:cNvPr>
          <xdr:cNvSpPr txBox="1"/>
        </xdr:nvSpPr>
        <xdr:spPr>
          <a:xfrm rot="20682794">
            <a:off x="2173697" y="3968610"/>
            <a:ext cx="62667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w2, b2</a:t>
            </a:r>
          </a:p>
        </xdr:txBody>
      </xdr:sp>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4025336" y="3789115"/>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w3, b3</a:t>
            </a:r>
          </a:p>
        </xdr:txBody>
      </xdr:sp>
      <xdr:sp macro="" textlink="">
        <xdr:nvSpPr>
          <xdr:cNvPr id="28" name="Rectangle 27">
            <a:extLst>
              <a:ext uri="{FF2B5EF4-FFF2-40B4-BE49-F238E27FC236}">
                <a16:creationId xmlns:a16="http://schemas.microsoft.com/office/drawing/2014/main" id="{00000000-0008-0000-0200-00001C000000}"/>
              </a:ext>
            </a:extLst>
          </xdr:cNvPr>
          <xdr:cNvSpPr/>
        </xdr:nvSpPr>
        <xdr:spPr>
          <a:xfrm>
            <a:off x="1231900" y="2805290"/>
            <a:ext cx="524933" cy="3132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29" name="Rectangle 28">
            <a:extLst>
              <a:ext uri="{FF2B5EF4-FFF2-40B4-BE49-F238E27FC236}">
                <a16:creationId xmlns:a16="http://schemas.microsoft.com/office/drawing/2014/main" id="{00000000-0008-0000-0200-00001D000000}"/>
              </a:ext>
            </a:extLst>
          </xdr:cNvPr>
          <xdr:cNvSpPr/>
        </xdr:nvSpPr>
        <xdr:spPr>
          <a:xfrm>
            <a:off x="3028244" y="2760134"/>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30" name="Rectangle 29">
            <a:extLst>
              <a:ext uri="{FF2B5EF4-FFF2-40B4-BE49-F238E27FC236}">
                <a16:creationId xmlns:a16="http://schemas.microsoft.com/office/drawing/2014/main" id="{00000000-0008-0000-0200-00001E000000}"/>
              </a:ext>
            </a:extLst>
          </xdr:cNvPr>
          <xdr:cNvSpPr/>
        </xdr:nvSpPr>
        <xdr:spPr>
          <a:xfrm>
            <a:off x="4831644" y="2757311"/>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ED379-7A15-4C38-8A8E-23B32B128455}">
  <sheetPr codeName="Sheet1"/>
  <dimension ref="B2:BK209"/>
  <sheetViews>
    <sheetView tabSelected="1" zoomScale="80" zoomScaleNormal="80" workbookViewId="0">
      <selection activeCell="AE55" sqref="AE55"/>
    </sheetView>
  </sheetViews>
  <sheetFormatPr defaultRowHeight="14.5" x14ac:dyDescent="0.35"/>
  <cols>
    <col min="11" max="11" width="12" customWidth="1"/>
    <col min="12" max="12" width="11.6328125" customWidth="1"/>
    <col min="13" max="13" width="9.90625" customWidth="1"/>
    <col min="15" max="15" width="10.54296875" customWidth="1"/>
    <col min="23" max="23" width="10.453125" customWidth="1"/>
  </cols>
  <sheetData>
    <row r="2" spans="3:63" ht="15" thickBot="1" x14ac:dyDescent="0.4">
      <c r="BD2" s="6"/>
      <c r="BE2" s="6"/>
      <c r="BF2" s="6"/>
      <c r="BG2" s="6"/>
      <c r="BH2" s="6"/>
      <c r="BI2" s="6"/>
      <c r="BJ2" s="6"/>
      <c r="BK2" s="6"/>
    </row>
    <row r="3" spans="3:63" x14ac:dyDescent="0.35">
      <c r="C3" s="75" t="s">
        <v>70</v>
      </c>
      <c r="D3" s="76"/>
      <c r="E3" s="76"/>
      <c r="F3" s="47"/>
      <c r="G3" s="76" t="s">
        <v>3</v>
      </c>
      <c r="H3" s="76"/>
      <c r="I3" s="77"/>
      <c r="K3" s="75" t="s">
        <v>71</v>
      </c>
      <c r="L3" s="76"/>
      <c r="M3" s="77"/>
      <c r="R3" s="75" t="s">
        <v>72</v>
      </c>
      <c r="S3" s="76"/>
      <c r="T3" s="76"/>
      <c r="U3" s="77"/>
      <c r="X3" s="78" t="s">
        <v>6</v>
      </c>
      <c r="Y3" s="79"/>
      <c r="Z3" s="79"/>
      <c r="AA3" s="80"/>
      <c r="AC3" s="78" t="s">
        <v>8</v>
      </c>
      <c r="AD3" s="79"/>
      <c r="AE3" s="79"/>
      <c r="AF3" s="80"/>
      <c r="AG3" s="1"/>
      <c r="AI3" s="78" t="s">
        <v>5</v>
      </c>
      <c r="AJ3" s="79"/>
      <c r="AK3" s="79"/>
      <c r="AL3" s="79"/>
      <c r="AM3" s="79"/>
      <c r="AN3" s="80"/>
      <c r="AP3" s="78" t="s">
        <v>7</v>
      </c>
      <c r="AQ3" s="79"/>
      <c r="AR3" s="79"/>
      <c r="AS3" s="79"/>
      <c r="AT3" s="79"/>
      <c r="AU3" s="80"/>
      <c r="AW3" s="78" t="s">
        <v>4</v>
      </c>
      <c r="AX3" s="81"/>
      <c r="AY3" s="81"/>
      <c r="AZ3" s="81"/>
      <c r="BA3" s="81"/>
      <c r="BB3" s="82"/>
      <c r="BD3" s="84"/>
      <c r="BE3" s="84"/>
      <c r="BF3" s="84"/>
      <c r="BG3" s="84"/>
      <c r="BH3" s="84"/>
      <c r="BI3" s="84"/>
      <c r="BJ3" s="6"/>
      <c r="BK3" s="6"/>
    </row>
    <row r="4" spans="3:63" ht="15" thickBot="1" x14ac:dyDescent="0.4">
      <c r="C4" s="48" t="s">
        <v>0</v>
      </c>
      <c r="D4" s="46" t="s">
        <v>2</v>
      </c>
      <c r="E4" s="46" t="s">
        <v>1</v>
      </c>
      <c r="F4" s="6"/>
      <c r="G4" s="46" t="s">
        <v>0</v>
      </c>
      <c r="H4" s="46" t="s">
        <v>2</v>
      </c>
      <c r="I4" s="49" t="s">
        <v>1</v>
      </c>
      <c r="K4" s="48" t="s">
        <v>13</v>
      </c>
      <c r="L4" s="6"/>
      <c r="M4" s="49" t="s">
        <v>75</v>
      </c>
      <c r="R4" s="38" t="s">
        <v>10</v>
      </c>
      <c r="S4" s="60" t="s">
        <v>11</v>
      </c>
      <c r="T4" s="60" t="s">
        <v>9</v>
      </c>
      <c r="U4" s="61" t="s">
        <v>12</v>
      </c>
      <c r="X4" s="5" t="s">
        <v>14</v>
      </c>
      <c r="Y4" s="6" t="s">
        <v>26</v>
      </c>
      <c r="Z4" s="6" t="s">
        <v>15</v>
      </c>
      <c r="AA4" s="7" t="s">
        <v>46</v>
      </c>
      <c r="AC4" s="5" t="s">
        <v>17</v>
      </c>
      <c r="AD4" s="6" t="s">
        <v>18</v>
      </c>
      <c r="AE4" s="6" t="s">
        <v>15</v>
      </c>
      <c r="AF4" s="7" t="s">
        <v>46</v>
      </c>
      <c r="AI4" s="5" t="s">
        <v>45</v>
      </c>
      <c r="AJ4" s="6" t="s">
        <v>44</v>
      </c>
      <c r="AK4" s="6" t="s">
        <v>43</v>
      </c>
      <c r="AL4" s="6" t="s">
        <v>42</v>
      </c>
      <c r="AM4" s="6" t="s">
        <v>15</v>
      </c>
      <c r="AN4" s="7" t="s">
        <v>46</v>
      </c>
      <c r="AP4" s="5" t="s">
        <v>48</v>
      </c>
      <c r="AQ4" s="6" t="s">
        <v>47</v>
      </c>
      <c r="AR4" s="6" t="s">
        <v>43</v>
      </c>
      <c r="AS4" s="6" t="s">
        <v>42</v>
      </c>
      <c r="AT4" s="6" t="s">
        <v>15</v>
      </c>
      <c r="AU4" s="7" t="s">
        <v>46</v>
      </c>
      <c r="AW4" s="5" t="s">
        <v>50</v>
      </c>
      <c r="AX4" s="6" t="s">
        <v>49</v>
      </c>
      <c r="AY4" s="6" t="s">
        <v>43</v>
      </c>
      <c r="AZ4" s="6" t="s">
        <v>42</v>
      </c>
      <c r="BA4" s="6" t="s">
        <v>15</v>
      </c>
      <c r="BB4" s="7" t="s">
        <v>46</v>
      </c>
      <c r="BD4" s="6"/>
      <c r="BE4" s="6"/>
      <c r="BF4" s="6"/>
      <c r="BG4" s="6"/>
      <c r="BH4" s="6"/>
      <c r="BI4" s="6"/>
      <c r="BJ4" s="6"/>
      <c r="BK4" s="6"/>
    </row>
    <row r="5" spans="3:63" x14ac:dyDescent="0.35">
      <c r="C5" s="50">
        <v>22</v>
      </c>
      <c r="D5" s="51">
        <v>55</v>
      </c>
      <c r="E5" s="51">
        <v>0</v>
      </c>
      <c r="F5" s="51"/>
      <c r="G5" s="56">
        <f>C5/MAX($C$5:$C$12)</f>
        <v>0.33333333333333331</v>
      </c>
      <c r="H5" s="56">
        <f>D5/MAX($D$5:$D$12)</f>
        <v>1</v>
      </c>
      <c r="I5" s="54">
        <f>E5</f>
        <v>0</v>
      </c>
      <c r="K5" s="8">
        <f>T5</f>
        <v>8.0454363784732613E-2</v>
      </c>
      <c r="L5" s="6"/>
      <c r="M5" s="10">
        <f>(K5-I5)^2</f>
        <v>6.4729046520060948E-3</v>
      </c>
      <c r="O5" s="16" t="s">
        <v>4</v>
      </c>
      <c r="P5" s="34">
        <v>-3.6469998410151865</v>
      </c>
      <c r="R5" s="8">
        <f>(U5*$P$7) + $P$9</f>
        <v>-2.4361895602041166</v>
      </c>
      <c r="S5" s="9">
        <f>(G5 * $P$5) + (H5 * $P$6) + $P$8</f>
        <v>2.4893767047166704</v>
      </c>
      <c r="T5" s="9">
        <f>1/(1+ EXP(-R5))</f>
        <v>8.0454363784732613E-2</v>
      </c>
      <c r="U5" s="10">
        <f>1/(1+ EXP(-S5))</f>
        <v>0.92339372377316087</v>
      </c>
      <c r="W5" s="3"/>
      <c r="X5" s="8">
        <f>Y5*Z5*AA5</f>
        <v>1.0992321235045009E-2</v>
      </c>
      <c r="Y5" s="9">
        <f>U5</f>
        <v>0.92339372377316087</v>
      </c>
      <c r="Z5" s="9">
        <f>$T5 * (1 - $T5)</f>
        <v>7.3981459132726524E-2</v>
      </c>
      <c r="AA5" s="10">
        <f>2 * ($T5 - $I5)</f>
        <v>0.16090872756946523</v>
      </c>
      <c r="AC5" s="8">
        <f>AD5*AE5*AF5</f>
        <v>1.1904262452779417E-2</v>
      </c>
      <c r="AD5" s="9">
        <v>1</v>
      </c>
      <c r="AE5" s="9">
        <f>$T5 * (1 - $T5)</f>
        <v>7.3981459132726524E-2</v>
      </c>
      <c r="AF5" s="10">
        <f>2 * ($T5 - $I5)</f>
        <v>0.16090872756946523</v>
      </c>
      <c r="AG5" s="3"/>
      <c r="AI5" s="8">
        <f>AJ5*AK5*AL5*AM5*AN5</f>
        <v>-4.4829229225913283E-3</v>
      </c>
      <c r="AJ5" s="9">
        <f>H5</f>
        <v>1</v>
      </c>
      <c r="AK5" s="9">
        <f>$U5 * (1 - $U5)</f>
        <v>7.0737754669496347E-2</v>
      </c>
      <c r="AL5" s="9">
        <f>$P$7</f>
        <v>-5.3236256414617067</v>
      </c>
      <c r="AM5" s="9">
        <f>$T5 * (1 - $T5)</f>
        <v>7.3981459132726524E-2</v>
      </c>
      <c r="AN5" s="10">
        <f>2 * ($T5 - $I5)</f>
        <v>0.16090872756946523</v>
      </c>
      <c r="AP5" s="8">
        <f>AQ5*AR5*AS5*AT5*AU5</f>
        <v>-4.4829229225913283E-3</v>
      </c>
      <c r="AQ5" s="9">
        <v>1</v>
      </c>
      <c r="AR5" s="9">
        <f>$U5 * (1 - $U5)</f>
        <v>7.0737754669496347E-2</v>
      </c>
      <c r="AS5" s="9">
        <f>$P$7</f>
        <v>-5.3236256414617067</v>
      </c>
      <c r="AT5" s="9">
        <f>$T5 * (1 - $T5)</f>
        <v>7.3981459132726524E-2</v>
      </c>
      <c r="AU5" s="10">
        <f>2 * ($T5 - $I5)</f>
        <v>0.16090872756946523</v>
      </c>
      <c r="AW5" s="8">
        <f>AX5*AY5*AZ5*BA5*BB5</f>
        <v>-1.4943076408637755E-3</v>
      </c>
      <c r="AX5" s="9">
        <f>G5</f>
        <v>0.33333333333333331</v>
      </c>
      <c r="AY5" s="9">
        <f>$U5 * (1 - $U5)</f>
        <v>7.0737754669496347E-2</v>
      </c>
      <c r="AZ5" s="9">
        <f>$P$7</f>
        <v>-5.3236256414617067</v>
      </c>
      <c r="BA5" s="9">
        <f>$T5 * (1 - $T5)</f>
        <v>7.3981459132726524E-2</v>
      </c>
      <c r="BB5" s="10">
        <f>2 * ($T5 - $I5)</f>
        <v>0.16090872756946523</v>
      </c>
      <c r="BD5" s="9"/>
      <c r="BE5" s="9"/>
      <c r="BF5" s="9"/>
      <c r="BG5" s="9"/>
      <c r="BH5" s="9"/>
      <c r="BI5" s="9"/>
      <c r="BJ5" s="6"/>
      <c r="BK5" s="6"/>
    </row>
    <row r="6" spans="3:63" x14ac:dyDescent="0.35">
      <c r="C6" s="50">
        <v>34</v>
      </c>
      <c r="D6" s="51">
        <v>34</v>
      </c>
      <c r="E6" s="51">
        <v>0</v>
      </c>
      <c r="F6" s="51"/>
      <c r="G6" s="56">
        <f t="shared" ref="G6:G12" si="0">C6/MAX($C$5:$C$12)</f>
        <v>0.51515151515151514</v>
      </c>
      <c r="H6" s="56">
        <f t="shared" ref="H6:H12" si="1">D6/MAX($D$5:$D$12)</f>
        <v>0.61818181818181817</v>
      </c>
      <c r="I6" s="54">
        <f t="shared" ref="I6:I12" si="2">E6</f>
        <v>0</v>
      </c>
      <c r="K6" s="8">
        <f>T6</f>
        <v>0.30383634801755321</v>
      </c>
      <c r="L6" s="6"/>
      <c r="M6" s="10">
        <f t="shared" ref="M6:M12" si="3">(K6-I6)^2</f>
        <v>9.2316526376643712E-2</v>
      </c>
      <c r="O6" s="17" t="s">
        <v>5</v>
      </c>
      <c r="P6" s="36">
        <v>3.484134710871357</v>
      </c>
      <c r="R6" s="8">
        <f t="shared" ref="R6:R12" si="4">(U6*$P$7) + $P$9</f>
        <v>-0.82909553728829977</v>
      </c>
      <c r="S6" s="9">
        <f t="shared" ref="S6:S11" si="5">(G6 * $P$5) + (H6 * $P$6) + $P$8</f>
        <v>0.495979844017573</v>
      </c>
      <c r="T6" s="9">
        <f>1/(1+ EXP(-R6))</f>
        <v>0.30383634801755321</v>
      </c>
      <c r="U6" s="10">
        <f>1/(1+ EXP(-S6))</f>
        <v>0.62151411556040947</v>
      </c>
      <c r="W6" s="3"/>
      <c r="X6" s="8">
        <f t="shared" ref="X6:X12" si="6">Y6*Z6*AA6</f>
        <v>7.9886205145908218E-2</v>
      </c>
      <c r="Y6" s="9">
        <f t="shared" ref="Y6:Y12" si="7">U6</f>
        <v>0.62151411556040947</v>
      </c>
      <c r="Z6" s="9">
        <f t="shared" ref="Z6:Z12" si="8">$T6 * (1 - $T6)</f>
        <v>0.21151982164090949</v>
      </c>
      <c r="AA6" s="10">
        <f t="shared" ref="AA6:AA12" si="9">2 * ($T6 - $I6)</f>
        <v>0.60767269603510643</v>
      </c>
      <c r="AC6" s="8">
        <f t="shared" ref="AC6:AC12" si="10">AD6*AE6*AF6</f>
        <v>0.12853482028139632</v>
      </c>
      <c r="AD6" s="9">
        <v>1</v>
      </c>
      <c r="AE6" s="9">
        <f t="shared" ref="AE6:AE12" si="11">$T6 * (1 - $T6)</f>
        <v>0.21151982164090949</v>
      </c>
      <c r="AF6" s="10">
        <f t="shared" ref="AF6:AF12" si="12">2 * ($T6 - $I6)</f>
        <v>0.60767269603510643</v>
      </c>
      <c r="AG6" s="3"/>
      <c r="AI6" s="8">
        <f t="shared" ref="AI6:AI12" si="13">AJ6*AK6*AL6*AM6*AN6</f>
        <v>-9.9505071062673395E-2</v>
      </c>
      <c r="AJ6" s="9">
        <f t="shared" ref="AJ6:AJ12" si="14">H6</f>
        <v>0.61818181818181817</v>
      </c>
      <c r="AK6" s="9">
        <f>$U6 * (1 - $U6)</f>
        <v>0.23523431971957146</v>
      </c>
      <c r="AL6" s="9">
        <f t="shared" ref="AL6:AL12" si="15">$P$7</f>
        <v>-5.3236256414617067</v>
      </c>
      <c r="AM6" s="9">
        <f t="shared" ref="AM6:AM12" si="16">$T6 * (1 - $T6)</f>
        <v>0.21151982164090949</v>
      </c>
      <c r="AN6" s="10">
        <f t="shared" ref="AN6:AN12" si="17">2 * ($T6 - $I6)</f>
        <v>0.60767269603510643</v>
      </c>
      <c r="AP6" s="8">
        <f t="shared" ref="AP6:AP12" si="18">AQ6*AR6*AS6*AT6*AU6</f>
        <v>-0.16096408554255989</v>
      </c>
      <c r="AQ6" s="9">
        <v>1</v>
      </c>
      <c r="AR6" s="9">
        <f>$U6 * (1 - $U6)</f>
        <v>0.23523431971957146</v>
      </c>
      <c r="AS6" s="9">
        <f t="shared" ref="AS6:AS12" si="19">$P$7</f>
        <v>-5.3236256414617067</v>
      </c>
      <c r="AT6" s="9">
        <f t="shared" ref="AT6:AT12" si="20">$T6 * (1 - $T6)</f>
        <v>0.21151982164090949</v>
      </c>
      <c r="AU6" s="10">
        <f t="shared" ref="AU6:AU12" si="21">2 * ($T6 - $I6)</f>
        <v>0.60767269603510643</v>
      </c>
      <c r="AW6" s="8">
        <f t="shared" ref="AW6:AW12" si="22">AX6*AY6*AZ6*BA6*BB6</f>
        <v>-8.2920892552227829E-2</v>
      </c>
      <c r="AX6" s="9">
        <f t="shared" ref="AX6:AX12" si="23">G6</f>
        <v>0.51515151515151514</v>
      </c>
      <c r="AY6" s="9">
        <f>$U6 * (1 - $U6)</f>
        <v>0.23523431971957146</v>
      </c>
      <c r="AZ6" s="9">
        <f t="shared" ref="AZ6:AZ12" si="24">$P$7</f>
        <v>-5.3236256414617067</v>
      </c>
      <c r="BA6" s="9">
        <f t="shared" ref="BA6:BA12" si="25">$T6 * (1 - $T6)</f>
        <v>0.21151982164090949</v>
      </c>
      <c r="BB6" s="10">
        <f t="shared" ref="BB6:BB12" si="26">2 * ($T6 - $I6)</f>
        <v>0.60767269603510643</v>
      </c>
      <c r="BD6" s="9"/>
      <c r="BE6" s="9"/>
      <c r="BF6" s="9"/>
      <c r="BG6" s="9"/>
      <c r="BH6" s="9"/>
      <c r="BI6" s="9"/>
      <c r="BJ6" s="6"/>
      <c r="BK6" s="6"/>
    </row>
    <row r="7" spans="3:63" x14ac:dyDescent="0.35">
      <c r="C7" s="50">
        <v>21</v>
      </c>
      <c r="D7" s="51">
        <v>24</v>
      </c>
      <c r="E7" s="51">
        <v>0</v>
      </c>
      <c r="F7" s="51"/>
      <c r="G7" s="56">
        <f t="shared" si="0"/>
        <v>0.31818181818181818</v>
      </c>
      <c r="H7" s="56">
        <f t="shared" si="1"/>
        <v>0.43636363636363634</v>
      </c>
      <c r="I7" s="54">
        <f t="shared" si="2"/>
        <v>0</v>
      </c>
      <c r="K7" s="8">
        <f>T7</f>
        <v>0.28206730213594056</v>
      </c>
      <c r="L7" s="6"/>
      <c r="M7" s="10">
        <f t="shared" si="3"/>
        <v>7.9561962934247971E-2</v>
      </c>
      <c r="O7" s="17" t="s">
        <v>6</v>
      </c>
      <c r="P7" s="36">
        <v>-5.3236256414617067</v>
      </c>
      <c r="R7" s="8">
        <f t="shared" si="4"/>
        <v>-0.93423012656953519</v>
      </c>
      <c r="S7" s="9">
        <f t="shared" si="5"/>
        <v>0.58084925921062036</v>
      </c>
      <c r="T7" s="9">
        <f t="shared" ref="T7:T11" si="27">1/(1+ EXP(-R7))</f>
        <v>0.28206730213594056</v>
      </c>
      <c r="U7" s="10">
        <f t="shared" ref="U7:U11" si="28">1/(1+ EXP(-S7))</f>
        <v>0.64126279744788506</v>
      </c>
      <c r="W7" s="3"/>
      <c r="X7" s="8">
        <f>Y7*Z7*AA7</f>
        <v>7.3258034732469335E-2</v>
      </c>
      <c r="Y7" s="9">
        <f t="shared" si="7"/>
        <v>0.64126279744788506</v>
      </c>
      <c r="Z7" s="9">
        <f t="shared" si="8"/>
        <v>0.20250533920169259</v>
      </c>
      <c r="AA7" s="10">
        <f t="shared" si="9"/>
        <v>0.56413460427188111</v>
      </c>
      <c r="AC7" s="8">
        <f t="shared" si="10"/>
        <v>0.1142402693934899</v>
      </c>
      <c r="AD7" s="9">
        <v>1</v>
      </c>
      <c r="AE7" s="9">
        <f t="shared" si="11"/>
        <v>0.20250533920169259</v>
      </c>
      <c r="AF7" s="10">
        <f t="shared" si="12"/>
        <v>0.56413460427188111</v>
      </c>
      <c r="AG7" s="3"/>
      <c r="AI7" s="8">
        <f t="shared" si="13"/>
        <v>-6.1050291424749326E-2</v>
      </c>
      <c r="AJ7" s="9">
        <f t="shared" si="14"/>
        <v>0.43636363636363634</v>
      </c>
      <c r="AK7" s="9">
        <f t="shared" ref="AK7:AK12" si="29">$U7 * (1 - $U7)</f>
        <v>0.23004482205719781</v>
      </c>
      <c r="AL7" s="9">
        <f t="shared" si="15"/>
        <v>-5.3236256414617067</v>
      </c>
      <c r="AM7" s="9">
        <f t="shared" si="16"/>
        <v>0.20250533920169259</v>
      </c>
      <c r="AN7" s="10">
        <f t="shared" si="17"/>
        <v>0.56413460427188111</v>
      </c>
      <c r="AP7" s="8">
        <f t="shared" si="18"/>
        <v>-0.13990691784838385</v>
      </c>
      <c r="AQ7" s="9">
        <v>1</v>
      </c>
      <c r="AR7" s="9">
        <f t="shared" ref="AR7:AR12" si="30">$U7 * (1 - $U7)</f>
        <v>0.23004482205719781</v>
      </c>
      <c r="AS7" s="9">
        <f t="shared" si="19"/>
        <v>-5.3236256414617067</v>
      </c>
      <c r="AT7" s="9">
        <f t="shared" si="20"/>
        <v>0.20250533920169259</v>
      </c>
      <c r="AU7" s="10">
        <f t="shared" si="21"/>
        <v>0.56413460427188111</v>
      </c>
      <c r="AW7" s="8">
        <f t="shared" si="22"/>
        <v>-4.4515837497213051E-2</v>
      </c>
      <c r="AX7" s="9">
        <f t="shared" si="23"/>
        <v>0.31818181818181818</v>
      </c>
      <c r="AY7" s="9">
        <f t="shared" ref="AY7:AY12" si="31">$U7 * (1 - $U7)</f>
        <v>0.23004482205719781</v>
      </c>
      <c r="AZ7" s="9">
        <f t="shared" si="24"/>
        <v>-5.3236256414617067</v>
      </c>
      <c r="BA7" s="9">
        <f t="shared" si="25"/>
        <v>0.20250533920169259</v>
      </c>
      <c r="BB7" s="10">
        <f t="shared" si="26"/>
        <v>0.56413460427188111</v>
      </c>
      <c r="BD7" s="9"/>
      <c r="BE7" s="9"/>
      <c r="BF7" s="9"/>
      <c r="BG7" s="9"/>
      <c r="BH7" s="9"/>
      <c r="BI7" s="9"/>
      <c r="BJ7" s="6"/>
      <c r="BK7" s="6"/>
    </row>
    <row r="8" spans="3:63" x14ac:dyDescent="0.35">
      <c r="C8" s="50">
        <v>23</v>
      </c>
      <c r="D8" s="51">
        <v>45</v>
      </c>
      <c r="E8" s="51">
        <v>0</v>
      </c>
      <c r="F8" s="51"/>
      <c r="G8" s="56">
        <f t="shared" si="0"/>
        <v>0.34848484848484851</v>
      </c>
      <c r="H8" s="56">
        <f t="shared" si="1"/>
        <v>0.81818181818181823</v>
      </c>
      <c r="I8" s="54">
        <f t="shared" si="2"/>
        <v>0</v>
      </c>
      <c r="K8" s="8">
        <f t="shared" ref="K8:K12" si="32">T8</f>
        <v>0.11014454978403261</v>
      </c>
      <c r="L8" s="6"/>
      <c r="M8" s="10">
        <f t="shared" si="3"/>
        <v>1.2131821847127239E-2</v>
      </c>
      <c r="O8" s="17" t="s">
        <v>7</v>
      </c>
      <c r="P8" s="36">
        <v>0.22090860751704222</v>
      </c>
      <c r="R8" s="8">
        <f t="shared" si="4"/>
        <v>-2.0892654419687382</v>
      </c>
      <c r="S8" s="9">
        <f t="shared" si="5"/>
        <v>1.8006400930277087</v>
      </c>
      <c r="T8" s="9">
        <f>1/(1+ EXP(-R8))</f>
        <v>0.11014454978403261</v>
      </c>
      <c r="U8" s="10">
        <f t="shared" si="28"/>
        <v>0.85822683534031385</v>
      </c>
      <c r="W8" s="3"/>
      <c r="X8" s="8">
        <f t="shared" si="6"/>
        <v>1.8530091963171312E-2</v>
      </c>
      <c r="Y8" s="9">
        <f t="shared" si="7"/>
        <v>0.85822683534031385</v>
      </c>
      <c r="Z8" s="9">
        <f t="shared" si="8"/>
        <v>9.8012727936905367E-2</v>
      </c>
      <c r="AA8" s="10">
        <f t="shared" si="9"/>
        <v>0.22028909956806522</v>
      </c>
      <c r="AC8" s="8">
        <f t="shared" si="10"/>
        <v>2.1591135583430635E-2</v>
      </c>
      <c r="AD8" s="9">
        <v>1</v>
      </c>
      <c r="AE8" s="9">
        <f t="shared" si="11"/>
        <v>9.8012727936905367E-2</v>
      </c>
      <c r="AF8" s="10">
        <f t="shared" si="12"/>
        <v>0.22028909956806522</v>
      </c>
      <c r="AG8" s="3"/>
      <c r="AI8" s="8">
        <f t="shared" si="13"/>
        <v>-1.1442711303556383E-2</v>
      </c>
      <c r="AJ8" s="9">
        <f t="shared" si="14"/>
        <v>0.81818181818181823</v>
      </c>
      <c r="AK8" s="9">
        <f t="shared" si="29"/>
        <v>0.12167353444206366</v>
      </c>
      <c r="AL8" s="9">
        <f t="shared" si="15"/>
        <v>-5.3236256414617067</v>
      </c>
      <c r="AM8" s="9">
        <f t="shared" si="16"/>
        <v>9.8012727936905367E-2</v>
      </c>
      <c r="AN8" s="10">
        <f t="shared" si="17"/>
        <v>0.22028909956806522</v>
      </c>
      <c r="AP8" s="8">
        <f t="shared" si="18"/>
        <v>-1.3985536037680022E-2</v>
      </c>
      <c r="AQ8" s="9">
        <v>1</v>
      </c>
      <c r="AR8" s="9">
        <f t="shared" si="30"/>
        <v>0.12167353444206366</v>
      </c>
      <c r="AS8" s="9">
        <f t="shared" si="19"/>
        <v>-5.3236256414617067</v>
      </c>
      <c r="AT8" s="9">
        <f t="shared" si="20"/>
        <v>9.8012727936905367E-2</v>
      </c>
      <c r="AU8" s="10">
        <f t="shared" si="21"/>
        <v>0.22028909956806522</v>
      </c>
      <c r="AW8" s="8">
        <f t="shared" si="22"/>
        <v>-4.8737474070703118E-3</v>
      </c>
      <c r="AX8" s="9">
        <f t="shared" si="23"/>
        <v>0.34848484848484851</v>
      </c>
      <c r="AY8" s="9">
        <f t="shared" si="31"/>
        <v>0.12167353444206366</v>
      </c>
      <c r="AZ8" s="9">
        <f t="shared" si="24"/>
        <v>-5.3236256414617067</v>
      </c>
      <c r="BA8" s="9">
        <f t="shared" si="25"/>
        <v>9.8012727936905367E-2</v>
      </c>
      <c r="BB8" s="10">
        <f t="shared" si="26"/>
        <v>0.22028909956806522</v>
      </c>
      <c r="BD8" s="9"/>
      <c r="BE8" s="9"/>
      <c r="BF8" s="9"/>
      <c r="BG8" s="9"/>
      <c r="BH8" s="9"/>
      <c r="BI8" s="9"/>
      <c r="BJ8" s="6"/>
      <c r="BK8" s="6"/>
    </row>
    <row r="9" spans="3:63" x14ac:dyDescent="0.35">
      <c r="C9" s="50">
        <v>44</v>
      </c>
      <c r="D9" s="51">
        <v>11</v>
      </c>
      <c r="E9" s="51">
        <v>1</v>
      </c>
      <c r="F9" s="51"/>
      <c r="G9" s="56">
        <f t="shared" si="0"/>
        <v>0.66666666666666663</v>
      </c>
      <c r="H9" s="56">
        <f t="shared" si="1"/>
        <v>0.2</v>
      </c>
      <c r="I9" s="54">
        <f t="shared" si="2"/>
        <v>1</v>
      </c>
      <c r="K9" s="8">
        <f t="shared" si="32"/>
        <v>0.82042030982349712</v>
      </c>
      <c r="L9" s="6"/>
      <c r="M9" s="10">
        <f t="shared" si="3"/>
        <v>3.2248865123888769E-2</v>
      </c>
      <c r="O9" s="17" t="s">
        <v>8</v>
      </c>
      <c r="P9" s="36">
        <v>2.4796129448394906</v>
      </c>
      <c r="R9" s="8">
        <f t="shared" si="4"/>
        <v>1.5191977160692376</v>
      </c>
      <c r="S9" s="9">
        <f t="shared" si="5"/>
        <v>-1.5135976776521436</v>
      </c>
      <c r="T9" s="9">
        <f t="shared" si="27"/>
        <v>0.82042030982349712</v>
      </c>
      <c r="U9" s="10">
        <f t="shared" si="28"/>
        <v>0.18040622941070514</v>
      </c>
      <c r="W9" s="3"/>
      <c r="X9" s="8">
        <f t="shared" si="6"/>
        <v>-9.5462403398473492E-3</v>
      </c>
      <c r="Y9" s="9">
        <f t="shared" si="7"/>
        <v>0.18040622941070514</v>
      </c>
      <c r="Z9" s="9">
        <f t="shared" si="8"/>
        <v>0.14733082505261411</v>
      </c>
      <c r="AA9" s="10">
        <f t="shared" si="9"/>
        <v>-0.35915938035300576</v>
      </c>
      <c r="AC9" s="8">
        <f t="shared" si="10"/>
        <v>-5.2915247832793978E-2</v>
      </c>
      <c r="AD9" s="9">
        <v>1</v>
      </c>
      <c r="AE9" s="9">
        <f t="shared" si="11"/>
        <v>0.14733082505261411</v>
      </c>
      <c r="AF9" s="10">
        <f t="shared" si="12"/>
        <v>-0.35915938035300576</v>
      </c>
      <c r="AG9" s="3"/>
      <c r="AI9" s="8">
        <f t="shared" si="13"/>
        <v>8.3304510505754301E-3</v>
      </c>
      <c r="AJ9" s="9">
        <f t="shared" si="14"/>
        <v>0.2</v>
      </c>
      <c r="AK9" s="9">
        <f t="shared" si="29"/>
        <v>0.14785982180051715</v>
      </c>
      <c r="AL9" s="9">
        <f t="shared" si="15"/>
        <v>-5.3236256414617067</v>
      </c>
      <c r="AM9" s="9">
        <f t="shared" si="16"/>
        <v>0.14733082505261411</v>
      </c>
      <c r="AN9" s="10">
        <f t="shared" si="17"/>
        <v>-0.35915938035300576</v>
      </c>
      <c r="AP9" s="8">
        <f t="shared" si="18"/>
        <v>4.1652255252877149E-2</v>
      </c>
      <c r="AQ9" s="9">
        <v>1</v>
      </c>
      <c r="AR9" s="9">
        <f t="shared" si="30"/>
        <v>0.14785982180051715</v>
      </c>
      <c r="AS9" s="9">
        <f t="shared" si="19"/>
        <v>-5.3236256414617067</v>
      </c>
      <c r="AT9" s="9">
        <f t="shared" si="20"/>
        <v>0.14733082505261411</v>
      </c>
      <c r="AU9" s="10">
        <f t="shared" si="21"/>
        <v>-0.35915938035300576</v>
      </c>
      <c r="AW9" s="8">
        <f t="shared" si="22"/>
        <v>2.7768170168584766E-2</v>
      </c>
      <c r="AX9" s="9">
        <f t="shared" si="23"/>
        <v>0.66666666666666663</v>
      </c>
      <c r="AY9" s="9">
        <f t="shared" si="31"/>
        <v>0.14785982180051715</v>
      </c>
      <c r="AZ9" s="9">
        <f t="shared" si="24"/>
        <v>-5.3236256414617067</v>
      </c>
      <c r="BA9" s="9">
        <f t="shared" si="25"/>
        <v>0.14733082505261411</v>
      </c>
      <c r="BB9" s="10">
        <f t="shared" si="26"/>
        <v>-0.35915938035300576</v>
      </c>
      <c r="BD9" s="9"/>
      <c r="BE9" s="9"/>
      <c r="BF9" s="9"/>
      <c r="BG9" s="9"/>
      <c r="BH9" s="9"/>
      <c r="BI9" s="9"/>
      <c r="BJ9" s="6"/>
      <c r="BK9" s="6"/>
    </row>
    <row r="10" spans="3:63" ht="15" thickBot="1" x14ac:dyDescent="0.4">
      <c r="C10" s="50">
        <v>66</v>
      </c>
      <c r="D10" s="51">
        <v>21</v>
      </c>
      <c r="E10" s="51">
        <v>1</v>
      </c>
      <c r="F10" s="51"/>
      <c r="G10" s="56">
        <f t="shared" si="0"/>
        <v>1</v>
      </c>
      <c r="H10" s="56">
        <f t="shared" si="1"/>
        <v>0.38181818181818183</v>
      </c>
      <c r="I10" s="54">
        <f t="shared" si="2"/>
        <v>1</v>
      </c>
      <c r="K10" s="8">
        <f t="shared" si="32"/>
        <v>0.86951052716942234</v>
      </c>
      <c r="L10" s="6"/>
      <c r="M10" s="10">
        <f t="shared" si="3"/>
        <v>1.7027502519602066E-2</v>
      </c>
      <c r="O10" s="18"/>
      <c r="P10" s="35"/>
      <c r="R10" s="8">
        <f t="shared" si="4"/>
        <v>1.8966378853299277</v>
      </c>
      <c r="S10" s="9">
        <f t="shared" si="5"/>
        <v>-2.0957852529836263</v>
      </c>
      <c r="T10" s="9">
        <f t="shared" si="27"/>
        <v>0.86951052716942234</v>
      </c>
      <c r="U10" s="10">
        <f t="shared" si="28"/>
        <v>0.1095071477170013</v>
      </c>
      <c r="W10" s="3"/>
      <c r="X10" s="8">
        <f t="shared" si="6"/>
        <v>-3.2426364519645319E-3</v>
      </c>
      <c r="Y10" s="9">
        <f t="shared" si="7"/>
        <v>0.1095071477170013</v>
      </c>
      <c r="Z10" s="9">
        <f t="shared" si="8"/>
        <v>0.11346197031097559</v>
      </c>
      <c r="AA10" s="10">
        <f t="shared" si="9"/>
        <v>-0.26097894566115531</v>
      </c>
      <c r="AC10" s="8">
        <f t="shared" si="10"/>
        <v>-2.9611185384395715E-2</v>
      </c>
      <c r="AD10" s="9">
        <v>1</v>
      </c>
      <c r="AE10" s="9">
        <f t="shared" si="11"/>
        <v>0.11346197031097559</v>
      </c>
      <c r="AF10" s="10">
        <f t="shared" si="12"/>
        <v>-0.26097894566115531</v>
      </c>
      <c r="AG10" s="3"/>
      <c r="AI10" s="8">
        <f t="shared" si="13"/>
        <v>5.8693878917156867E-3</v>
      </c>
      <c r="AJ10" s="9">
        <f t="shared" si="14"/>
        <v>0.38181818181818183</v>
      </c>
      <c r="AK10" s="9">
        <f t="shared" si="29"/>
        <v>9.7515332315888159E-2</v>
      </c>
      <c r="AL10" s="9">
        <f t="shared" si="15"/>
        <v>-5.3236256414617067</v>
      </c>
      <c r="AM10" s="9">
        <f t="shared" si="16"/>
        <v>0.11346197031097559</v>
      </c>
      <c r="AN10" s="10">
        <f t="shared" si="17"/>
        <v>-0.26097894566115531</v>
      </c>
      <c r="AP10" s="8">
        <f t="shared" si="18"/>
        <v>1.537220638306489E-2</v>
      </c>
      <c r="AQ10" s="9">
        <v>1</v>
      </c>
      <c r="AR10" s="9">
        <f t="shared" si="30"/>
        <v>9.7515332315888159E-2</v>
      </c>
      <c r="AS10" s="9">
        <f t="shared" si="19"/>
        <v>-5.3236256414617067</v>
      </c>
      <c r="AT10" s="9">
        <f t="shared" si="20"/>
        <v>0.11346197031097559</v>
      </c>
      <c r="AU10" s="10">
        <f t="shared" si="21"/>
        <v>-0.26097894566115531</v>
      </c>
      <c r="AW10" s="8">
        <f t="shared" si="22"/>
        <v>1.537220638306489E-2</v>
      </c>
      <c r="AX10" s="9">
        <f t="shared" si="23"/>
        <v>1</v>
      </c>
      <c r="AY10" s="9">
        <f t="shared" si="31"/>
        <v>9.7515332315888159E-2</v>
      </c>
      <c r="AZ10" s="9">
        <f t="shared" si="24"/>
        <v>-5.3236256414617067</v>
      </c>
      <c r="BA10" s="9">
        <f t="shared" si="25"/>
        <v>0.11346197031097559</v>
      </c>
      <c r="BB10" s="10">
        <f t="shared" si="26"/>
        <v>-0.26097894566115531</v>
      </c>
      <c r="BD10" s="9"/>
      <c r="BE10" s="9"/>
      <c r="BF10" s="9"/>
      <c r="BG10" s="9"/>
      <c r="BH10" s="9"/>
      <c r="BI10" s="9"/>
      <c r="BJ10" s="6"/>
      <c r="BK10" s="6"/>
    </row>
    <row r="11" spans="3:63" ht="15" thickBot="1" x14ac:dyDescent="0.4">
      <c r="C11" s="50">
        <v>45</v>
      </c>
      <c r="D11" s="51">
        <v>23</v>
      </c>
      <c r="E11" s="51">
        <v>1</v>
      </c>
      <c r="F11" s="51"/>
      <c r="G11" s="56">
        <f t="shared" si="0"/>
        <v>0.68181818181818177</v>
      </c>
      <c r="H11" s="56">
        <f t="shared" si="1"/>
        <v>0.41818181818181815</v>
      </c>
      <c r="I11" s="54">
        <f t="shared" si="2"/>
        <v>1</v>
      </c>
      <c r="K11" s="8">
        <f t="shared" si="32"/>
        <v>0.69825916348545414</v>
      </c>
      <c r="L11" s="6"/>
      <c r="M11" s="10">
        <f t="shared" si="3"/>
        <v>9.1047532420497887E-2</v>
      </c>
      <c r="R11" s="8">
        <f t="shared" si="4"/>
        <v>0.83902183653088458</v>
      </c>
      <c r="S11" s="9">
        <f t="shared" si="5"/>
        <v>-0.80868040499256255</v>
      </c>
      <c r="T11" s="9">
        <f t="shared" si="27"/>
        <v>0.69825916348545414</v>
      </c>
      <c r="U11" s="10">
        <f t="shared" si="28"/>
        <v>0.3081717646581455</v>
      </c>
      <c r="W11" s="3"/>
      <c r="X11" s="8">
        <f t="shared" si="6"/>
        <v>-3.9183900475002177E-2</v>
      </c>
      <c r="Y11" s="9">
        <f t="shared" si="7"/>
        <v>0.3081717646581455</v>
      </c>
      <c r="Z11" s="9">
        <f t="shared" si="8"/>
        <v>0.21069330409404796</v>
      </c>
      <c r="AA11" s="10">
        <f t="shared" si="9"/>
        <v>-0.60348167302909173</v>
      </c>
      <c r="AC11" s="8">
        <f t="shared" si="10"/>
        <v>-0.12714954765070324</v>
      </c>
      <c r="AD11" s="9">
        <v>1</v>
      </c>
      <c r="AE11" s="9">
        <f t="shared" si="11"/>
        <v>0.21069330409404796</v>
      </c>
      <c r="AF11" s="10">
        <f t="shared" si="12"/>
        <v>-0.60348167302909173</v>
      </c>
      <c r="AG11" s="3"/>
      <c r="AI11" s="8">
        <f t="shared" si="13"/>
        <v>6.035018450255538E-2</v>
      </c>
      <c r="AJ11" s="9">
        <f t="shared" si="14"/>
        <v>0.41818181818181815</v>
      </c>
      <c r="AK11" s="9">
        <f t="shared" si="29"/>
        <v>0.2132019281256301</v>
      </c>
      <c r="AL11" s="9">
        <f t="shared" si="15"/>
        <v>-5.3236256414617067</v>
      </c>
      <c r="AM11" s="9">
        <f t="shared" si="16"/>
        <v>0.21069330409404796</v>
      </c>
      <c r="AN11" s="10">
        <f t="shared" si="17"/>
        <v>-0.60348167302909173</v>
      </c>
      <c r="AP11" s="8">
        <f t="shared" si="18"/>
        <v>0.14431565859306722</v>
      </c>
      <c r="AQ11" s="9">
        <v>1</v>
      </c>
      <c r="AR11" s="9">
        <f t="shared" si="30"/>
        <v>0.2132019281256301</v>
      </c>
      <c r="AS11" s="9">
        <f t="shared" si="19"/>
        <v>-5.3236256414617067</v>
      </c>
      <c r="AT11" s="9">
        <f t="shared" si="20"/>
        <v>0.21069330409404796</v>
      </c>
      <c r="AU11" s="10">
        <f t="shared" si="21"/>
        <v>-0.60348167302909173</v>
      </c>
      <c r="AW11" s="8">
        <f t="shared" si="22"/>
        <v>9.8397039949818549E-2</v>
      </c>
      <c r="AX11" s="9">
        <f t="shared" si="23"/>
        <v>0.68181818181818177</v>
      </c>
      <c r="AY11" s="9">
        <f t="shared" si="31"/>
        <v>0.2132019281256301</v>
      </c>
      <c r="AZ11" s="9">
        <f t="shared" si="24"/>
        <v>-5.3236256414617067</v>
      </c>
      <c r="BA11" s="9">
        <f t="shared" si="25"/>
        <v>0.21069330409404796</v>
      </c>
      <c r="BB11" s="10">
        <f t="shared" si="26"/>
        <v>-0.60348167302909173</v>
      </c>
      <c r="BD11" s="9"/>
      <c r="BE11" s="9"/>
      <c r="BF11" s="9"/>
      <c r="BG11" s="9"/>
      <c r="BH11" s="9"/>
      <c r="BI11" s="9"/>
      <c r="BJ11" s="6"/>
      <c r="BK11" s="6"/>
    </row>
    <row r="12" spans="3:63" ht="15" thickBot="1" x14ac:dyDescent="0.4">
      <c r="C12" s="52">
        <v>34</v>
      </c>
      <c r="D12" s="53">
        <v>8</v>
      </c>
      <c r="E12" s="53">
        <v>1</v>
      </c>
      <c r="F12" s="53"/>
      <c r="G12" s="57">
        <f t="shared" si="0"/>
        <v>0.51515151515151514</v>
      </c>
      <c r="H12" s="57">
        <f t="shared" si="1"/>
        <v>0.14545454545454545</v>
      </c>
      <c r="I12" s="55">
        <f t="shared" si="2"/>
        <v>1</v>
      </c>
      <c r="K12" s="8">
        <f t="shared" si="32"/>
        <v>0.76859149316980868</v>
      </c>
      <c r="L12" s="6"/>
      <c r="M12" s="10">
        <f t="shared" si="3"/>
        <v>5.3549897033378702E-2</v>
      </c>
      <c r="O12" s="62" t="s">
        <v>74</v>
      </c>
      <c r="P12" s="63">
        <v>1</v>
      </c>
      <c r="R12" s="58">
        <f t="shared" si="4"/>
        <v>1.2003750335838603</v>
      </c>
      <c r="S12" s="59">
        <f>(G12 * $P$5) + (H12 * $P$6) + $P$8</f>
        <v>-1.1510656556670686</v>
      </c>
      <c r="T12" s="59">
        <f t="shared" ref="T12" si="33">1/(1+ EXP(-R12))</f>
        <v>0.76859149316980868</v>
      </c>
      <c r="U12" s="40">
        <f t="shared" ref="U12" si="34">1/(1+ EXP(-S12))</f>
        <v>0.24029449052401627</v>
      </c>
      <c r="W12" s="3"/>
      <c r="X12" s="8">
        <f t="shared" si="6"/>
        <v>-1.9780079032806017E-2</v>
      </c>
      <c r="Y12" s="9">
        <f t="shared" si="7"/>
        <v>0.24029449052401627</v>
      </c>
      <c r="Z12" s="9">
        <f t="shared" si="8"/>
        <v>0.17785860979681262</v>
      </c>
      <c r="AA12" s="10">
        <f t="shared" si="9"/>
        <v>-0.46281701366038264</v>
      </c>
      <c r="AC12" s="8">
        <f t="shared" si="10"/>
        <v>-8.2315990639948086E-2</v>
      </c>
      <c r="AD12" s="9">
        <v>1</v>
      </c>
      <c r="AE12" s="9">
        <f t="shared" si="11"/>
        <v>0.17785860979681262</v>
      </c>
      <c r="AF12" s="10">
        <f t="shared" si="12"/>
        <v>-0.46281701366038264</v>
      </c>
      <c r="AG12" s="3"/>
      <c r="AI12" s="8">
        <f t="shared" si="13"/>
        <v>1.1636117664405402E-2</v>
      </c>
      <c r="AJ12" s="9">
        <f t="shared" si="14"/>
        <v>0.14545454545454545</v>
      </c>
      <c r="AK12" s="9">
        <f t="shared" si="29"/>
        <v>0.18255304834781971</v>
      </c>
      <c r="AL12" s="9">
        <f t="shared" si="15"/>
        <v>-5.3236256414617067</v>
      </c>
      <c r="AM12" s="9">
        <f t="shared" si="16"/>
        <v>0.17785860979681262</v>
      </c>
      <c r="AN12" s="10">
        <f t="shared" si="17"/>
        <v>-0.46281701366038264</v>
      </c>
      <c r="AP12" s="8">
        <f t="shared" si="18"/>
        <v>7.999830894278713E-2</v>
      </c>
      <c r="AQ12" s="9">
        <v>1</v>
      </c>
      <c r="AR12" s="9">
        <f t="shared" si="30"/>
        <v>0.18255304834781971</v>
      </c>
      <c r="AS12" s="9">
        <f t="shared" si="19"/>
        <v>-5.3236256414617067</v>
      </c>
      <c r="AT12" s="9">
        <f t="shared" si="20"/>
        <v>0.17785860979681262</v>
      </c>
      <c r="AU12" s="10">
        <f t="shared" si="21"/>
        <v>-0.46281701366038264</v>
      </c>
      <c r="AW12" s="8">
        <f t="shared" si="22"/>
        <v>4.1211250061435792E-2</v>
      </c>
      <c r="AX12" s="9">
        <f t="shared" si="23"/>
        <v>0.51515151515151514</v>
      </c>
      <c r="AY12" s="9">
        <f t="shared" si="31"/>
        <v>0.18255304834781971</v>
      </c>
      <c r="AZ12" s="9">
        <f t="shared" si="24"/>
        <v>-5.3236256414617067</v>
      </c>
      <c r="BA12" s="9">
        <f t="shared" si="25"/>
        <v>0.17785860979681262</v>
      </c>
      <c r="BB12" s="10">
        <f t="shared" si="26"/>
        <v>-0.46281701366038264</v>
      </c>
      <c r="BD12" s="9"/>
      <c r="BE12" s="9"/>
      <c r="BF12" s="9"/>
      <c r="BG12" s="9"/>
      <c r="BH12" s="9"/>
      <c r="BI12" s="9"/>
      <c r="BJ12" s="6"/>
      <c r="BK12" s="6"/>
    </row>
    <row r="13" spans="3:63" ht="15" thickBot="1" x14ac:dyDescent="0.4">
      <c r="K13" s="5"/>
      <c r="L13" s="6"/>
      <c r="M13" s="10"/>
      <c r="O13" s="64" t="s">
        <v>73</v>
      </c>
      <c r="P13" s="65"/>
      <c r="X13" s="5"/>
      <c r="Y13" s="6"/>
      <c r="Z13" s="6"/>
      <c r="AA13" s="7"/>
      <c r="AC13" s="5"/>
      <c r="AD13" s="6"/>
      <c r="AE13" s="6"/>
      <c r="AF13" s="7"/>
      <c r="AI13" s="5"/>
      <c r="AJ13" s="6"/>
      <c r="AK13" s="6"/>
      <c r="AL13" s="6"/>
      <c r="AM13" s="6"/>
      <c r="AN13" s="7"/>
      <c r="AP13" s="5"/>
      <c r="AQ13" s="6"/>
      <c r="AR13" s="6"/>
      <c r="AS13" s="6"/>
      <c r="AT13" s="6"/>
      <c r="AU13" s="7"/>
      <c r="AW13" s="5"/>
      <c r="AX13" s="6"/>
      <c r="AY13" s="6"/>
      <c r="AZ13" s="6"/>
      <c r="BA13" s="6"/>
      <c r="BB13" s="7"/>
      <c r="BD13" s="6"/>
      <c r="BE13" s="6"/>
      <c r="BF13" s="6"/>
      <c r="BG13" s="6"/>
      <c r="BH13" s="6"/>
      <c r="BI13" s="6"/>
      <c r="BJ13" s="6"/>
      <c r="BK13" s="6"/>
    </row>
    <row r="14" spans="3:63" ht="15" thickBot="1" x14ac:dyDescent="0.4">
      <c r="K14" s="39"/>
      <c r="L14" s="14" t="s">
        <v>16</v>
      </c>
      <c r="M14" s="40">
        <f>SUM(M5:M12)</f>
        <v>0.38435701290739244</v>
      </c>
      <c r="W14" s="3" t="s">
        <v>52</v>
      </c>
      <c r="X14" s="11" t="s">
        <v>51</v>
      </c>
      <c r="Y14" s="13">
        <f>SUM(X5:X12)</f>
        <v>0.1109137967769738</v>
      </c>
      <c r="Z14" s="14"/>
      <c r="AA14" s="35">
        <f>P7-(Y14*P12)</f>
        <v>-5.4345394382386809</v>
      </c>
      <c r="AB14" s="4"/>
      <c r="AC14" s="11" t="s">
        <v>51</v>
      </c>
      <c r="AD14" s="15">
        <f>SUM(AC5:AC12)</f>
        <v>-1.5721483796744776E-2</v>
      </c>
      <c r="AE14" s="14"/>
      <c r="AF14" s="35">
        <f>P9-(AD14*P12)</f>
        <v>2.4953344286362356</v>
      </c>
      <c r="AG14" s="4"/>
      <c r="AH14" s="4"/>
      <c r="AI14" s="11" t="s">
        <v>51</v>
      </c>
      <c r="AJ14" s="15">
        <f>SUM(AI5:AI12)</f>
        <v>-9.0294855604318533E-2</v>
      </c>
      <c r="AK14" s="14"/>
      <c r="AL14" s="14"/>
      <c r="AM14" s="14"/>
      <c r="AN14" s="35">
        <f>P6-(AJ14*P12)</f>
        <v>3.5744295664756756</v>
      </c>
      <c r="AO14" s="4"/>
      <c r="AP14" s="11" t="s">
        <v>51</v>
      </c>
      <c r="AQ14" s="15">
        <f>SUM(AP5:AP12)</f>
        <v>-3.8001033179418733E-2</v>
      </c>
      <c r="AR14" s="14"/>
      <c r="AS14" s="14"/>
      <c r="AT14" s="14"/>
      <c r="AU14" s="35">
        <f>P8-(P12*AQ14)</f>
        <v>0.25890964069646094</v>
      </c>
      <c r="AV14" s="4"/>
      <c r="AW14" s="11" t="s">
        <v>51</v>
      </c>
      <c r="AX14" s="15">
        <f>SUM(AW5:AW12)</f>
        <v>4.8943881465529013E-2</v>
      </c>
      <c r="AY14" s="14"/>
      <c r="AZ14" s="14"/>
      <c r="BA14" s="14"/>
      <c r="BB14" s="35">
        <f>P5-(P12*AX14)</f>
        <v>-3.6959437224807155</v>
      </c>
      <c r="BC14" s="4"/>
      <c r="BD14" s="85"/>
      <c r="BE14" s="85"/>
      <c r="BF14" s="6"/>
      <c r="BG14" s="6"/>
      <c r="BH14" s="6"/>
      <c r="BI14" s="85"/>
      <c r="BJ14" s="6"/>
      <c r="BK14" s="6"/>
    </row>
    <row r="15" spans="3:63" x14ac:dyDescent="0.35">
      <c r="BD15" s="6"/>
      <c r="BE15" s="6"/>
      <c r="BF15" s="6"/>
      <c r="BG15" s="6"/>
      <c r="BH15" s="6"/>
      <c r="BI15" s="6"/>
      <c r="BJ15" s="6"/>
      <c r="BK15" s="6"/>
    </row>
    <row r="16" spans="3:63" x14ac:dyDescent="0.35">
      <c r="M16" s="2"/>
    </row>
    <row r="17" spans="3:51" x14ac:dyDescent="0.35">
      <c r="M17" s="2"/>
      <c r="X17" t="s">
        <v>27</v>
      </c>
      <c r="Y17" t="s">
        <v>20</v>
      </c>
      <c r="AC17" t="s">
        <v>29</v>
      </c>
      <c r="AD17" t="s">
        <v>20</v>
      </c>
      <c r="AW17" t="s">
        <v>33</v>
      </c>
      <c r="AX17" t="s">
        <v>20</v>
      </c>
    </row>
    <row r="18" spans="3:51" x14ac:dyDescent="0.35">
      <c r="AI18" t="s">
        <v>31</v>
      </c>
      <c r="AJ18" t="s">
        <v>20</v>
      </c>
      <c r="AP18" t="s">
        <v>32</v>
      </c>
      <c r="AQ18" t="s">
        <v>20</v>
      </c>
    </row>
    <row r="19" spans="3:51" x14ac:dyDescent="0.35">
      <c r="M19" s="2"/>
    </row>
    <row r="20" spans="3:51" x14ac:dyDescent="0.35">
      <c r="M20" s="2"/>
    </row>
    <row r="21" spans="3:51" x14ac:dyDescent="0.35">
      <c r="M21" s="2"/>
    </row>
    <row r="22" spans="3:51" x14ac:dyDescent="0.35">
      <c r="M22" s="2"/>
      <c r="X22" t="s">
        <v>28</v>
      </c>
      <c r="Y22" t="s">
        <v>20</v>
      </c>
    </row>
    <row r="23" spans="3:51" x14ac:dyDescent="0.35">
      <c r="M23" s="2"/>
      <c r="AC23" t="s">
        <v>30</v>
      </c>
      <c r="AD23" t="s">
        <v>20</v>
      </c>
      <c r="AJ23" t="s">
        <v>39</v>
      </c>
      <c r="AK23" t="s">
        <v>20</v>
      </c>
      <c r="AQ23" t="s">
        <v>40</v>
      </c>
      <c r="AR23" t="s">
        <v>20</v>
      </c>
      <c r="AX23" t="s">
        <v>41</v>
      </c>
      <c r="AY23" t="s">
        <v>20</v>
      </c>
    </row>
    <row r="24" spans="3:51" x14ac:dyDescent="0.35">
      <c r="M24" s="2"/>
    </row>
    <row r="26" spans="3:51" x14ac:dyDescent="0.35">
      <c r="M26" s="2"/>
    </row>
    <row r="27" spans="3:51" x14ac:dyDescent="0.35">
      <c r="M27" s="2"/>
      <c r="X27" t="s">
        <v>24</v>
      </c>
      <c r="Y27" t="s">
        <v>20</v>
      </c>
    </row>
    <row r="28" spans="3:51" x14ac:dyDescent="0.35">
      <c r="AJ28" t="s">
        <v>38</v>
      </c>
      <c r="AK28" t="s">
        <v>20</v>
      </c>
    </row>
    <row r="29" spans="3:51" x14ac:dyDescent="0.35">
      <c r="M29" s="2"/>
    </row>
    <row r="30" spans="3:51" x14ac:dyDescent="0.35">
      <c r="M30" s="2"/>
    </row>
    <row r="32" spans="3:51" x14ac:dyDescent="0.35">
      <c r="C32" t="s">
        <v>20</v>
      </c>
      <c r="X32" t="s">
        <v>25</v>
      </c>
      <c r="Y32" t="s">
        <v>20</v>
      </c>
    </row>
    <row r="33" spans="3:37" x14ac:dyDescent="0.35">
      <c r="AJ33" t="s">
        <v>37</v>
      </c>
      <c r="AK33" t="s">
        <v>20</v>
      </c>
    </row>
    <row r="39" spans="3:37" x14ac:dyDescent="0.35">
      <c r="C39" t="s">
        <v>20</v>
      </c>
    </row>
    <row r="44" spans="3:37" x14ac:dyDescent="0.35">
      <c r="C44" t="s">
        <v>20</v>
      </c>
    </row>
    <row r="47" spans="3:37" x14ac:dyDescent="0.35">
      <c r="X47" s="3"/>
    </row>
    <row r="49" spans="3:61" x14ac:dyDescent="0.35">
      <c r="C49" t="s">
        <v>20</v>
      </c>
    </row>
    <row r="50" spans="3:61" x14ac:dyDescent="0.35">
      <c r="X50" s="37"/>
      <c r="Y50" s="37"/>
      <c r="Z50" s="37"/>
      <c r="AA50" s="37"/>
      <c r="AC50" s="37"/>
      <c r="AD50" s="37"/>
      <c r="AE50" s="37"/>
      <c r="AF50" s="37"/>
      <c r="AI50" s="37"/>
      <c r="AJ50" s="37"/>
      <c r="AK50" s="37"/>
      <c r="AL50" s="37"/>
      <c r="AM50" s="37"/>
      <c r="AN50" s="37"/>
      <c r="AP50" s="37"/>
      <c r="AQ50" s="37"/>
      <c r="AR50" s="37"/>
      <c r="AS50" s="37"/>
      <c r="AT50" s="37"/>
      <c r="AU50" s="37"/>
      <c r="AW50" s="37"/>
      <c r="AX50" s="37"/>
      <c r="AY50" s="37"/>
      <c r="AZ50" s="37"/>
      <c r="BA50" s="37"/>
      <c r="BB50" s="37"/>
      <c r="BD50" s="37"/>
      <c r="BE50" s="37"/>
      <c r="BF50" s="37"/>
      <c r="BG50" s="37"/>
      <c r="BH50" s="37"/>
      <c r="BI50" s="37"/>
    </row>
    <row r="54" spans="3:61" x14ac:dyDescent="0.35">
      <c r="C54" t="s">
        <v>20</v>
      </c>
    </row>
    <row r="59" spans="3:61" x14ac:dyDescent="0.35">
      <c r="C59" t="s">
        <v>20</v>
      </c>
    </row>
    <row r="96" ht="15" thickBot="1" x14ac:dyDescent="0.4"/>
    <row r="97" spans="2:24" x14ac:dyDescent="0.35">
      <c r="B97" s="75" t="s">
        <v>64</v>
      </c>
      <c r="C97" s="76"/>
      <c r="D97" s="77"/>
      <c r="F97" s="41" t="s">
        <v>68</v>
      </c>
      <c r="G97" s="42"/>
      <c r="H97" s="43" t="s">
        <v>67</v>
      </c>
      <c r="J97" s="4" t="s">
        <v>69</v>
      </c>
    </row>
    <row r="98" spans="2:24" x14ac:dyDescent="0.35">
      <c r="B98" s="38" t="s">
        <v>65</v>
      </c>
      <c r="C98" s="6"/>
      <c r="D98" s="10">
        <f ca="1">RAND()*($B$102-$B$99)+$B$99</f>
        <v>-0.8574014095723439</v>
      </c>
      <c r="F98" s="44">
        <v>1.68</v>
      </c>
      <c r="G98" s="6"/>
      <c r="H98" s="10">
        <v>-0.4</v>
      </c>
      <c r="J98">
        <v>-3.8071492300135543</v>
      </c>
    </row>
    <row r="99" spans="2:24" x14ac:dyDescent="0.35">
      <c r="B99" s="38">
        <v>-2</v>
      </c>
      <c r="C99" s="6"/>
      <c r="D99" s="10">
        <f ca="1">RAND()*($B$102-$B$99)+$B$99</f>
        <v>1.4673626623430236</v>
      </c>
      <c r="F99" s="44">
        <v>1.1499999999999999</v>
      </c>
      <c r="G99" s="6"/>
      <c r="H99" s="10">
        <v>-1.8</v>
      </c>
      <c r="J99">
        <v>3.8345916339822104</v>
      </c>
    </row>
    <row r="100" spans="2:24" x14ac:dyDescent="0.35">
      <c r="B100" s="38"/>
      <c r="C100" s="6"/>
      <c r="D100" s="10">
        <f t="shared" ref="D100:D103" ca="1" si="35">RAND()*($B$102-$B$99)+$B$99</f>
        <v>1.6663894141432163</v>
      </c>
      <c r="F100" s="44">
        <v>0.26</v>
      </c>
      <c r="G100" s="6"/>
      <c r="H100" s="10">
        <v>-2</v>
      </c>
      <c r="J100">
        <v>-5.6550937976002702</v>
      </c>
    </row>
    <row r="101" spans="2:24" x14ac:dyDescent="0.35">
      <c r="B101" s="38" t="s">
        <v>66</v>
      </c>
      <c r="C101" s="6"/>
      <c r="D101" s="10">
        <f t="shared" ca="1" si="35"/>
        <v>-0.4279199939580467</v>
      </c>
      <c r="F101" s="44">
        <v>0.39</v>
      </c>
      <c r="G101" s="6"/>
      <c r="H101" s="10">
        <v>1.8</v>
      </c>
      <c r="J101">
        <v>0.16955386845673706</v>
      </c>
    </row>
    <row r="102" spans="2:24" x14ac:dyDescent="0.35">
      <c r="B102" s="38">
        <f>2</f>
        <v>2</v>
      </c>
      <c r="C102" s="6"/>
      <c r="D102" s="10">
        <f t="shared" ca="1" si="35"/>
        <v>0.36949638242065674</v>
      </c>
      <c r="F102" s="44">
        <v>-0.2</v>
      </c>
      <c r="G102" s="6"/>
      <c r="H102" s="10">
        <v>1.5</v>
      </c>
      <c r="J102">
        <v>2.6395929525871695</v>
      </c>
    </row>
    <row r="103" spans="2:24" ht="15" thickBot="1" x14ac:dyDescent="0.4">
      <c r="B103" s="39"/>
      <c r="C103" s="12"/>
      <c r="D103" s="40"/>
      <c r="F103" s="45"/>
      <c r="G103" s="12"/>
      <c r="H103" s="40"/>
    </row>
    <row r="107" spans="2:24" ht="15" thickBot="1" x14ac:dyDescent="0.4"/>
    <row r="108" spans="2:24" ht="21.5" thickBot="1" x14ac:dyDescent="0.55000000000000004">
      <c r="B108" s="72" t="s">
        <v>53</v>
      </c>
      <c r="C108" s="73"/>
      <c r="D108" s="73"/>
      <c r="E108" s="73"/>
      <c r="F108" s="73"/>
      <c r="G108" s="73"/>
      <c r="H108" s="73"/>
      <c r="I108" s="73"/>
      <c r="J108" s="73"/>
      <c r="K108" s="73"/>
      <c r="L108" s="73"/>
      <c r="M108" s="73"/>
      <c r="N108" s="73"/>
      <c r="O108" s="73"/>
      <c r="P108" s="73"/>
      <c r="Q108" s="73"/>
      <c r="R108" s="73"/>
      <c r="S108" s="73"/>
      <c r="T108" s="73"/>
      <c r="U108" s="73"/>
      <c r="V108" s="73"/>
      <c r="W108" s="73"/>
      <c r="X108" s="74"/>
    </row>
    <row r="109" spans="2:24" x14ac:dyDescent="0.35">
      <c r="B109" s="66" t="s">
        <v>2</v>
      </c>
      <c r="C109" s="22">
        <v>1</v>
      </c>
      <c r="D109" s="27">
        <f>1/(1+EXP(-D135))</f>
        <v>6.2024165944873741E-2</v>
      </c>
      <c r="E109" s="26">
        <f t="shared" ref="E109:W110" si="36">1/(1+EXP(-E135))</f>
        <v>6.3484736574214815E-2</v>
      </c>
      <c r="F109" s="26">
        <f t="shared" si="36"/>
        <v>6.526077030228436E-2</v>
      </c>
      <c r="G109" s="26">
        <f t="shared" si="36"/>
        <v>6.7425314520671006E-2</v>
      </c>
      <c r="H109" s="26">
        <f t="shared" si="36"/>
        <v>7.0070151728744701E-2</v>
      </c>
      <c r="I109" s="26">
        <f t="shared" si="36"/>
        <v>7.331114976122248E-2</v>
      </c>
      <c r="J109" s="26">
        <f t="shared" si="36"/>
        <v>7.7295206548702228E-2</v>
      </c>
      <c r="K109" s="26">
        <f t="shared" si="36"/>
        <v>8.2209183611220607E-2</v>
      </c>
      <c r="L109" s="26">
        <f t="shared" si="36"/>
        <v>8.829120322828421E-2</v>
      </c>
      <c r="M109" s="26">
        <f t="shared" si="36"/>
        <v>9.5844514391608487E-2</v>
      </c>
      <c r="N109" s="26">
        <f t="shared" si="36"/>
        <v>0.10525364986694932</v>
      </c>
      <c r="O109" s="26">
        <f t="shared" si="36"/>
        <v>0.1170015283088454</v>
      </c>
      <c r="P109" s="26">
        <f t="shared" si="36"/>
        <v>0.13168410178171208</v>
      </c>
      <c r="Q109" s="26">
        <f t="shared" si="36"/>
        <v>0.15001566109854392</v>
      </c>
      <c r="R109" s="26">
        <f t="shared" si="36"/>
        <v>0.17281282595604971</v>
      </c>
      <c r="S109" s="26">
        <f t="shared" si="36"/>
        <v>0.20093952954504429</v>
      </c>
      <c r="T109" s="26">
        <f t="shared" si="36"/>
        <v>0.23519250716919834</v>
      </c>
      <c r="U109" s="26">
        <f t="shared" si="36"/>
        <v>0.27611431106811468</v>
      </c>
      <c r="V109" s="26">
        <f t="shared" si="36"/>
        <v>0.32374810970458356</v>
      </c>
      <c r="W109" s="26">
        <f t="shared" si="36"/>
        <v>0.37739751990520726</v>
      </c>
      <c r="X109" s="28">
        <f>1/(1+EXP(-X135))</f>
        <v>0.4355041685461617</v>
      </c>
    </row>
    <row r="110" spans="2:24" x14ac:dyDescent="0.35">
      <c r="B110" s="67"/>
      <c r="C110" s="19">
        <v>0.95</v>
      </c>
      <c r="D110" s="29">
        <f>1/(1+EXP(-D136))</f>
        <v>6.3413263902481268E-2</v>
      </c>
      <c r="E110" s="25">
        <f t="shared" si="36"/>
        <v>6.517377365639157E-2</v>
      </c>
      <c r="F110" s="25">
        <f t="shared" si="36"/>
        <v>6.7319166697695457E-2</v>
      </c>
      <c r="G110" s="25">
        <f t="shared" si="36"/>
        <v>6.9940285162740562E-2</v>
      </c>
      <c r="H110" s="25">
        <f t="shared" si="36"/>
        <v>7.3151786396156826E-2</v>
      </c>
      <c r="I110" s="25">
        <f t="shared" si="36"/>
        <v>7.7099008279023745E-2</v>
      </c>
      <c r="J110" s="25">
        <f t="shared" si="36"/>
        <v>8.1966805396922748E-2</v>
      </c>
      <c r="K110" s="25">
        <f t="shared" si="36"/>
        <v>8.7990734191929446E-2</v>
      </c>
      <c r="L110" s="25">
        <f t="shared" si="36"/>
        <v>9.5470804910627372E-2</v>
      </c>
      <c r="M110" s="25">
        <f t="shared" si="36"/>
        <v>0.10478755423063019</v>
      </c>
      <c r="N110" s="25">
        <f t="shared" si="36"/>
        <v>0.11641915785402351</v>
      </c>
      <c r="O110" s="25">
        <f t="shared" si="36"/>
        <v>0.13095630264492095</v>
      </c>
      <c r="P110" s="25">
        <f t="shared" si="36"/>
        <v>0.14910812171849389</v>
      </c>
      <c r="Q110" s="25">
        <f t="shared" si="36"/>
        <v>0.1716874740724752</v>
      </c>
      <c r="R110" s="25">
        <f t="shared" si="36"/>
        <v>0.19955811090259337</v>
      </c>
      <c r="S110" s="25">
        <f t="shared" si="36"/>
        <v>0.23352321231223261</v>
      </c>
      <c r="T110" s="25">
        <f t="shared" si="36"/>
        <v>0.27414162451599222</v>
      </c>
      <c r="U110" s="25">
        <f t="shared" si="36"/>
        <v>0.32148433021630446</v>
      </c>
      <c r="V110" s="25">
        <f t="shared" si="36"/>
        <v>0.37489192964208112</v>
      </c>
      <c r="W110" s="25">
        <f t="shared" si="36"/>
        <v>0.43284422857622096</v>
      </c>
      <c r="X110" s="30">
        <f>1/(1+EXP(-X136))</f>
        <v>0.49305767971153158</v>
      </c>
    </row>
    <row r="111" spans="2:24" x14ac:dyDescent="0.35">
      <c r="B111" s="67"/>
      <c r="C111" s="19">
        <v>0.9</v>
      </c>
      <c r="D111" s="29">
        <f t="shared" ref="D111:X111" si="37">1/(1+EXP(-D137))</f>
        <v>6.5087541527060075E-2</v>
      </c>
      <c r="E111" s="25">
        <f t="shared" si="37"/>
        <v>6.7213963686101552E-2</v>
      </c>
      <c r="F111" s="25">
        <f t="shared" si="37"/>
        <v>6.9811590936436421E-2</v>
      </c>
      <c r="G111" s="25">
        <f t="shared" si="37"/>
        <v>7.2993883757565464E-2</v>
      </c>
      <c r="H111" s="25">
        <f t="shared" si="37"/>
        <v>7.6904637537108633E-2</v>
      </c>
      <c r="I111" s="25">
        <f t="shared" si="37"/>
        <v>8.1726722190000337E-2</v>
      </c>
      <c r="J111" s="25">
        <f t="shared" si="37"/>
        <v>8.7693155774736839E-2</v>
      </c>
      <c r="K111" s="25">
        <f t="shared" si="37"/>
        <v>9.5100742037412006E-2</v>
      </c>
      <c r="L111" s="25">
        <f t="shared" si="37"/>
        <v>0.10432605620685038</v>
      </c>
      <c r="M111" s="25">
        <f t="shared" si="37"/>
        <v>0.115842561763637</v>
      </c>
      <c r="N111" s="25">
        <f t="shared" si="37"/>
        <v>0.13023569412677452</v>
      </c>
      <c r="O111" s="25">
        <f t="shared" si="37"/>
        <v>0.14820940229688809</v>
      </c>
      <c r="P111" s="25">
        <f t="shared" si="37"/>
        <v>0.17057268281672414</v>
      </c>
      <c r="Q111" s="25">
        <f t="shared" si="37"/>
        <v>0.19818888531107043</v>
      </c>
      <c r="R111" s="25">
        <f t="shared" si="37"/>
        <v>0.23186726670269259</v>
      </c>
      <c r="S111" s="25">
        <f t="shared" si="37"/>
        <v>0.27218247160980674</v>
      </c>
      <c r="T111" s="25">
        <f t="shared" si="37"/>
        <v>0.31923279389767495</v>
      </c>
      <c r="U111" s="25">
        <f t="shared" si="37"/>
        <v>0.37239553572108236</v>
      </c>
      <c r="V111" s="25">
        <f t="shared" si="37"/>
        <v>0.43018886886418234</v>
      </c>
      <c r="W111" s="25">
        <f t="shared" si="37"/>
        <v>0.49035744787569874</v>
      </c>
      <c r="X111" s="30">
        <f t="shared" si="37"/>
        <v>0.5502207829797805</v>
      </c>
    </row>
    <row r="112" spans="2:24" x14ac:dyDescent="0.35">
      <c r="B112" s="67"/>
      <c r="C112" s="19">
        <v>0.85</v>
      </c>
      <c r="D112" s="29">
        <f t="shared" ref="D112:X112" si="38">1/(1+EXP(-D138))</f>
        <v>6.7109696515017497E-2</v>
      </c>
      <c r="E112" s="25">
        <f t="shared" si="38"/>
        <v>6.9684057705092534E-2</v>
      </c>
      <c r="F112" s="25">
        <f>1/(1+EXP(-F138))</f>
        <v>7.2837427440615637E-2</v>
      </c>
      <c r="G112" s="25">
        <f t="shared" si="38"/>
        <v>7.6712075978883451E-2</v>
      </c>
      <c r="H112" s="25">
        <f t="shared" si="38"/>
        <v>8.1488910603744732E-2</v>
      </c>
      <c r="I112" s="25">
        <f t="shared" si="38"/>
        <v>8.7398438211088322E-2</v>
      </c>
      <c r="J112" s="25">
        <f t="shared" si="38"/>
        <v>9.4734288107933357E-2</v>
      </c>
      <c r="K112" s="25">
        <f t="shared" si="38"/>
        <v>0.10386910870317292</v>
      </c>
      <c r="L112" s="25">
        <f t="shared" si="38"/>
        <v>0.11527168237765044</v>
      </c>
      <c r="M112" s="25">
        <f t="shared" si="38"/>
        <v>0.1295222080266665</v>
      </c>
      <c r="N112" s="25">
        <f t="shared" si="38"/>
        <v>0.14731942657689437</v>
      </c>
      <c r="O112" s="25">
        <f t="shared" si="38"/>
        <v>0.16946837461796102</v>
      </c>
      <c r="P112" s="25">
        <f t="shared" si="38"/>
        <v>0.19683178674323079</v>
      </c>
      <c r="Q112" s="25">
        <f t="shared" si="38"/>
        <v>0.23022463546261099</v>
      </c>
      <c r="R112" s="25">
        <f t="shared" si="38"/>
        <v>0.27023687224164455</v>
      </c>
      <c r="S112" s="25">
        <f t="shared" si="38"/>
        <v>0.31699359514412789</v>
      </c>
      <c r="T112" s="25">
        <f t="shared" si="38"/>
        <v>0.3699085111458239</v>
      </c>
      <c r="U112" s="25">
        <f t="shared" si="38"/>
        <v>0.42753832054899882</v>
      </c>
      <c r="V112" s="25">
        <f t="shared" si="38"/>
        <v>0.48765659226672181</v>
      </c>
      <c r="W112" s="25">
        <f t="shared" si="38"/>
        <v>0.54759148488865339</v>
      </c>
      <c r="X112" s="30">
        <f t="shared" si="38"/>
        <v>0.60473222212252609</v>
      </c>
    </row>
    <row r="113" spans="2:24" x14ac:dyDescent="0.35">
      <c r="B113" s="67"/>
      <c r="C113" s="19">
        <v>0.8</v>
      </c>
      <c r="D113" s="29">
        <f t="shared" ref="D113:X113" si="39">1/(1+EXP(-D139))</f>
        <v>6.9557674243323653E-2</v>
      </c>
      <c r="E113" s="25">
        <f t="shared" si="39"/>
        <v>7.2682403194320691E-2</v>
      </c>
      <c r="F113" s="25">
        <f t="shared" si="39"/>
        <v>7.6521305457978528E-2</v>
      </c>
      <c r="G113" s="25">
        <f t="shared" si="39"/>
        <v>8.1253347503470602E-2</v>
      </c>
      <c r="H113" s="25">
        <f t="shared" si="39"/>
        <v>8.7106552051664662E-2</v>
      </c>
      <c r="I113" s="25">
        <f t="shared" si="39"/>
        <v>9.4371405844465253E-2</v>
      </c>
      <c r="J113" s="25">
        <f t="shared" si="39"/>
        <v>0.10341666507755397</v>
      </c>
      <c r="K113" s="25">
        <f t="shared" si="39"/>
        <v>0.11470646251988058</v>
      </c>
      <c r="L113" s="25">
        <f t="shared" si="39"/>
        <v>0.12881577658587112</v>
      </c>
      <c r="M113" s="25">
        <f t="shared" si="39"/>
        <v>0.14643811855653546</v>
      </c>
      <c r="N113" s="25">
        <f t="shared" si="39"/>
        <v>0.16837447174065789</v>
      </c>
      <c r="O113" s="25">
        <f t="shared" si="39"/>
        <v>0.19548674828507562</v>
      </c>
      <c r="P113" s="25">
        <f t="shared" si="39"/>
        <v>0.22859528182847733</v>
      </c>
      <c r="Q113" s="25">
        <f t="shared" si="39"/>
        <v>0.26830484336783983</v>
      </c>
      <c r="R113" s="25">
        <f t="shared" si="39"/>
        <v>0.31476682477678247</v>
      </c>
      <c r="S113" s="25">
        <f t="shared" si="39"/>
        <v>0.3674310256507603</v>
      </c>
      <c r="T113" s="25">
        <f t="shared" si="39"/>
        <v>0.42489281295800396</v>
      </c>
      <c r="U113" s="25">
        <f t="shared" si="39"/>
        <v>0.4849553600518216</v>
      </c>
      <c r="V113" s="25">
        <f t="shared" si="39"/>
        <v>0.54495652028025343</v>
      </c>
      <c r="W113" s="25">
        <f t="shared" si="39"/>
        <v>0.6022716293514182</v>
      </c>
      <c r="X113" s="30">
        <f t="shared" si="39"/>
        <v>0.65479535701220848</v>
      </c>
    </row>
    <row r="114" spans="2:24" x14ac:dyDescent="0.35">
      <c r="B114" s="67"/>
      <c r="C114" s="19">
        <v>0.75</v>
      </c>
      <c r="D114" s="29">
        <f t="shared" ref="D114:X114" si="40">1/(1+EXP(-D140))</f>
        <v>7.2528796919810956E-2</v>
      </c>
      <c r="E114" s="25">
        <f t="shared" si="40"/>
        <v>7.6332308023550052E-2</v>
      </c>
      <c r="F114" s="25">
        <f t="shared" si="40"/>
        <v>8.1020010003863718E-2</v>
      </c>
      <c r="G114" s="25">
        <f t="shared" si="40"/>
        <v>8.6817468160401423E-2</v>
      </c>
      <c r="H114" s="25">
        <f t="shared" si="40"/>
        <v>9.4012058352459946E-2</v>
      </c>
      <c r="I114" s="25">
        <f t="shared" si="40"/>
        <v>0.1029686791358877</v>
      </c>
      <c r="J114" s="25">
        <f t="shared" si="40"/>
        <v>0.11414684549768966</v>
      </c>
      <c r="K114" s="25">
        <f t="shared" si="40"/>
        <v>0.12811633249190538</v>
      </c>
      <c r="L114" s="25">
        <f t="shared" si="40"/>
        <v>0.1455654025013314</v>
      </c>
      <c r="M114" s="25">
        <f t="shared" si="40"/>
        <v>0.16729089630946203</v>
      </c>
      <c r="N114" s="25">
        <f t="shared" si="40"/>
        <v>0.19415370217476705</v>
      </c>
      <c r="O114" s="25">
        <f t="shared" si="40"/>
        <v>0.22697916719952621</v>
      </c>
      <c r="P114" s="25">
        <f t="shared" si="40"/>
        <v>0.26638639905123562</v>
      </c>
      <c r="Q114" s="25">
        <f t="shared" si="40"/>
        <v>0.31255257005428394</v>
      </c>
      <c r="R114" s="25">
        <f t="shared" si="40"/>
        <v>0.36496324566241878</v>
      </c>
      <c r="S114" s="25">
        <f t="shared" si="40"/>
        <v>0.42225257352082601</v>
      </c>
      <c r="T114" s="25">
        <f t="shared" si="40"/>
        <v>0.48225399866441093</v>
      </c>
      <c r="U114" s="25">
        <f t="shared" si="40"/>
        <v>0.54231610782669659</v>
      </c>
      <c r="V114" s="25">
        <f t="shared" si="40"/>
        <v>0.59980134245549932</v>
      </c>
      <c r="W114" s="25">
        <f t="shared" si="40"/>
        <v>0.65257327794475195</v>
      </c>
      <c r="X114" s="30">
        <f t="shared" si="40"/>
        <v>0.69928794925876803</v>
      </c>
    </row>
    <row r="115" spans="2:24" x14ac:dyDescent="0.35">
      <c r="B115" s="67"/>
      <c r="C115" s="19">
        <v>0.7</v>
      </c>
      <c r="D115" s="29">
        <f t="shared" ref="D115:X115" si="41">1/(1+EXP(-D141))</f>
        <v>7.6145065918124422E-2</v>
      </c>
      <c r="E115" s="25">
        <f t="shared" si="41"/>
        <v>8.0788875466351315E-2</v>
      </c>
      <c r="F115" s="25">
        <f t="shared" si="41"/>
        <v>8.6531157711457932E-2</v>
      </c>
      <c r="G115" s="25">
        <f t="shared" si="41"/>
        <v>9.3656209117415706E-2</v>
      </c>
      <c r="H115" s="25">
        <f t="shared" si="41"/>
        <v>0.10252510512949724</v>
      </c>
      <c r="I115" s="25">
        <f t="shared" si="41"/>
        <v>0.11359277510153989</v>
      </c>
      <c r="J115" s="25">
        <f t="shared" si="41"/>
        <v>0.12742380888261146</v>
      </c>
      <c r="K115" s="25">
        <f t="shared" si="41"/>
        <v>0.14470120295648936</v>
      </c>
      <c r="L115" s="25">
        <f t="shared" si="41"/>
        <v>0.16621757033344886</v>
      </c>
      <c r="M115" s="25">
        <f t="shared" si="41"/>
        <v>0.19283257984094884</v>
      </c>
      <c r="N115" s="25">
        <f t="shared" si="41"/>
        <v>0.22537625118584639</v>
      </c>
      <c r="O115" s="25">
        <f t="shared" si="41"/>
        <v>0.26448155050419592</v>
      </c>
      <c r="P115" s="25">
        <f t="shared" si="41"/>
        <v>0.31035091468653475</v>
      </c>
      <c r="Q115" s="25">
        <f t="shared" si="41"/>
        <v>0.36250533426305098</v>
      </c>
      <c r="R115" s="25">
        <f t="shared" si="41"/>
        <v>0.41961782768490197</v>
      </c>
      <c r="S115" s="25">
        <f t="shared" si="41"/>
        <v>0.47955275570315259</v>
      </c>
      <c r="T115" s="25">
        <f t="shared" si="41"/>
        <v>0.53967046841640354</v>
      </c>
      <c r="U115" s="25">
        <f t="shared" si="41"/>
        <v>0.59732151826849844</v>
      </c>
      <c r="V115" s="25">
        <f t="shared" si="41"/>
        <v>0.65033897781078809</v>
      </c>
      <c r="W115" s="25">
        <f t="shared" si="41"/>
        <v>0.69734097091996394</v>
      </c>
      <c r="X115" s="30">
        <f t="shared" si="41"/>
        <v>0.73777366847326808</v>
      </c>
    </row>
    <row r="116" spans="2:24" x14ac:dyDescent="0.35">
      <c r="B116" s="67"/>
      <c r="C116" s="19">
        <v>0.65</v>
      </c>
      <c r="D116" s="29">
        <f t="shared" ref="D116:X116" si="42">1/(1+EXP(-D142))</f>
        <v>8.0559921496491327E-2</v>
      </c>
      <c r="E116" s="25">
        <f t="shared" si="42"/>
        <v>8.6247592186200345E-2</v>
      </c>
      <c r="F116" s="25">
        <f t="shared" si="42"/>
        <v>9.3303822001737841E-2</v>
      </c>
      <c r="G116" s="25">
        <f t="shared" si="42"/>
        <v>0.10208589775257307</v>
      </c>
      <c r="H116" s="25">
        <f t="shared" si="42"/>
        <v>0.1130441956044103</v>
      </c>
      <c r="I116" s="25">
        <f t="shared" si="42"/>
        <v>0.12673813934997008</v>
      </c>
      <c r="J116" s="25">
        <f t="shared" si="42"/>
        <v>0.1438454447586397</v>
      </c>
      <c r="K116" s="25">
        <f t="shared" si="42"/>
        <v>0.16515441572976686</v>
      </c>
      <c r="L116" s="25">
        <f t="shared" si="42"/>
        <v>0.19152331194046435</v>
      </c>
      <c r="M116" s="25">
        <f t="shared" si="42"/>
        <v>0.22378649165628475</v>
      </c>
      <c r="N116" s="25">
        <f t="shared" si="42"/>
        <v>0.26259030613231932</v>
      </c>
      <c r="O116" s="25">
        <f t="shared" si="42"/>
        <v>0.30816193885027654</v>
      </c>
      <c r="P116" s="25">
        <f t="shared" si="42"/>
        <v>0.36005745115670862</v>
      </c>
      <c r="Q116" s="25">
        <f t="shared" si="42"/>
        <v>0.41698879883265416</v>
      </c>
      <c r="R116" s="25">
        <f t="shared" si="42"/>
        <v>0.47685187883081798</v>
      </c>
      <c r="S116" s="25">
        <f t="shared" si="42"/>
        <v>0.53701982507744095</v>
      </c>
      <c r="T116" s="25">
        <f t="shared" si="42"/>
        <v>0.59483231696430061</v>
      </c>
      <c r="U116" s="25">
        <f t="shared" si="42"/>
        <v>0.64809253926152011</v>
      </c>
      <c r="V116" s="25">
        <f t="shared" si="42"/>
        <v>0.69538077842960777</v>
      </c>
      <c r="W116" s="25">
        <f t="shared" si="42"/>
        <v>0.73610848441906251</v>
      </c>
      <c r="X116" s="30">
        <f t="shared" si="42"/>
        <v>0.77036882908201665</v>
      </c>
    </row>
    <row r="117" spans="2:24" x14ac:dyDescent="0.35">
      <c r="B117" s="67"/>
      <c r="C117" s="19">
        <v>0.6</v>
      </c>
      <c r="D117" s="29">
        <f t="shared" ref="D117:X117" si="43">1/(1+EXP(-D143))</f>
        <v>8.5966743370198884E-2</v>
      </c>
      <c r="E117" s="25">
        <f t="shared" si="43"/>
        <v>9.2954861241594036E-2</v>
      </c>
      <c r="F117" s="25">
        <f t="shared" si="43"/>
        <v>0.10165101213956228</v>
      </c>
      <c r="G117" s="25">
        <f t="shared" si="43"/>
        <v>0.11250105176108331</v>
      </c>
      <c r="H117" s="25">
        <f t="shared" si="43"/>
        <v>0.12605925794364736</v>
      </c>
      <c r="I117" s="25">
        <f t="shared" si="43"/>
        <v>0.14299805304713498</v>
      </c>
      <c r="J117" s="25">
        <f t="shared" si="43"/>
        <v>0.16410135434667697</v>
      </c>
      <c r="K117" s="25">
        <f t="shared" si="43"/>
        <v>0.19022582839546703</v>
      </c>
      <c r="L117" s="25">
        <f t="shared" si="43"/>
        <v>0.22220984478611183</v>
      </c>
      <c r="M117" s="25">
        <f t="shared" si="43"/>
        <v>0.26071267157880729</v>
      </c>
      <c r="N117" s="25">
        <f t="shared" si="43"/>
        <v>0.30598571920646733</v>
      </c>
      <c r="O117" s="25">
        <f t="shared" si="43"/>
        <v>0.35761975263774565</v>
      </c>
      <c r="P117" s="25">
        <f t="shared" si="43"/>
        <v>0.41436570820039442</v>
      </c>
      <c r="Q117" s="25">
        <f t="shared" si="43"/>
        <v>0.47415161567302216</v>
      </c>
      <c r="R117" s="25">
        <f t="shared" si="43"/>
        <v>0.53436440289901199</v>
      </c>
      <c r="S117" s="25">
        <f t="shared" si="43"/>
        <v>0.59233390202799341</v>
      </c>
      <c r="T117" s="25">
        <f t="shared" si="43"/>
        <v>0.64583404837931202</v>
      </c>
      <c r="U117" s="25">
        <f t="shared" si="43"/>
        <v>0.69340738754716869</v>
      </c>
      <c r="V117" s="25">
        <f t="shared" si="43"/>
        <v>0.73443032930498009</v>
      </c>
      <c r="W117" s="25">
        <f t="shared" si="43"/>
        <v>0.76897042577521424</v>
      </c>
      <c r="X117" s="30">
        <f t="shared" si="43"/>
        <v>0.79755122816181101</v>
      </c>
    </row>
    <row r="118" spans="2:24" x14ac:dyDescent="0.35">
      <c r="B118" s="67"/>
      <c r="C118" s="19">
        <v>0.55000000000000004</v>
      </c>
      <c r="D118" s="29">
        <f t="shared" ref="D118:X118" si="44">1/(1+EXP(-D144))</f>
        <v>9.2609291443765368E-2</v>
      </c>
      <c r="E118" s="25">
        <f t="shared" si="44"/>
        <v>0.10122040386251122</v>
      </c>
      <c r="F118" s="25">
        <f t="shared" si="44"/>
        <v>0.11196328880730282</v>
      </c>
      <c r="G118" s="25">
        <f t="shared" si="44"/>
        <v>0.12538709917428706</v>
      </c>
      <c r="H118" s="25">
        <f t="shared" si="44"/>
        <v>0.1421589532749144</v>
      </c>
      <c r="I118" s="25">
        <f t="shared" si="44"/>
        <v>0.16305830798599399</v>
      </c>
      <c r="J118" s="25">
        <f t="shared" si="44"/>
        <v>0.18894005842991266</v>
      </c>
      <c r="K118" s="25">
        <f t="shared" si="44"/>
        <v>0.22064626510442475</v>
      </c>
      <c r="L118" s="25">
        <f t="shared" si="44"/>
        <v>0.25884864976943078</v>
      </c>
      <c r="M118" s="25">
        <f t="shared" si="44"/>
        <v>0.30382232891941824</v>
      </c>
      <c r="N118" s="25">
        <f t="shared" si="44"/>
        <v>0.35519239156173654</v>
      </c>
      <c r="O118" s="25">
        <f t="shared" si="44"/>
        <v>0.41174877479902089</v>
      </c>
      <c r="P118" s="25">
        <f t="shared" si="44"/>
        <v>0.47145221371693952</v>
      </c>
      <c r="Q118" s="25">
        <f t="shared" si="44"/>
        <v>0.53170442895114545</v>
      </c>
      <c r="R118" s="25">
        <f t="shared" si="44"/>
        <v>0.5898264402245551</v>
      </c>
      <c r="S118" s="25">
        <f t="shared" si="44"/>
        <v>0.64356359469367264</v>
      </c>
      <c r="T118" s="25">
        <f t="shared" si="44"/>
        <v>0.69142081679770151</v>
      </c>
      <c r="U118" s="25">
        <f t="shared" si="44"/>
        <v>0.73273917037119363</v>
      </c>
      <c r="V118" s="25">
        <f t="shared" si="44"/>
        <v>0.76756010152325382</v>
      </c>
      <c r="W118" s="25">
        <f t="shared" si="44"/>
        <v>0.79639196586006999</v>
      </c>
      <c r="X118" s="30">
        <f t="shared" si="44"/>
        <v>0.81998092646731691</v>
      </c>
    </row>
    <row r="119" spans="2:24" x14ac:dyDescent="0.35">
      <c r="B119" s="67"/>
      <c r="C119" s="19">
        <v>0.5</v>
      </c>
      <c r="D119" s="29">
        <f t="shared" ref="D119:X119" si="45">1/(1+EXP(-D145))</f>
        <v>0.10079402892836409</v>
      </c>
      <c r="E119" s="25">
        <f t="shared" si="45"/>
        <v>0.11143085245881253</v>
      </c>
      <c r="F119" s="25">
        <f t="shared" si="45"/>
        <v>0.12472159801655107</v>
      </c>
      <c r="G119" s="25">
        <f t="shared" si="45"/>
        <v>0.14132807121894492</v>
      </c>
      <c r="H119" s="25">
        <f t="shared" si="45"/>
        <v>0.16202519842493501</v>
      </c>
      <c r="I119" s="25">
        <f t="shared" si="45"/>
        <v>0.18766593060543393</v>
      </c>
      <c r="J119" s="25">
        <f t="shared" si="45"/>
        <v>0.21909570554126034</v>
      </c>
      <c r="K119" s="25">
        <f t="shared" si="45"/>
        <v>0.25699824095805551</v>
      </c>
      <c r="L119" s="25">
        <f t="shared" si="45"/>
        <v>0.30167183767763239</v>
      </c>
      <c r="M119" s="25">
        <f t="shared" si="45"/>
        <v>0.35277551731881568</v>
      </c>
      <c r="N119" s="25">
        <f t="shared" si="45"/>
        <v>0.40913821533656075</v>
      </c>
      <c r="O119" s="25">
        <f t="shared" si="45"/>
        <v>0.46875392021008289</v>
      </c>
      <c r="P119" s="25">
        <f t="shared" si="45"/>
        <v>0.52904013220264789</v>
      </c>
      <c r="Q119" s="25">
        <f t="shared" si="45"/>
        <v>0.58731010156517616</v>
      </c>
      <c r="R119" s="25">
        <f t="shared" si="45"/>
        <v>0.64128127119551126</v>
      </c>
      <c r="S119" s="25">
        <f t="shared" si="45"/>
        <v>0.68942108751310982</v>
      </c>
      <c r="T119" s="25">
        <f t="shared" si="45"/>
        <v>0.73103497665953332</v>
      </c>
      <c r="U119" s="25">
        <f t="shared" si="45"/>
        <v>0.76613779541975568</v>
      </c>
      <c r="V119" s="25">
        <f t="shared" si="45"/>
        <v>0.79522223837938399</v>
      </c>
      <c r="W119" s="25">
        <f t="shared" si="45"/>
        <v>0.81902802361955607</v>
      </c>
      <c r="X119" s="30">
        <f t="shared" si="45"/>
        <v>0.83836707085137008</v>
      </c>
    </row>
    <row r="120" spans="2:24" x14ac:dyDescent="0.35">
      <c r="B120" s="67"/>
      <c r="C120" s="19">
        <v>0.45</v>
      </c>
      <c r="D120" s="29">
        <f t="shared" ref="D120:X120" si="46">1/(1+EXP(-D146))</f>
        <v>0.11090368891027452</v>
      </c>
      <c r="E120" s="25">
        <f t="shared" si="46"/>
        <v>0.1240626899119176</v>
      </c>
      <c r="F120" s="25">
        <f t="shared" si="46"/>
        <v>0.14050533299024637</v>
      </c>
      <c r="G120" s="25">
        <f t="shared" si="46"/>
        <v>0.16100194743737994</v>
      </c>
      <c r="H120" s="25">
        <f t="shared" si="46"/>
        <v>0.18640337285658762</v>
      </c>
      <c r="I120" s="25">
        <f t="shared" si="46"/>
        <v>0.21755811747439219</v>
      </c>
      <c r="J120" s="25">
        <f t="shared" si="46"/>
        <v>0.25516144277267105</v>
      </c>
      <c r="K120" s="25">
        <f t="shared" si="46"/>
        <v>0.29953431171630018</v>
      </c>
      <c r="L120" s="25">
        <f t="shared" si="46"/>
        <v>0.35036927580941485</v>
      </c>
      <c r="M120" s="25">
        <f t="shared" si="46"/>
        <v>0.40653424414262063</v>
      </c>
      <c r="N120" s="25">
        <f t="shared" si="46"/>
        <v>0.46605698205924001</v>
      </c>
      <c r="O120" s="25">
        <f t="shared" si="46"/>
        <v>0.52637174343737769</v>
      </c>
      <c r="P120" s="25">
        <f t="shared" si="46"/>
        <v>0.58478505927121116</v>
      </c>
      <c r="Q120" s="25">
        <f t="shared" si="46"/>
        <v>0.63898717434961616</v>
      </c>
      <c r="R120" s="25">
        <f t="shared" si="46"/>
        <v>0.68740822387273237</v>
      </c>
      <c r="S120" s="25">
        <f t="shared" si="46"/>
        <v>0.72931771905920739</v>
      </c>
      <c r="T120" s="25">
        <f t="shared" si="46"/>
        <v>0.76470344746094465</v>
      </c>
      <c r="U120" s="25">
        <f t="shared" si="46"/>
        <v>0.79404197339567106</v>
      </c>
      <c r="V120" s="25">
        <f t="shared" si="46"/>
        <v>0.81806622000513785</v>
      </c>
      <c r="W120" s="25">
        <f t="shared" si="46"/>
        <v>0.83758765467400775</v>
      </c>
      <c r="X120" s="30">
        <f t="shared" si="46"/>
        <v>0.85338562533857054</v>
      </c>
    </row>
    <row r="121" spans="2:24" x14ac:dyDescent="0.35">
      <c r="B121" s="67"/>
      <c r="C121" s="19">
        <v>0.4</v>
      </c>
      <c r="D121" s="29">
        <f t="shared" ref="D121:X121" si="47">1/(1+EXP(-D147))</f>
        <v>0.12341031077124233</v>
      </c>
      <c r="E121" s="25">
        <f t="shared" si="47"/>
        <v>0.13969066504350985</v>
      </c>
      <c r="F121" s="25">
        <f t="shared" si="47"/>
        <v>0.15998847681455181</v>
      </c>
      <c r="G121" s="25">
        <f t="shared" si="47"/>
        <v>0.18515231252547351</v>
      </c>
      <c r="H121" s="25">
        <f t="shared" si="47"/>
        <v>0.21603345077578734</v>
      </c>
      <c r="I121" s="25">
        <f t="shared" si="47"/>
        <v>0.25333825026187984</v>
      </c>
      <c r="J121" s="25">
        <f t="shared" si="47"/>
        <v>0.29740981384140219</v>
      </c>
      <c r="K121" s="25">
        <f t="shared" si="47"/>
        <v>0.3479738094224008</v>
      </c>
      <c r="L121" s="25">
        <f t="shared" si="47"/>
        <v>0.40393707309479598</v>
      </c>
      <c r="M121" s="25">
        <f t="shared" si="47"/>
        <v>0.4633616457296606</v>
      </c>
      <c r="N121" s="25">
        <f t="shared" si="47"/>
        <v>0.52369949516890169</v>
      </c>
      <c r="O121" s="25">
        <f t="shared" si="47"/>
        <v>0.58225148973576357</v>
      </c>
      <c r="P121" s="25">
        <f t="shared" si="47"/>
        <v>0.63668140410531116</v>
      </c>
      <c r="Q121" s="25">
        <f t="shared" si="47"/>
        <v>0.68538225294320509</v>
      </c>
      <c r="R121" s="25">
        <f t="shared" si="47"/>
        <v>0.72758737035267429</v>
      </c>
      <c r="S121" s="25">
        <f t="shared" si="47"/>
        <v>0.76325699858304175</v>
      </c>
      <c r="T121" s="25">
        <f t="shared" si="47"/>
        <v>0.79285109882512084</v>
      </c>
      <c r="U121" s="25">
        <f t="shared" si="47"/>
        <v>0.81709544311850246</v>
      </c>
      <c r="V121" s="25">
        <f t="shared" si="47"/>
        <v>0.83680082820266111</v>
      </c>
      <c r="W121" s="25">
        <f t="shared" si="47"/>
        <v>0.85274956161799509</v>
      </c>
      <c r="X121" s="30">
        <f t="shared" si="47"/>
        <v>0.86563800339492292</v>
      </c>
    </row>
    <row r="122" spans="2:24" x14ac:dyDescent="0.35">
      <c r="B122" s="67"/>
      <c r="C122" s="19">
        <v>0.35</v>
      </c>
      <c r="D122" s="29">
        <f t="shared" ref="D122:X122" si="48">1/(1+EXP(-D148))</f>
        <v>0.13888399418631478</v>
      </c>
      <c r="E122" s="25">
        <f t="shared" si="48"/>
        <v>0.15898470838512194</v>
      </c>
      <c r="F122" s="25">
        <f t="shared" si="48"/>
        <v>0.18391267639572045</v>
      </c>
      <c r="G122" s="25">
        <f t="shared" si="48"/>
        <v>0.21452165385770228</v>
      </c>
      <c r="H122" s="25">
        <f t="shared" si="48"/>
        <v>0.25152865594179996</v>
      </c>
      <c r="I122" s="25">
        <f t="shared" si="48"/>
        <v>0.29529840345536723</v>
      </c>
      <c r="J122" s="25">
        <f t="shared" si="48"/>
        <v>0.34558925701559035</v>
      </c>
      <c r="K122" s="25">
        <f t="shared" si="48"/>
        <v>0.40134691154709157</v>
      </c>
      <c r="L122" s="25">
        <f t="shared" si="48"/>
        <v>0.46066815714458226</v>
      </c>
      <c r="M122" s="25">
        <f t="shared" si="48"/>
        <v>0.52102362155360871</v>
      </c>
      <c r="N122" s="25">
        <f t="shared" si="48"/>
        <v>0.57970957248290012</v>
      </c>
      <c r="O122" s="25">
        <f t="shared" si="48"/>
        <v>0.63436406390525302</v>
      </c>
      <c r="P122" s="25">
        <f t="shared" si="48"/>
        <v>0.68334320471755117</v>
      </c>
      <c r="Q122" s="25">
        <f t="shared" si="48"/>
        <v>0.72584390526163989</v>
      </c>
      <c r="R122" s="25">
        <f t="shared" si="48"/>
        <v>0.76179839070019661</v>
      </c>
      <c r="S122" s="25">
        <f t="shared" si="48"/>
        <v>0.79164954284919098</v>
      </c>
      <c r="T122" s="25">
        <f t="shared" si="48"/>
        <v>0.81611562028922024</v>
      </c>
      <c r="U122" s="25">
        <f t="shared" si="48"/>
        <v>0.8360065250132046</v>
      </c>
      <c r="V122" s="25">
        <f t="shared" si="48"/>
        <v>0.85210741284546065</v>
      </c>
      <c r="W122" s="25">
        <f t="shared" si="48"/>
        <v>0.86511911951343268</v>
      </c>
      <c r="X122" s="30">
        <f t="shared" si="48"/>
        <v>0.87563695943624886</v>
      </c>
    </row>
    <row r="123" spans="2:24" x14ac:dyDescent="0.35">
      <c r="B123" s="67"/>
      <c r="C123" s="19">
        <v>0.3</v>
      </c>
      <c r="D123" s="29">
        <f t="shared" ref="D123:X123" si="49">1/(1+EXP(-D149))</f>
        <v>0.15799056403474657</v>
      </c>
      <c r="E123" s="25">
        <f t="shared" si="49"/>
        <v>0.18268439072583662</v>
      </c>
      <c r="F123" s="25">
        <f t="shared" si="49"/>
        <v>0.21302267371839023</v>
      </c>
      <c r="G123" s="25">
        <f t="shared" si="49"/>
        <v>0.24973264984333457</v>
      </c>
      <c r="H123" s="25">
        <f t="shared" si="49"/>
        <v>0.29320013658423449</v>
      </c>
      <c r="I123" s="25">
        <f t="shared" si="49"/>
        <v>0.34321575389862791</v>
      </c>
      <c r="J123" s="25">
        <f t="shared" si="49"/>
        <v>0.39876396626039928</v>
      </c>
      <c r="K123" s="25">
        <f t="shared" si="49"/>
        <v>0.45797676158518658</v>
      </c>
      <c r="L123" s="25">
        <f t="shared" si="49"/>
        <v>0.51834435830233605</v>
      </c>
      <c r="M123" s="25">
        <f t="shared" si="49"/>
        <v>0.57715949012450896</v>
      </c>
      <c r="N123" s="25">
        <f t="shared" si="49"/>
        <v>0.63203526069231686</v>
      </c>
      <c r="O123" s="25">
        <f t="shared" si="49"/>
        <v>0.6812911121534494</v>
      </c>
      <c r="P123" s="25">
        <f t="shared" si="49"/>
        <v>0.72408730049314451</v>
      </c>
      <c r="Q123" s="25">
        <f t="shared" si="49"/>
        <v>0.76032756674294555</v>
      </c>
      <c r="R123" s="25">
        <f t="shared" si="49"/>
        <v>0.79043723394017729</v>
      </c>
      <c r="S123" s="25">
        <f t="shared" si="49"/>
        <v>0.81512667869584654</v>
      </c>
      <c r="T123" s="25">
        <f t="shared" si="49"/>
        <v>0.83520467831524803</v>
      </c>
      <c r="U123" s="25">
        <f t="shared" si="49"/>
        <v>0.85145912136615953</v>
      </c>
      <c r="V123" s="25">
        <f t="shared" si="49"/>
        <v>0.86459527978049533</v>
      </c>
      <c r="W123" s="25">
        <f t="shared" si="49"/>
        <v>0.8752132787716963</v>
      </c>
      <c r="X123" s="30">
        <f t="shared" si="49"/>
        <v>0.88380808431604296</v>
      </c>
    </row>
    <row r="124" spans="2:24" x14ac:dyDescent="0.35">
      <c r="B124" s="67"/>
      <c r="C124" s="19">
        <v>0.25</v>
      </c>
      <c r="D124" s="29">
        <f t="shared" ref="D124:X124" si="50">1/(1+EXP(-D150))</f>
        <v>0.181467381281923</v>
      </c>
      <c r="E124" s="25">
        <f t="shared" si="50"/>
        <v>0.21153645598740603</v>
      </c>
      <c r="F124" s="25">
        <f t="shared" si="50"/>
        <v>0.24795021955976584</v>
      </c>
      <c r="G124" s="25">
        <f t="shared" si="50"/>
        <v>0.29111506590626923</v>
      </c>
      <c r="H124" s="25">
        <f t="shared" si="50"/>
        <v>0.34085343181820976</v>
      </c>
      <c r="I124" s="25">
        <f t="shared" si="50"/>
        <v>0.3961884413350818</v>
      </c>
      <c r="J124" s="25">
        <f t="shared" si="50"/>
        <v>0.45528770359107429</v>
      </c>
      <c r="K124" s="25">
        <f t="shared" si="50"/>
        <v>0.51566194259059361</v>
      </c>
      <c r="L124" s="25">
        <f t="shared" si="50"/>
        <v>0.57460142831480077</v>
      </c>
      <c r="M124" s="25">
        <f t="shared" si="50"/>
        <v>0.62969510491454006</v>
      </c>
      <c r="N124" s="25">
        <f t="shared" si="50"/>
        <v>0.67922601121063009</v>
      </c>
      <c r="O124" s="25">
        <f>1/(1+EXP(-O150))</f>
        <v>0.72231753478571592</v>
      </c>
      <c r="P124" s="25">
        <f t="shared" si="50"/>
        <v>0.75884447069718852</v>
      </c>
      <c r="Q124" s="25">
        <f t="shared" si="50"/>
        <v>0.7892141008873681</v>
      </c>
      <c r="R124" s="25">
        <f t="shared" si="50"/>
        <v>0.81412854538023582</v>
      </c>
      <c r="S124" s="25">
        <f t="shared" si="50"/>
        <v>0.83439522095803997</v>
      </c>
      <c r="T124" s="25">
        <f t="shared" si="50"/>
        <v>0.8508046290917799</v>
      </c>
      <c r="U124" s="25">
        <f t="shared" si="50"/>
        <v>0.86406643581146447</v>
      </c>
      <c r="V124" s="25">
        <f t="shared" si="50"/>
        <v>0.87478557903189946</v>
      </c>
      <c r="W124" s="25">
        <f t="shared" si="50"/>
        <v>0.8834615395451656</v>
      </c>
      <c r="X124" s="30">
        <f t="shared" si="50"/>
        <v>0.89049881076332948</v>
      </c>
    </row>
    <row r="125" spans="2:24" x14ac:dyDescent="0.35">
      <c r="B125" s="67"/>
      <c r="C125" s="19">
        <v>0.2</v>
      </c>
      <c r="D125" s="29">
        <f t="shared" ref="D125:X125" si="51">1/(1+EXP(-D151))</f>
        <v>0.21006294497048142</v>
      </c>
      <c r="E125" s="25">
        <f t="shared" si="51"/>
        <v>0.24618135029462782</v>
      </c>
      <c r="F125" s="25">
        <f t="shared" si="51"/>
        <v>0.28904324078197996</v>
      </c>
      <c r="G125" s="25">
        <f t="shared" si="51"/>
        <v>0.33850241894563027</v>
      </c>
      <c r="H125" s="25">
        <f t="shared" si="51"/>
        <v>0.39362053814570086</v>
      </c>
      <c r="I125" s="25">
        <f t="shared" si="51"/>
        <v>0.45260122686135135</v>
      </c>
      <c r="J125" s="25">
        <f t="shared" si="51"/>
        <v>0.51297661296744601</v>
      </c>
      <c r="K125" s="25">
        <f t="shared" si="51"/>
        <v>0.57203557570247154</v>
      </c>
      <c r="L125" s="25">
        <f t="shared" si="51"/>
        <v>0.62734371052807913</v>
      </c>
      <c r="M125" s="25">
        <f t="shared" si="51"/>
        <v>0.67714794088735519</v>
      </c>
      <c r="N125" s="25">
        <f t="shared" si="51"/>
        <v>0.72053458895554912</v>
      </c>
      <c r="O125" s="25">
        <f t="shared" si="51"/>
        <v>0.75734904764367594</v>
      </c>
      <c r="P125" s="25">
        <f t="shared" si="51"/>
        <v>0.78798007282378213</v>
      </c>
      <c r="Q125" s="25">
        <f t="shared" si="51"/>
        <v>0.81312114726231333</v>
      </c>
      <c r="R125" s="25">
        <f t="shared" si="51"/>
        <v>0.83357808543667011</v>
      </c>
      <c r="S125" s="25">
        <f t="shared" si="51"/>
        <v>0.8501438775015725</v>
      </c>
      <c r="T125" s="25">
        <f t="shared" si="51"/>
        <v>0.86353253879688907</v>
      </c>
      <c r="U125" s="25">
        <f t="shared" si="51"/>
        <v>0.87435382045700749</v>
      </c>
      <c r="V125" s="25">
        <f t="shared" si="51"/>
        <v>0.88311174013513338</v>
      </c>
      <c r="W125" s="25">
        <f t="shared" si="51"/>
        <v>0.89021473671587836</v>
      </c>
      <c r="X125" s="30">
        <f t="shared" si="51"/>
        <v>0.89599003535629573</v>
      </c>
    </row>
    <row r="126" spans="2:24" x14ac:dyDescent="0.35">
      <c r="B126" s="67"/>
      <c r="C126" s="19">
        <v>0.15</v>
      </c>
      <c r="D126" s="29">
        <f t="shared" ref="D126:X126" si="52">1/(1+EXP(-D152))</f>
        <v>0.24442602490981585</v>
      </c>
      <c r="E126" s="25">
        <f t="shared" si="52"/>
        <v>0.28698470728548209</v>
      </c>
      <c r="F126" s="25">
        <f t="shared" si="52"/>
        <v>0.33616283986662621</v>
      </c>
      <c r="G126" s="25">
        <f t="shared" si="52"/>
        <v>0.39106045527793343</v>
      </c>
      <c r="H126" s="25">
        <f t="shared" si="52"/>
        <v>0.44991757415640954</v>
      </c>
      <c r="I126" s="25">
        <f t="shared" si="52"/>
        <v>0.51028860926313679</v>
      </c>
      <c r="J126" s="25">
        <f t="shared" si="52"/>
        <v>0.56946212388053596</v>
      </c>
      <c r="K126" s="25">
        <f t="shared" si="52"/>
        <v>0.62498119499814109</v>
      </c>
      <c r="L126" s="25">
        <f t="shared" si="52"/>
        <v>0.67505694325592258</v>
      </c>
      <c r="M126" s="25">
        <f t="shared" si="52"/>
        <v>0.71873844594268566</v>
      </c>
      <c r="N126" s="25">
        <f t="shared" si="52"/>
        <v>0.75584124379799023</v>
      </c>
      <c r="O126" s="25">
        <f t="shared" si="52"/>
        <v>0.78673507925349129</v>
      </c>
      <c r="P126" s="25">
        <f t="shared" si="52"/>
        <v>0.81210441115532017</v>
      </c>
      <c r="Q126" s="25">
        <f t="shared" si="52"/>
        <v>0.83275320389857599</v>
      </c>
      <c r="R126" s="25">
        <f t="shared" si="52"/>
        <v>0.84947680764358735</v>
      </c>
      <c r="S126" s="25">
        <f t="shared" si="52"/>
        <v>0.8629935395010595</v>
      </c>
      <c r="T126" s="25">
        <f t="shared" si="52"/>
        <v>0.87391796290715684</v>
      </c>
      <c r="U126" s="25">
        <f t="shared" si="52"/>
        <v>0.88275865382436736</v>
      </c>
      <c r="V126" s="25">
        <f t="shared" si="52"/>
        <v>0.88992802587996478</v>
      </c>
      <c r="W126" s="25">
        <f t="shared" si="52"/>
        <v>0.89575661192894851</v>
      </c>
      <c r="X126" s="30">
        <f t="shared" si="52"/>
        <v>0.9005077425517547</v>
      </c>
    </row>
    <row r="127" spans="2:24" x14ac:dyDescent="0.35">
      <c r="B127" s="67"/>
      <c r="C127" s="19">
        <v>0.1</v>
      </c>
      <c r="D127" s="29">
        <f t="shared" ref="D127:X127" si="53">1/(1+EXP(-D153))</f>
        <v>0.28493950823716024</v>
      </c>
      <c r="E127" s="25">
        <f t="shared" si="53"/>
        <v>0.33383481557349592</v>
      </c>
      <c r="F127" s="25">
        <f t="shared" si="53"/>
        <v>0.38850838846770869</v>
      </c>
      <c r="G127" s="25">
        <f t="shared" si="53"/>
        <v>0.44723698720049337</v>
      </c>
      <c r="H127" s="25">
        <f t="shared" si="53"/>
        <v>0.50759817249552541</v>
      </c>
      <c r="I127" s="25">
        <f t="shared" si="53"/>
        <v>0.56688126733385169</v>
      </c>
      <c r="J127" s="25">
        <f t="shared" si="53"/>
        <v>0.62260767929785554</v>
      </c>
      <c r="K127" s="25">
        <f t="shared" si="53"/>
        <v>0.67295306349715411</v>
      </c>
      <c r="L127" s="25">
        <f t="shared" si="53"/>
        <v>0.71692909085715428</v>
      </c>
      <c r="M127" s="25">
        <f t="shared" si="53"/>
        <v>0.75432100655101197</v>
      </c>
      <c r="N127" s="25">
        <f t="shared" si="53"/>
        <v>0.78547905007953256</v>
      </c>
      <c r="O127" s="25">
        <f t="shared" si="53"/>
        <v>0.81107826378153081</v>
      </c>
      <c r="P127" s="25">
        <f t="shared" si="53"/>
        <v>0.83192050815036078</v>
      </c>
      <c r="Q127" s="25">
        <f t="shared" si="53"/>
        <v>0.84880336013608026</v>
      </c>
      <c r="R127" s="25">
        <f t="shared" si="53"/>
        <v>0.86244938826063533</v>
      </c>
      <c r="S127" s="25">
        <f t="shared" si="53"/>
        <v>0.87347796585997006</v>
      </c>
      <c r="T127" s="25">
        <f t="shared" si="53"/>
        <v>0.88240224802834966</v>
      </c>
      <c r="U127" s="25">
        <f t="shared" si="53"/>
        <v>0.88963865225976302</v>
      </c>
      <c r="V127" s="25">
        <f t="shared" si="53"/>
        <v>0.89552104866534932</v>
      </c>
      <c r="W127" s="25">
        <f t="shared" si="53"/>
        <v>0.90031547245637122</v>
      </c>
      <c r="X127" s="30">
        <f t="shared" si="53"/>
        <v>0.90423343358322728</v>
      </c>
    </row>
    <row r="128" spans="2:24" x14ac:dyDescent="0.35">
      <c r="B128" s="67"/>
      <c r="C128" s="19">
        <v>0.05</v>
      </c>
      <c r="D128" s="29">
        <f t="shared" ref="D128:X128" si="54">1/(1+EXP(-D154))</f>
        <v>0.33151846345946367</v>
      </c>
      <c r="E128" s="25">
        <f t="shared" si="54"/>
        <v>0.38596453054260044</v>
      </c>
      <c r="F128" s="25">
        <f t="shared" si="54"/>
        <v>0.44455970658513533</v>
      </c>
      <c r="G128" s="25">
        <f t="shared" si="54"/>
        <v>0.50490554477542005</v>
      </c>
      <c r="H128" s="25">
        <f t="shared" si="54"/>
        <v>0.56429320338435274</v>
      </c>
      <c r="I128" s="25">
        <f t="shared" si="54"/>
        <v>0.62022328790505277</v>
      </c>
      <c r="J128" s="25">
        <f t="shared" si="54"/>
        <v>0.67083634993381136</v>
      </c>
      <c r="K128" s="25">
        <f t="shared" si="54"/>
        <v>0.71510651102504041</v>
      </c>
      <c r="L128" s="25">
        <f t="shared" si="54"/>
        <v>0.75278828450985991</v>
      </c>
      <c r="M128" s="25">
        <f t="shared" si="54"/>
        <v>0.78421191563240988</v>
      </c>
      <c r="N128" s="25">
        <f t="shared" si="54"/>
        <v>0.81004263178845548</v>
      </c>
      <c r="O128" s="25">
        <f t="shared" si="54"/>
        <v>0.83107992966493083</v>
      </c>
      <c r="P128" s="25">
        <f t="shared" si="54"/>
        <v>0.84812347516909881</v>
      </c>
      <c r="Q128" s="25">
        <f t="shared" si="54"/>
        <v>0.86190003498335299</v>
      </c>
      <c r="R128" s="25">
        <f t="shared" si="54"/>
        <v>0.87303378840807799</v>
      </c>
      <c r="S128" s="25">
        <f t="shared" si="54"/>
        <v>0.88204248983689582</v>
      </c>
      <c r="T128" s="25">
        <f t="shared" si="54"/>
        <v>0.88934658959326973</v>
      </c>
      <c r="U128" s="25">
        <f t="shared" si="54"/>
        <v>0.89528332468242178</v>
      </c>
      <c r="V128" s="25">
        <f t="shared" si="54"/>
        <v>0.90012146158615514</v>
      </c>
      <c r="W128" s="25">
        <f t="shared" si="54"/>
        <v>0.90407468930203427</v>
      </c>
      <c r="X128" s="30">
        <f t="shared" si="54"/>
        <v>0.90731295761518571</v>
      </c>
    </row>
    <row r="129" spans="2:24" ht="15" thickBot="1" x14ac:dyDescent="0.4">
      <c r="B129" s="68"/>
      <c r="C129" s="20">
        <v>0</v>
      </c>
      <c r="D129" s="31">
        <f t="shared" ref="D129:X129" si="55">1/(1+EXP(-D155))</f>
        <v>0.38342907136550808</v>
      </c>
      <c r="E129" s="32">
        <f t="shared" si="55"/>
        <v>0.4418859716735466</v>
      </c>
      <c r="F129" s="32">
        <f t="shared" si="55"/>
        <v>0.50221096921088371</v>
      </c>
      <c r="G129" s="32">
        <f t="shared" si="55"/>
        <v>0.56169813213401532</v>
      </c>
      <c r="H129" s="32">
        <f t="shared" si="55"/>
        <v>0.61782814879691061</v>
      </c>
      <c r="I129" s="32">
        <f t="shared" si="55"/>
        <v>0.66870685406288954</v>
      </c>
      <c r="J129" s="32">
        <f t="shared" si="55"/>
        <v>0.71327069603444715</v>
      </c>
      <c r="K129" s="32">
        <f t="shared" si="55"/>
        <v>0.75124302753928496</v>
      </c>
      <c r="L129" s="32">
        <f t="shared" si="55"/>
        <v>0.7829336066991851</v>
      </c>
      <c r="M129" s="32">
        <f t="shared" si="55"/>
        <v>0.80899744176553401</v>
      </c>
      <c r="N129" s="32">
        <f t="shared" si="55"/>
        <v>0.8302313995889572</v>
      </c>
      <c r="O129" s="32">
        <f t="shared" si="55"/>
        <v>0.84743709250625143</v>
      </c>
      <c r="P129" s="32">
        <f t="shared" si="55"/>
        <v>0.86134542914682088</v>
      </c>
      <c r="Q129" s="32">
        <f t="shared" si="55"/>
        <v>0.87258538925667495</v>
      </c>
      <c r="R129" s="32">
        <f t="shared" si="55"/>
        <v>0.8816793460114275</v>
      </c>
      <c r="S129" s="32">
        <f t="shared" si="55"/>
        <v>0.88905181134975964</v>
      </c>
      <c r="T129" s="32">
        <f t="shared" si="55"/>
        <v>0.89504341888166994</v>
      </c>
      <c r="U129" s="32">
        <f t="shared" si="55"/>
        <v>0.89992569317189919</v>
      </c>
      <c r="V129" s="32">
        <f t="shared" si="55"/>
        <v>0.90391452487827739</v>
      </c>
      <c r="W129" s="32">
        <f t="shared" si="55"/>
        <v>0.90718160512428603</v>
      </c>
      <c r="X129" s="33">
        <f t="shared" si="55"/>
        <v>0.90986374379262236</v>
      </c>
    </row>
    <row r="130" spans="2:24" x14ac:dyDescent="0.35">
      <c r="C130" s="6"/>
      <c r="D130" s="23">
        <v>0</v>
      </c>
      <c r="E130" s="21">
        <v>0.05</v>
      </c>
      <c r="F130" s="21">
        <v>0.1</v>
      </c>
      <c r="G130" s="21">
        <v>0.15</v>
      </c>
      <c r="H130" s="21">
        <v>0.2</v>
      </c>
      <c r="I130" s="21">
        <v>0.25</v>
      </c>
      <c r="J130" s="21">
        <v>0.3</v>
      </c>
      <c r="K130" s="21">
        <v>0.35</v>
      </c>
      <c r="L130" s="21">
        <v>0.4</v>
      </c>
      <c r="M130" s="21">
        <v>0.45</v>
      </c>
      <c r="N130" s="21">
        <v>0.5</v>
      </c>
      <c r="O130" s="21">
        <v>0.55000000000000004</v>
      </c>
      <c r="P130" s="21">
        <v>0.6</v>
      </c>
      <c r="Q130" s="21">
        <v>0.65</v>
      </c>
      <c r="R130" s="21">
        <v>0.7</v>
      </c>
      <c r="S130" s="21">
        <v>0.75</v>
      </c>
      <c r="T130" s="21">
        <v>0.8</v>
      </c>
      <c r="U130" s="21">
        <v>0.85</v>
      </c>
      <c r="V130" s="21">
        <v>0.9</v>
      </c>
      <c r="W130" s="21">
        <v>0.95</v>
      </c>
      <c r="X130" s="22">
        <v>1</v>
      </c>
    </row>
    <row r="131" spans="2:24" ht="21.5" thickBot="1" x14ac:dyDescent="0.55000000000000004">
      <c r="C131" s="6"/>
      <c r="D131" s="69" t="s">
        <v>54</v>
      </c>
      <c r="E131" s="70"/>
      <c r="F131" s="70"/>
      <c r="G131" s="70"/>
      <c r="H131" s="70"/>
      <c r="I131" s="70"/>
      <c r="J131" s="70"/>
      <c r="K131" s="70"/>
      <c r="L131" s="70"/>
      <c r="M131" s="70"/>
      <c r="N131" s="70"/>
      <c r="O131" s="70"/>
      <c r="P131" s="70"/>
      <c r="Q131" s="70"/>
      <c r="R131" s="70"/>
      <c r="S131" s="70"/>
      <c r="T131" s="70"/>
      <c r="U131" s="70"/>
      <c r="V131" s="70"/>
      <c r="W131" s="70"/>
      <c r="X131" s="71"/>
    </row>
    <row r="133" spans="2:24" ht="15" thickBot="1" x14ac:dyDescent="0.4"/>
    <row r="134" spans="2:24" ht="21.5" thickBot="1" x14ac:dyDescent="0.55000000000000004">
      <c r="B134" s="72" t="s">
        <v>10</v>
      </c>
      <c r="C134" s="73"/>
      <c r="D134" s="73"/>
      <c r="E134" s="73"/>
      <c r="F134" s="73"/>
      <c r="G134" s="73"/>
      <c r="H134" s="73"/>
      <c r="I134" s="73"/>
      <c r="J134" s="73"/>
      <c r="K134" s="73"/>
      <c r="L134" s="73"/>
      <c r="M134" s="73"/>
      <c r="N134" s="73"/>
      <c r="O134" s="73"/>
      <c r="P134" s="73"/>
      <c r="Q134" s="73"/>
      <c r="R134" s="73"/>
      <c r="S134" s="73"/>
      <c r="T134" s="73"/>
      <c r="U134" s="73"/>
      <c r="V134" s="73"/>
      <c r="W134" s="73"/>
      <c r="X134" s="74"/>
    </row>
    <row r="135" spans="2:24" x14ac:dyDescent="0.35">
      <c r="B135" s="66" t="s">
        <v>2</v>
      </c>
      <c r="C135" s="22">
        <v>1</v>
      </c>
      <c r="D135" s="25">
        <f>(D161*$P$7) + $P$9</f>
        <v>-2.7162001029992648</v>
      </c>
      <c r="E135" s="25">
        <f>(E161*$P$7) + $P$9</f>
        <v>-2.6913663120283546</v>
      </c>
      <c r="F135" s="25">
        <f t="shared" ref="F135:X135" si="56">(F161*$P$7) + $P$9</f>
        <v>-2.6618764969846582</v>
      </c>
      <c r="G135" s="25">
        <f t="shared" si="56"/>
        <v>-2.6269287062141808</v>
      </c>
      <c r="H135" s="25">
        <f t="shared" si="56"/>
        <v>-2.5856122435675699</v>
      </c>
      <c r="I135" s="25">
        <f t="shared" si="56"/>
        <v>-2.5369051481717761</v>
      </c>
      <c r="J135" s="25">
        <f t="shared" si="56"/>
        <v>-2.4796774069401852</v>
      </c>
      <c r="K135" s="25">
        <f t="shared" si="56"/>
        <v>-2.412702477211047</v>
      </c>
      <c r="L135" s="25">
        <f t="shared" si="56"/>
        <v>-2.3346801583428585</v>
      </c>
      <c r="M135" s="25">
        <f t="shared" si="56"/>
        <v>-2.2442741062806491</v>
      </c>
      <c r="N135" s="25">
        <f t="shared" si="56"/>
        <v>-2.1401671204027446</v>
      </c>
      <c r="O135" s="25">
        <f t="shared" si="56"/>
        <v>-2.0211364726071608</v>
      </c>
      <c r="P135" s="25">
        <f t="shared" si="56"/>
        <v>-1.8861497004287422</v>
      </c>
      <c r="Q135" s="25">
        <f t="shared" si="56"/>
        <v>-1.7344782285229901</v>
      </c>
      <c r="R135" s="25">
        <f t="shared" si="56"/>
        <v>-1.5658219204697748</v>
      </c>
      <c r="S135" s="25">
        <f t="shared" si="56"/>
        <v>-1.3804326108138989</v>
      </c>
      <c r="T135" s="25">
        <f t="shared" si="56"/>
        <v>-1.1792198005574024</v>
      </c>
      <c r="U135" s="25">
        <f t="shared" si="56"/>
        <v>-0.96381854119557664</v>
      </c>
      <c r="V135" s="25">
        <f t="shared" si="56"/>
        <v>-0.73659985117164783</v>
      </c>
      <c r="W135" s="25">
        <f t="shared" si="56"/>
        <v>-0.50060918006315847</v>
      </c>
      <c r="X135" s="86">
        <f t="shared" si="56"/>
        <v>-0.2594286309603473</v>
      </c>
    </row>
    <row r="136" spans="2:24" x14ac:dyDescent="0.35">
      <c r="B136" s="67"/>
      <c r="C136" s="19">
        <v>0.95</v>
      </c>
      <c r="D136" s="25">
        <f>(D162*$P$7) + $P$9</f>
        <v>-2.692569085511054</v>
      </c>
      <c r="E136" s="25">
        <f>(E162*$P$7) + $P$9</f>
        <v>-2.6633035143609982</v>
      </c>
      <c r="F136" s="25">
        <f t="shared" ref="F136:X150" si="57">(F162*$P$7) + $P$9</f>
        <v>-2.6286180648116453</v>
      </c>
      <c r="G136" s="25">
        <f t="shared" si="57"/>
        <v>-2.5876069847132506</v>
      </c>
      <c r="H136" s="25">
        <f t="shared" si="57"/>
        <v>-2.5392532646208821</v>
      </c>
      <c r="I136" s="25">
        <f t="shared" si="57"/>
        <v>-2.4824315431430248</v>
      </c>
      <c r="J136" s="25">
        <f t="shared" si="57"/>
        <v>-2.415919196592073</v>
      </c>
      <c r="K136" s="25">
        <f t="shared" si="57"/>
        <v>-2.338418634239039</v>
      </c>
      <c r="L136" s="25">
        <f t="shared" si="57"/>
        <v>-2.248594088908205</v>
      </c>
      <c r="M136" s="25">
        <f t="shared" si="57"/>
        <v>-2.1451260521884548</v>
      </c>
      <c r="N136" s="25">
        <f t="shared" si="57"/>
        <v>-2.0267856815904102</v>
      </c>
      <c r="O136" s="25">
        <f t="shared" si="57"/>
        <v>-1.892529708685438</v>
      </c>
      <c r="P136" s="25">
        <f t="shared" si="57"/>
        <v>-1.7416133760464989</v>
      </c>
      <c r="Q136" s="25">
        <f t="shared" si="57"/>
        <v>-1.5737147171028356</v>
      </c>
      <c r="R136" s="25">
        <f t="shared" si="57"/>
        <v>-1.3890584599091862</v>
      </c>
      <c r="S136" s="25">
        <f t="shared" si="57"/>
        <v>-1.1885229318421096</v>
      </c>
      <c r="T136" s="25">
        <f t="shared" si="57"/>
        <v>-0.97371007005593047</v>
      </c>
      <c r="U136" s="25">
        <f t="shared" si="57"/>
        <v>-0.74695877086936369</v>
      </c>
      <c r="V136" s="25">
        <f t="shared" si="57"/>
        <v>-0.51128675054615425</v>
      </c>
      <c r="W136" s="25">
        <f t="shared" si="57"/>
        <v>-0.27025608110847621</v>
      </c>
      <c r="X136" s="87">
        <f t="shared" si="57"/>
        <v>-2.7771065844347742E-2</v>
      </c>
    </row>
    <row r="137" spans="2:24" x14ac:dyDescent="0.35">
      <c r="B137" s="67"/>
      <c r="C137" s="19">
        <v>0.9</v>
      </c>
      <c r="D137" s="25">
        <f t="shared" ref="D137" si="58">(D163*$P$7) + $P$9</f>
        <v>-2.6647197410959196</v>
      </c>
      <c r="E137" s="25">
        <f t="shared" ref="E137:T155" si="59">(E163*$P$7) + $P$9</f>
        <v>-2.6302948269467672</v>
      </c>
      <c r="F137" s="25">
        <f t="shared" si="59"/>
        <v>-2.5895871007762876</v>
      </c>
      <c r="G137" s="25">
        <f t="shared" si="59"/>
        <v>-2.5415845099370031</v>
      </c>
      <c r="H137" s="25">
        <f t="shared" si="59"/>
        <v>-2.4851663663430541</v>
      </c>
      <c r="I137" s="25">
        <f t="shared" si="59"/>
        <v>-2.4191140091893955</v>
      </c>
      <c r="J137" s="25">
        <f t="shared" si="59"/>
        <v>-2.3421325304927745</v>
      </c>
      <c r="K137" s="25">
        <f t="shared" si="59"/>
        <v>-2.2528868481076447</v>
      </c>
      <c r="L137" s="25">
        <f t="shared" si="59"/>
        <v>-2.1500552941065987</v>
      </c>
      <c r="M137" s="25">
        <f t="shared" si="59"/>
        <v>-2.0324031012674428</v>
      </c>
      <c r="N137" s="25">
        <f t="shared" si="59"/>
        <v>-1.898876421513954</v>
      </c>
      <c r="O137" s="25">
        <f t="shared" si="59"/>
        <v>-1.7487145651289637</v>
      </c>
      <c r="P137" s="25">
        <f t="shared" si="59"/>
        <v>-1.5815739852810458</v>
      </c>
      <c r="Q137" s="25">
        <f t="shared" si="59"/>
        <v>-1.3976525201081342</v>
      </c>
      <c r="R137" s="25">
        <f t="shared" si="59"/>
        <v>-1.1977974663704027</v>
      </c>
      <c r="S137" s="25">
        <f t="shared" si="59"/>
        <v>-0.98357767608124957</v>
      </c>
      <c r="T137" s="25">
        <f t="shared" si="59"/>
        <v>-0.75729980837587485</v>
      </c>
      <c r="U137" s="25">
        <f t="shared" si="57"/>
        <v>-0.52195357661725517</v>
      </c>
      <c r="V137" s="25">
        <f t="shared" si="57"/>
        <v>-0.2810806148648064</v>
      </c>
      <c r="W137" s="25">
        <f t="shared" si="57"/>
        <v>-3.8574991180694074E-2</v>
      </c>
      <c r="X137" s="87">
        <f t="shared" si="57"/>
        <v>0.2015627877545243</v>
      </c>
    </row>
    <row r="138" spans="2:24" x14ac:dyDescent="0.35">
      <c r="B138" s="67"/>
      <c r="C138" s="19">
        <v>0.85</v>
      </c>
      <c r="D138" s="25">
        <f t="shared" ref="D138" si="60">(D164*$P$7) + $P$9</f>
        <v>-2.6319590780060738</v>
      </c>
      <c r="E138" s="25">
        <f t="shared" si="59"/>
        <v>-2.5915526870779937</v>
      </c>
      <c r="F138" s="25">
        <f t="shared" si="57"/>
        <v>-2.5438989888316881</v>
      </c>
      <c r="G138" s="25">
        <f t="shared" si="57"/>
        <v>-2.4878819892492361</v>
      </c>
      <c r="H138" s="25">
        <f t="shared" si="57"/>
        <v>-2.4222870331814832</v>
      </c>
      <c r="I138" s="25">
        <f t="shared" si="57"/>
        <v>-2.3458219667903029</v>
      </c>
      <c r="J138" s="25">
        <f t="shared" si="57"/>
        <v>-2.2571524994135288</v>
      </c>
      <c r="K138" s="25">
        <f t="shared" si="57"/>
        <v>-2.1549549500273386</v>
      </c>
      <c r="L138" s="25">
        <f t="shared" si="57"/>
        <v>-2.0379888145301832</v>
      </c>
      <c r="M138" s="25">
        <f t="shared" si="57"/>
        <v>-1.9051898900871587</v>
      </c>
      <c r="N138" s="25">
        <f t="shared" si="57"/>
        <v>-1.7557818038548385</v>
      </c>
      <c r="O138" s="25">
        <f t="shared" si="57"/>
        <v>-1.5893996792713336</v>
      </c>
      <c r="P138" s="25">
        <f t="shared" si="57"/>
        <v>-1.4062146834460783</v>
      </c>
      <c r="Q138" s="25">
        <f t="shared" si="57"/>
        <v>-1.2070432297079714</v>
      </c>
      <c r="R138" s="25">
        <f t="shared" si="57"/>
        <v>-0.99342111997348415</v>
      </c>
      <c r="S138" s="25">
        <f t="shared" si="57"/>
        <v>-0.76762266798053247</v>
      </c>
      <c r="T138" s="25">
        <f t="shared" si="57"/>
        <v>-0.532609321356317</v>
      </c>
      <c r="U138" s="25">
        <f t="shared" si="57"/>
        <v>-0.29190187466073647</v>
      </c>
      <c r="V138" s="25">
        <f t="shared" si="57"/>
        <v>-4.9383664672087324E-2</v>
      </c>
      <c r="W138" s="25">
        <f t="shared" si="57"/>
        <v>0.19094397726872803</v>
      </c>
      <c r="X138" s="87">
        <f t="shared" si="57"/>
        <v>0.42522229809383782</v>
      </c>
    </row>
    <row r="139" spans="2:24" x14ac:dyDescent="0.35">
      <c r="B139" s="67"/>
      <c r="C139" s="19">
        <v>0.8</v>
      </c>
      <c r="D139" s="25">
        <f t="shared" ref="D139" si="61">(D165*$P$7) + $P$9</f>
        <v>-2.5935038385023477</v>
      </c>
      <c r="E139" s="25">
        <f t="shared" si="59"/>
        <v>-2.5461968056195525</v>
      </c>
      <c r="F139" s="25">
        <f t="shared" si="57"/>
        <v>-2.4905785242577849</v>
      </c>
      <c r="G139" s="25">
        <f t="shared" si="57"/>
        <v>-2.4254383865753528</v>
      </c>
      <c r="H139" s="25">
        <f t="shared" si="57"/>
        <v>-2.3494870628578504</v>
      </c>
      <c r="I139" s="25">
        <f t="shared" si="57"/>
        <v>-2.2613911586921072</v>
      </c>
      <c r="J139" s="25">
        <f t="shared" si="57"/>
        <v>-2.1598251245278295</v>
      </c>
      <c r="K139" s="25">
        <f t="shared" si="57"/>
        <v>-2.0435429054281089</v>
      </c>
      <c r="L139" s="25">
        <f t="shared" si="57"/>
        <v>-1.9114701672361782</v>
      </c>
      <c r="M139" s="25">
        <f t="shared" si="57"/>
        <v>-1.7628151024719907</v>
      </c>
      <c r="N139" s="25">
        <f t="shared" si="57"/>
        <v>-1.5971917559473674</v>
      </c>
      <c r="O139" s="25">
        <f t="shared" si="57"/>
        <v>-1.4147448448655471</v>
      </c>
      <c r="P139" s="25">
        <f t="shared" si="57"/>
        <v>-1.2162600504029948</v>
      </c>
      <c r="Q139" s="25">
        <f t="shared" si="57"/>
        <v>-1.0032401652033314</v>
      </c>
      <c r="R139" s="25">
        <f t="shared" si="57"/>
        <v>-0.77792705621465696</v>
      </c>
      <c r="S139" s="25">
        <f t="shared" si="57"/>
        <v>-0.54325364927689979</v>
      </c>
      <c r="T139" s="25">
        <f t="shared" si="57"/>
        <v>-0.30271950336095621</v>
      </c>
      <c r="U139" s="25">
        <f t="shared" si="57"/>
        <v>-6.0196730847136504E-2</v>
      </c>
      <c r="V139" s="25">
        <f t="shared" si="57"/>
        <v>0.18031303796939913</v>
      </c>
      <c r="W139" s="25">
        <f t="shared" si="57"/>
        <v>0.4149392686133111</v>
      </c>
      <c r="X139" s="87">
        <f t="shared" si="57"/>
        <v>0.64018534551849693</v>
      </c>
    </row>
    <row r="140" spans="2:24" x14ac:dyDescent="0.35">
      <c r="B140" s="67"/>
      <c r="C140" s="19">
        <v>0.75</v>
      </c>
      <c r="D140" s="25">
        <f t="shared" ref="D140" si="62">(D166*$P$7) + $P$9</f>
        <v>-2.5484780642156402</v>
      </c>
      <c r="E140" s="25">
        <f t="shared" si="59"/>
        <v>-2.4932560834472985</v>
      </c>
      <c r="F140" s="25">
        <f t="shared" si="57"/>
        <v>-2.4285681871988638</v>
      </c>
      <c r="G140" s="25">
        <f t="shared" si="57"/>
        <v>-2.3531279384505357</v>
      </c>
      <c r="H140" s="25">
        <f t="shared" si="57"/>
        <v>-2.2656029421265043</v>
      </c>
      <c r="I140" s="25">
        <f t="shared" si="57"/>
        <v>-2.164665922873743</v>
      </c>
      <c r="J140" s="25">
        <f t="shared" si="57"/>
        <v>-2.0490654591468136</v>
      </c>
      <c r="K140" s="25">
        <f t="shared" si="57"/>
        <v>-1.9177173074275178</v>
      </c>
      <c r="L140" s="25">
        <f t="shared" si="57"/>
        <v>-1.7698144733699177</v>
      </c>
      <c r="M140" s="25">
        <f t="shared" si="57"/>
        <v>-1.6049501747721706</v>
      </c>
      <c r="N140" s="25">
        <f t="shared" si="57"/>
        <v>-1.4232429022070736</v>
      </c>
      <c r="O140" s="25">
        <f t="shared" si="57"/>
        <v>-1.2254477599885782</v>
      </c>
      <c r="P140" s="25">
        <f t="shared" si="57"/>
        <v>-1.0130345780264616</v>
      </c>
      <c r="Q140" s="25">
        <f t="shared" si="57"/>
        <v>-0.78821268188151938</v>
      </c>
      <c r="R140" s="25">
        <f t="shared" si="57"/>
        <v>-0.55388622636730878</v>
      </c>
      <c r="S140" s="25">
        <f t="shared" si="57"/>
        <v>-0.31353314431048807</v>
      </c>
      <c r="T140" s="25">
        <f t="shared" si="57"/>
        <v>-7.1013833654060665E-2</v>
      </c>
      <c r="U140" s="25">
        <f t="shared" si="57"/>
        <v>0.1696703021418271</v>
      </c>
      <c r="V140" s="25">
        <f t="shared" si="57"/>
        <v>0.4046374368018042</v>
      </c>
      <c r="W140" s="25">
        <f t="shared" si="57"/>
        <v>0.63036966527009497</v>
      </c>
      <c r="X140" s="87">
        <f t="shared" si="57"/>
        <v>0.84390943716502553</v>
      </c>
    </row>
    <row r="141" spans="2:24" x14ac:dyDescent="0.35">
      <c r="B141" s="67"/>
      <c r="C141" s="19">
        <v>0.7</v>
      </c>
      <c r="D141" s="25">
        <f t="shared" ref="D141" si="63">(D167*$P$7) + $P$9</f>
        <v>-2.4959147785739875</v>
      </c>
      <c r="E141" s="25">
        <f t="shared" si="59"/>
        <v>-2.4316765526931299</v>
      </c>
      <c r="F141" s="25">
        <f t="shared" si="57"/>
        <v>-2.3567447133414348</v>
      </c>
      <c r="G141" s="25">
        <f t="shared" si="57"/>
        <v>-2.2697879662020677</v>
      </c>
      <c r="H141" s="25">
        <f t="shared" si="57"/>
        <v>-2.1694774510009385</v>
      </c>
      <c r="I141" s="25">
        <f t="shared" si="57"/>
        <v>-2.0545565619866579</v>
      </c>
      <c r="J141" s="25">
        <f t="shared" si="57"/>
        <v>-1.9239313667402147</v>
      </c>
      <c r="K141" s="25">
        <f t="shared" si="57"/>
        <v>-1.7767799310578143</v>
      </c>
      <c r="L141" s="25">
        <f t="shared" si="57"/>
        <v>-1.6126748977804661</v>
      </c>
      <c r="M141" s="25">
        <f t="shared" si="57"/>
        <v>-1.4317087561995563</v>
      </c>
      <c r="N141" s="25">
        <f t="shared" si="57"/>
        <v>-1.2346061929846281</v>
      </c>
      <c r="O141" s="25">
        <f t="shared" si="57"/>
        <v>-1.0228041274991182</v>
      </c>
      <c r="P141" s="25">
        <f t="shared" si="57"/>
        <v>-0.79847925608575077</v>
      </c>
      <c r="Q141" s="25">
        <f t="shared" si="57"/>
        <v>-0.56450672013124281</v>
      </c>
      <c r="R141" s="25">
        <f t="shared" si="57"/>
        <v>-0.32434244138158563</v>
      </c>
      <c r="S141" s="25">
        <f t="shared" si="57"/>
        <v>-8.1834616507431956E-2</v>
      </c>
      <c r="T141" s="25">
        <f t="shared" si="57"/>
        <v>0.15901610359224172</v>
      </c>
      <c r="U141" s="25">
        <f t="shared" si="57"/>
        <v>0.39431709354209987</v>
      </c>
      <c r="V141" s="25">
        <f t="shared" si="57"/>
        <v>0.62052955413216027</v>
      </c>
      <c r="W141" s="25">
        <f t="shared" si="57"/>
        <v>0.83466763372108344</v>
      </c>
      <c r="X141" s="87">
        <f t="shared" si="57"/>
        <v>1.0344291036411324</v>
      </c>
    </row>
    <row r="142" spans="2:24" x14ac:dyDescent="0.35">
      <c r="B142" s="67"/>
      <c r="C142" s="19">
        <v>0.65</v>
      </c>
      <c r="D142" s="25">
        <f t="shared" ref="D142" si="64">(D168*$P$7) + $P$9</f>
        <v>-2.4347636005050903</v>
      </c>
      <c r="E142" s="25">
        <f t="shared" si="59"/>
        <v>-2.3603375073108017</v>
      </c>
      <c r="F142" s="25">
        <f t="shared" si="57"/>
        <v>-2.2739463476918855</v>
      </c>
      <c r="G142" s="25">
        <f t="shared" si="57"/>
        <v>-2.1742598154972912</v>
      </c>
      <c r="H142" s="25">
        <f t="shared" si="57"/>
        <v>-2.0600163013415411</v>
      </c>
      <c r="I142" s="25">
        <f t="shared" si="57"/>
        <v>-1.9301124028429957</v>
      </c>
      <c r="J142" s="25">
        <f t="shared" si="57"/>
        <v>-1.7837114921425679</v>
      </c>
      <c r="K142" s="25">
        <f t="shared" si="57"/>
        <v>-1.6203658895607438</v>
      </c>
      <c r="L142" s="25">
        <f t="shared" si="57"/>
        <v>-1.4401423104501894</v>
      </c>
      <c r="M142" s="25">
        <f t="shared" si="57"/>
        <v>-1.2437351868991318</v>
      </c>
      <c r="N142" s="25">
        <f t="shared" si="57"/>
        <v>-1.0325485854930827</v>
      </c>
      <c r="O142" s="25">
        <f t="shared" si="57"/>
        <v>-0.80872649226215465</v>
      </c>
      <c r="P142" s="25">
        <f t="shared" si="57"/>
        <v>-0.57511479962803325</v>
      </c>
      <c r="Q142" s="25">
        <f t="shared" si="57"/>
        <v>-0.33514703902048559</v>
      </c>
      <c r="R142" s="25">
        <f t="shared" si="57"/>
        <v>-9.2658722335042576E-2</v>
      </c>
      <c r="S142" s="25">
        <f t="shared" si="57"/>
        <v>0.14835077760721704</v>
      </c>
      <c r="T142" s="25">
        <f t="shared" si="57"/>
        <v>0.38397853199300425</v>
      </c>
      <c r="U142" s="25">
        <f t="shared" si="57"/>
        <v>0.61066524825293533</v>
      </c>
      <c r="V142" s="25">
        <f t="shared" si="57"/>
        <v>0.82539703539235099</v>
      </c>
      <c r="W142" s="25">
        <f t="shared" si="57"/>
        <v>1.0258394123120909</v>
      </c>
      <c r="X142" s="87">
        <f t="shared" si="57"/>
        <v>1.2103949819037207</v>
      </c>
    </row>
    <row r="143" spans="2:24" x14ac:dyDescent="0.35">
      <c r="B143" s="67"/>
      <c r="C143" s="19">
        <v>0.6</v>
      </c>
      <c r="D143" s="25">
        <f t="shared" ref="D143" si="65">(D169*$P$7) + $P$9</f>
        <v>-2.3639064401354517</v>
      </c>
      <c r="E143" s="25">
        <f t="shared" si="59"/>
        <v>-2.2780782036424707</v>
      </c>
      <c r="F143" s="25">
        <f t="shared" si="57"/>
        <v>-2.1790131235846797</v>
      </c>
      <c r="G143" s="25">
        <f t="shared" si="57"/>
        <v>-2.0654447656777775</v>
      </c>
      <c r="H143" s="25">
        <f t="shared" si="57"/>
        <v>-1.9362604749714816</v>
      </c>
      <c r="I143" s="25">
        <f t="shared" si="57"/>
        <v>-1.7906091753066242</v>
      </c>
      <c r="J143" s="25">
        <f t="shared" si="57"/>
        <v>-1.628023117237074</v>
      </c>
      <c r="K143" s="25">
        <f t="shared" si="57"/>
        <v>-1.4485434714339482</v>
      </c>
      <c r="L143" s="25">
        <f t="shared" si="57"/>
        <v>-1.2528345822288856</v>
      </c>
      <c r="M143" s="25">
        <f t="shared" si="57"/>
        <v>-1.0422677267099965</v>
      </c>
      <c r="N143" s="25">
        <f t="shared" si="57"/>
        <v>-0.81895410620395914</v>
      </c>
      <c r="O143" s="25">
        <f t="shared" si="57"/>
        <v>-0.58571013551245077</v>
      </c>
      <c r="P143" s="25">
        <f t="shared" si="57"/>
        <v>-0.34594658229400155</v>
      </c>
      <c r="Q143" s="25">
        <f t="shared" si="57"/>
        <v>-0.10348579362493737</v>
      </c>
      <c r="R143" s="25">
        <f t="shared" si="57"/>
        <v>0.13767466091268332</v>
      </c>
      <c r="S143" s="25">
        <f t="shared" si="57"/>
        <v>0.37362204755943651</v>
      </c>
      <c r="T143" s="25">
        <f t="shared" si="57"/>
        <v>0.60077698655167411</v>
      </c>
      <c r="U143" s="25">
        <f t="shared" si="57"/>
        <v>0.8160978162042043</v>
      </c>
      <c r="V143" s="25">
        <f t="shared" si="57"/>
        <v>1.0172179171051707</v>
      </c>
      <c r="W143" s="25">
        <f t="shared" si="57"/>
        <v>1.2025067814623165</v>
      </c>
      <c r="X143" s="87">
        <f t="shared" si="57"/>
        <v>1.3710591925702638</v>
      </c>
    </row>
    <row r="144" spans="2:24" x14ac:dyDescent="0.35">
      <c r="B144" s="67"/>
      <c r="C144" s="19">
        <v>0.55000000000000004</v>
      </c>
      <c r="D144" s="25">
        <f t="shared" ref="D144" si="66">(D170*$P$7) + $P$9</f>
        <v>-2.2821836513596203</v>
      </c>
      <c r="E144" s="25">
        <f t="shared" si="59"/>
        <v>-2.1837374831011278</v>
      </c>
      <c r="F144" s="25">
        <f t="shared" si="57"/>
        <v>-2.0708420445131006</v>
      </c>
      <c r="G144" s="25">
        <f t="shared" si="57"/>
        <v>-1.9423756439054047</v>
      </c>
      <c r="H144" s="25">
        <f t="shared" si="57"/>
        <v>-1.7974730012857787</v>
      </c>
      <c r="I144" s="25">
        <f t="shared" si="57"/>
        <v>-1.635646550450665</v>
      </c>
      <c r="J144" s="25">
        <f t="shared" si="57"/>
        <v>-1.4569121484826733</v>
      </c>
      <c r="K144" s="25">
        <f t="shared" si="57"/>
        <v>-1.2619042224596493</v>
      </c>
      <c r="L144" s="25">
        <f t="shared" si="57"/>
        <v>-1.0519613286950698</v>
      </c>
      <c r="M144" s="25">
        <f t="shared" si="57"/>
        <v>-0.82916181609044948</v>
      </c>
      <c r="N144" s="25">
        <f t="shared" si="57"/>
        <v>-0.59629240007410456</v>
      </c>
      <c r="O144" s="25">
        <f t="shared" si="57"/>
        <v>-0.35674071693593801</v>
      </c>
      <c r="P144" s="25">
        <f t="shared" si="57"/>
        <v>-0.11431547247254414</v>
      </c>
      <c r="Q144" s="25">
        <f t="shared" si="57"/>
        <v>0.12698809163253522</v>
      </c>
      <c r="R144" s="25">
        <f t="shared" si="57"/>
        <v>0.36324793786195553</v>
      </c>
      <c r="S144" s="25">
        <f t="shared" si="57"/>
        <v>0.59086501070186004</v>
      </c>
      <c r="T144" s="25">
        <f t="shared" si="57"/>
        <v>0.80677015316193135</v>
      </c>
      <c r="U144" s="25">
        <f t="shared" si="57"/>
        <v>1.0085647285005002</v>
      </c>
      <c r="V144" s="25">
        <f t="shared" si="57"/>
        <v>1.1945850941341101</v>
      </c>
      <c r="W144" s="25">
        <f t="shared" si="57"/>
        <v>1.3638947397578669</v>
      </c>
      <c r="X144" s="87">
        <f t="shared" si="57"/>
        <v>1.516218270235183</v>
      </c>
    </row>
    <row r="145" spans="2:24" x14ac:dyDescent="0.35">
      <c r="B145" s="67"/>
      <c r="C145" s="19">
        <v>0.5</v>
      </c>
      <c r="D145" s="25">
        <f t="shared" ref="D145" si="67">(D171*$P$7) + $P$9</f>
        <v>-2.1884330024831069</v>
      </c>
      <c r="E145" s="25">
        <f t="shared" si="59"/>
        <v>-2.0762082283957675</v>
      </c>
      <c r="F145" s="25">
        <f t="shared" si="57"/>
        <v>-1.9484579719458761</v>
      </c>
      <c r="G145" s="25">
        <f t="shared" si="57"/>
        <v>-1.8043029928468686</v>
      </c>
      <c r="H145" s="25">
        <f t="shared" si="57"/>
        <v>-1.6432361613411697</v>
      </c>
      <c r="I145" s="25">
        <f t="shared" si="57"/>
        <v>-1.4652482537737139</v>
      </c>
      <c r="J145" s="25">
        <f t="shared" si="57"/>
        <v>-1.2709439540657437</v>
      </c>
      <c r="K145" s="25">
        <f t="shared" si="57"/>
        <v>-1.0616291718501389</v>
      </c>
      <c r="L145" s="25">
        <f t="shared" si="57"/>
        <v>-0.83934934251402282</v>
      </c>
      <c r="M145" s="25">
        <f t="shared" si="57"/>
        <v>-0.60686126727636625</v>
      </c>
      <c r="N145" s="25">
        <f t="shared" si="57"/>
        <v>-0.36752908939332452</v>
      </c>
      <c r="O145" s="25">
        <f t="shared" si="57"/>
        <v>-0.12514740062792695</v>
      </c>
      <c r="P145" s="25">
        <f t="shared" si="57"/>
        <v>0.11629140924686832</v>
      </c>
      <c r="Q145" s="25">
        <f t="shared" si="57"/>
        <v>0.35285650270571756</v>
      </c>
      <c r="R145" s="25">
        <f t="shared" si="57"/>
        <v>0.58092956511379867</v>
      </c>
      <c r="S145" s="25">
        <f t="shared" si="57"/>
        <v>0.7974142262471986</v>
      </c>
      <c r="T145" s="25">
        <f t="shared" si="57"/>
        <v>0.99987995990131617</v>
      </c>
      <c r="U145" s="25">
        <f t="shared" si="57"/>
        <v>1.1866299705534533</v>
      </c>
      <c r="V145" s="25">
        <f t="shared" si="57"/>
        <v>1.356696319287525</v>
      </c>
      <c r="W145" s="25">
        <f t="shared" si="57"/>
        <v>1.5097761074898159</v>
      </c>
      <c r="X145" s="87">
        <f t="shared" si="57"/>
        <v>1.646128141803352</v>
      </c>
    </row>
    <row r="146" spans="2:24" x14ac:dyDescent="0.35">
      <c r="B146" s="67"/>
      <c r="C146" s="19">
        <v>0.45</v>
      </c>
      <c r="D146" s="25">
        <f t="shared" ref="D146" si="68">(D172*$P$7) + $P$9</f>
        <v>-2.0815434088837996</v>
      </c>
      <c r="E146" s="25">
        <f t="shared" si="59"/>
        <v>-1.9545075228926887</v>
      </c>
      <c r="F146" s="25">
        <f t="shared" si="57"/>
        <v>-1.8110991747653911</v>
      </c>
      <c r="G146" s="25">
        <f t="shared" si="57"/>
        <v>-1.65079192452776</v>
      </c>
      <c r="H146" s="25">
        <f t="shared" si="57"/>
        <v>-1.4735517023181823</v>
      </c>
      <c r="I146" s="25">
        <f t="shared" si="57"/>
        <v>-1.2799536265090916</v>
      </c>
      <c r="J146" s="25">
        <f t="shared" si="57"/>
        <v>-1.0712710394461054</v>
      </c>
      <c r="K146" s="25">
        <f t="shared" si="57"/>
        <v>-0.84951640850663734</v>
      </c>
      <c r="L146" s="25">
        <f t="shared" si="57"/>
        <v>-0.61741641279488269</v>
      </c>
      <c r="M146" s="25">
        <f t="shared" si="57"/>
        <v>-0.3783113468724455</v>
      </c>
      <c r="N146" s="25">
        <f t="shared" si="57"/>
        <v>-0.13598121954314113</v>
      </c>
      <c r="O146" s="25">
        <f t="shared" si="57"/>
        <v>0.10558495454984262</v>
      </c>
      <c r="P146" s="25">
        <f t="shared" si="57"/>
        <v>0.34244804404887352</v>
      </c>
      <c r="Q146" s="25">
        <f t="shared" si="57"/>
        <v>0.57097089691657099</v>
      </c>
      <c r="R146" s="25">
        <f t="shared" si="57"/>
        <v>0.78803021841392651</v>
      </c>
      <c r="S146" s="25">
        <f t="shared" si="57"/>
        <v>0.99116372764184013</v>
      </c>
      <c r="T146" s="25">
        <f t="shared" si="57"/>
        <v>1.178641464009601</v>
      </c>
      <c r="U146" s="25">
        <f t="shared" si="57"/>
        <v>1.3494639293877277</v>
      </c>
      <c r="V146" s="25">
        <f t="shared" si="57"/>
        <v>1.5033005121910614</v>
      </c>
      <c r="W146" s="25">
        <f t="shared" si="57"/>
        <v>1.6403874776642802</v>
      </c>
      <c r="X146" s="87">
        <f t="shared" si="57"/>
        <v>1.7614056883509734</v>
      </c>
    </row>
    <row r="147" spans="2:24" x14ac:dyDescent="0.35">
      <c r="B147" s="67"/>
      <c r="C147" s="19">
        <v>0.4</v>
      </c>
      <c r="D147" s="25">
        <f t="shared" ref="D147" si="69">(D173*$P$7) + $P$9</f>
        <v>-1.9605243620216664</v>
      </c>
      <c r="E147" s="25">
        <f t="shared" si="59"/>
        <v>-1.817861573803035</v>
      </c>
      <c r="F147" s="25">
        <f t="shared" si="57"/>
        <v>-1.6583138170899643</v>
      </c>
      <c r="G147" s="25">
        <f t="shared" si="57"/>
        <v>-1.4818224119487939</v>
      </c>
      <c r="H147" s="25">
        <f t="shared" si="57"/>
        <v>-1.2889330922377185</v>
      </c>
      <c r="I147" s="25">
        <f t="shared" si="57"/>
        <v>-1.0808867176347436</v>
      </c>
      <c r="J147" s="25">
        <f t="shared" si="57"/>
        <v>-0.85966273956565686</v>
      </c>
      <c r="K147" s="25">
        <f t="shared" si="57"/>
        <v>-0.62795751405560107</v>
      </c>
      <c r="L147" s="25">
        <f t="shared" si="57"/>
        <v>-0.38908713738466139</v>
      </c>
      <c r="M147" s="25">
        <f t="shared" si="57"/>
        <v>-0.14681657041965757</v>
      </c>
      <c r="N147" s="25">
        <f t="shared" si="57"/>
        <v>9.4869069607177448E-2</v>
      </c>
      <c r="O147" s="25">
        <f t="shared" si="57"/>
        <v>0.33202286597041519</v>
      </c>
      <c r="P147" s="25">
        <f t="shared" si="57"/>
        <v>0.56098925593935656</v>
      </c>
      <c r="Q147" s="25">
        <f t="shared" si="57"/>
        <v>0.77861831558356909</v>
      </c>
      <c r="R147" s="25">
        <f t="shared" si="57"/>
        <v>0.98241615099468493</v>
      </c>
      <c r="S147" s="25">
        <f t="shared" si="57"/>
        <v>1.170619630462943</v>
      </c>
      <c r="T147" s="25">
        <f t="shared" si="57"/>
        <v>1.3421975705334019</v>
      </c>
      <c r="U147" s="25">
        <f t="shared" si="57"/>
        <v>1.4967914397866005</v>
      </c>
      <c r="V147" s="25">
        <f t="shared" si="57"/>
        <v>1.6346147152901795</v>
      </c>
      <c r="W147" s="25">
        <f t="shared" si="57"/>
        <v>1.756331107563657</v>
      </c>
      <c r="X147" s="87">
        <f t="shared" si="57"/>
        <v>1.8629291864864759</v>
      </c>
    </row>
    <row r="148" spans="2:24" x14ac:dyDescent="0.35">
      <c r="B148" s="67"/>
      <c r="C148" s="19">
        <v>0.35</v>
      </c>
      <c r="D148" s="25">
        <f t="shared" ref="D148" si="70">(D174*$P$7) + $P$9</f>
        <v>-1.8245902186851648</v>
      </c>
      <c r="E148" s="25">
        <f t="shared" si="59"/>
        <v>-1.6658018185482826</v>
      </c>
      <c r="F148" s="25">
        <f t="shared" si="57"/>
        <v>-1.4900603033073181</v>
      </c>
      <c r="G148" s="25">
        <f t="shared" si="57"/>
        <v>-1.2978822066836941</v>
      </c>
      <c r="H148" s="25">
        <f t="shared" si="57"/>
        <v>-1.0904759954598786</v>
      </c>
      <c r="I148" s="25">
        <f t="shared" si="57"/>
        <v>-0.86978806367908623</v>
      </c>
      <c r="J148" s="25">
        <f t="shared" si="57"/>
        <v>-0.63848425027233802</v>
      </c>
      <c r="K148" s="25">
        <f t="shared" si="57"/>
        <v>-0.39985610979199926</v>
      </c>
      <c r="L148" s="25">
        <f t="shared" si="57"/>
        <v>-0.15765309425587137</v>
      </c>
      <c r="M148" s="25">
        <f t="shared" si="57"/>
        <v>8.4144097713315436E-2</v>
      </c>
      <c r="N148" s="25">
        <f t="shared" si="57"/>
        <v>0.32158127463746045</v>
      </c>
      <c r="O148" s="25">
        <f t="shared" si="57"/>
        <v>0.5509848946921303</v>
      </c>
      <c r="P148" s="25">
        <f t="shared" si="57"/>
        <v>0.76917870663979815</v>
      </c>
      <c r="Q148" s="25">
        <f t="shared" si="57"/>
        <v>0.97363735217778613</v>
      </c>
      <c r="R148" s="25">
        <f t="shared" si="57"/>
        <v>1.1625645285609387</v>
      </c>
      <c r="S148" s="25">
        <f t="shared" si="57"/>
        <v>1.3348972454670589</v>
      </c>
      <c r="T148" s="25">
        <f t="shared" si="57"/>
        <v>1.4902488474936839</v>
      </c>
      <c r="U148" s="25">
        <f t="shared" si="57"/>
        <v>1.6288097777271546</v>
      </c>
      <c r="V148" s="25">
        <f t="shared" si="57"/>
        <v>1.7512263424961341</v>
      </c>
      <c r="W148" s="25">
        <f t="shared" si="57"/>
        <v>1.8584751857132638</v>
      </c>
      <c r="X148" s="87">
        <f t="shared" si="57"/>
        <v>1.9517465405852068</v>
      </c>
    </row>
    <row r="149" spans="2:24" x14ac:dyDescent="0.35">
      <c r="B149" s="67"/>
      <c r="C149" s="19">
        <v>0.3</v>
      </c>
      <c r="D149" s="25">
        <f t="shared" ref="D149" si="71">(D175*$P$7) + $P$9</f>
        <v>-1.673255910844591</v>
      </c>
      <c r="E149" s="25">
        <f t="shared" si="59"/>
        <v>-1.4982652998316452</v>
      </c>
      <c r="F149" s="25">
        <f t="shared" si="57"/>
        <v>-1.3068008282605561</v>
      </c>
      <c r="G149" s="25">
        <f t="shared" si="57"/>
        <v>-1.1000386648679426</v>
      </c>
      <c r="H149" s="25">
        <f t="shared" si="57"/>
        <v>-0.87989211135020096</v>
      </c>
      <c r="I149" s="25">
        <f t="shared" si="57"/>
        <v>-0.64899630248387608</v>
      </c>
      <c r="J149" s="25">
        <f t="shared" si="57"/>
        <v>-0.41061791385251611</v>
      </c>
      <c r="K149" s="25">
        <f t="shared" si="57"/>
        <v>-0.1684904318946594</v>
      </c>
      <c r="L149" s="25">
        <f t="shared" si="57"/>
        <v>7.3410383348223363E-2</v>
      </c>
      <c r="M149" s="25">
        <f t="shared" si="57"/>
        <v>0.3111235782720172</v>
      </c>
      <c r="N149" s="25">
        <f t="shared" si="57"/>
        <v>0.54095806834571447</v>
      </c>
      <c r="O149" s="25">
        <f t="shared" si="57"/>
        <v>0.75971158342258382</v>
      </c>
      <c r="P149" s="25">
        <f t="shared" si="57"/>
        <v>0.96482745636084122</v>
      </c>
      <c r="Q149" s="25">
        <f t="shared" si="57"/>
        <v>1.1544762196537164</v>
      </c>
      <c r="R149" s="25">
        <f t="shared" si="57"/>
        <v>1.3275629592197886</v>
      </c>
      <c r="S149" s="25">
        <f t="shared" si="57"/>
        <v>1.4836726943219989</v>
      </c>
      <c r="T149" s="25">
        <f t="shared" si="57"/>
        <v>1.6229725893065927</v>
      </c>
      <c r="U149" s="25">
        <f t="shared" si="57"/>
        <v>1.74609129380301</v>
      </c>
      <c r="V149" s="25">
        <f t="shared" si="57"/>
        <v>1.8539932916261497</v>
      </c>
      <c r="W149" s="25">
        <f t="shared" si="57"/>
        <v>1.9478615539635844</v>
      </c>
      <c r="X149" s="87">
        <f t="shared" si="57"/>
        <v>2.0289966703078886</v>
      </c>
    </row>
    <row r="150" spans="2:24" x14ac:dyDescent="0.35">
      <c r="B150" s="67"/>
      <c r="C150" s="19">
        <v>0.25</v>
      </c>
      <c r="D150" s="25">
        <f t="shared" ref="D150" si="72">(D176*$P$7) + $P$9</f>
        <v>-1.5064373277424705</v>
      </c>
      <c r="E150" s="25">
        <f t="shared" si="59"/>
        <v>-1.315688818360182</v>
      </c>
      <c r="F150" s="25">
        <f t="shared" si="57"/>
        <v>-1.109574520717902</v>
      </c>
      <c r="G150" s="25">
        <f t="shared" si="57"/>
        <v>-0.88997461562155822</v>
      </c>
      <c r="H150" s="25">
        <f t="shared" si="57"/>
        <v>-0.65949335359056649</v>
      </c>
      <c r="I150" s="25">
        <f t="shared" si="57"/>
        <v>-0.42137220026540279</v>
      </c>
      <c r="J150" s="25">
        <f t="shared" ref="F150:X155" si="73">(J176*$P$7) + $P$9</f>
        <v>-0.17932822407098614</v>
      </c>
      <c r="K150" s="25">
        <f t="shared" si="73"/>
        <v>6.2668272133891811E-2</v>
      </c>
      <c r="L150" s="25">
        <f t="shared" si="73"/>
        <v>0.30065008711719265</v>
      </c>
      <c r="M150" s="25">
        <f t="shared" si="73"/>
        <v>0.5309090347112182</v>
      </c>
      <c r="N150" s="25">
        <f t="shared" si="73"/>
        <v>0.75021714072166223</v>
      </c>
      <c r="O150" s="25">
        <f t="shared" si="73"/>
        <v>0.95598659167126643</v>
      </c>
      <c r="P150" s="25">
        <f t="shared" si="73"/>
        <v>1.1463547678093475</v>
      </c>
      <c r="Q150" s="25">
        <f t="shared" si="73"/>
        <v>1.3201947191320911</v>
      </c>
      <c r="R150" s="25">
        <f t="shared" si="73"/>
        <v>1.4770629410965235</v>
      </c>
      <c r="S150" s="25">
        <f t="shared" si="73"/>
        <v>1.6171030756672511</v>
      </c>
      <c r="T150" s="25">
        <f t="shared" si="73"/>
        <v>1.740925862976765</v>
      </c>
      <c r="U150" s="25">
        <f t="shared" si="73"/>
        <v>1.8494833913802007</v>
      </c>
      <c r="V150" s="25">
        <f t="shared" si="73"/>
        <v>1.9439511683081876</v>
      </c>
      <c r="W150" s="25">
        <f t="shared" si="73"/>
        <v>2.0256264077047499</v>
      </c>
      <c r="X150" s="87">
        <f t="shared" si="73"/>
        <v>2.0958463574516677</v>
      </c>
    </row>
    <row r="151" spans="2:24" x14ac:dyDescent="0.35">
      <c r="B151" s="67"/>
      <c r="C151" s="19">
        <v>0.2</v>
      </c>
      <c r="D151" s="25">
        <f t="shared" ref="D151" si="74">(D177*$P$7) + $P$9</f>
        <v>-1.3245460413491519</v>
      </c>
      <c r="E151" s="25">
        <f t="shared" si="59"/>
        <v>-1.1190833607905666</v>
      </c>
      <c r="F151" s="25">
        <f t="shared" si="73"/>
        <v>-0.90003531209838838</v>
      </c>
      <c r="G151" s="25">
        <f t="shared" si="73"/>
        <v>-0.66997508839044251</v>
      </c>
      <c r="H151" s="25">
        <f t="shared" si="73"/>
        <v>-0.43211862071583385</v>
      </c>
      <c r="I151" s="25">
        <f t="shared" si="73"/>
        <v>-0.19016611145953721</v>
      </c>
      <c r="J151" s="25">
        <f t="shared" si="73"/>
        <v>5.1918110790501348E-2</v>
      </c>
      <c r="K151" s="25">
        <f t="shared" si="73"/>
        <v>0.29016111340288786</v>
      </c>
      <c r="L151" s="25">
        <f t="shared" si="73"/>
        <v>0.52083805421883889</v>
      </c>
      <c r="M151" s="25">
        <f t="shared" si="73"/>
        <v>0.74069557626941096</v>
      </c>
      <c r="N151" s="25">
        <f t="shared" si="73"/>
        <v>0.94711488919964415</v>
      </c>
      <c r="O151" s="25">
        <f t="shared" si="73"/>
        <v>1.1382002398287896</v>
      </c>
      <c r="P151" s="25">
        <f t="shared" si="73"/>
        <v>1.3127925348745419</v>
      </c>
      <c r="Q151" s="25">
        <f t="shared" si="73"/>
        <v>1.4704195504803566</v>
      </c>
      <c r="R151" s="25">
        <f t="shared" si="73"/>
        <v>1.6112011637774337</v>
      </c>
      <c r="S151" s="25">
        <f t="shared" si="73"/>
        <v>1.7357299523673952</v>
      </c>
      <c r="T151" s="25">
        <f t="shared" si="73"/>
        <v>1.8449453725845646</v>
      </c>
      <c r="U151" s="25">
        <f t="shared" si="73"/>
        <v>1.940015264652474</v>
      </c>
      <c r="V151" s="25">
        <f t="shared" si="73"/>
        <v>2.0222333040543563</v>
      </c>
      <c r="W151" s="25">
        <f t="shared" si="73"/>
        <v>2.0929364049345831</v>
      </c>
      <c r="X151" s="87">
        <f t="shared" si="73"/>
        <v>2.1534425832256678</v>
      </c>
    </row>
    <row r="152" spans="2:24" x14ac:dyDescent="0.35">
      <c r="B152" s="67"/>
      <c r="C152" s="19">
        <v>0.15</v>
      </c>
      <c r="D152" s="25">
        <f t="shared" ref="D152" si="75">(D178*$P$7) + $P$9</f>
        <v>-1.1285649857972802</v>
      </c>
      <c r="E152" s="25">
        <f t="shared" si="59"/>
        <v>-0.91007393897137545</v>
      </c>
      <c r="F152" s="25">
        <f t="shared" si="73"/>
        <v>-0.6804411936148349</v>
      </c>
      <c r="G152" s="25">
        <f t="shared" si="73"/>
        <v>-0.44285682791953729</v>
      </c>
      <c r="H152" s="25">
        <f t="shared" si="73"/>
        <v>-0.20100373472237099</v>
      </c>
      <c r="I152" s="25">
        <f t="shared" si="73"/>
        <v>4.1160247092293378E-2</v>
      </c>
      <c r="J152" s="25">
        <f t="shared" si="73"/>
        <v>0.27965697131096601</v>
      </c>
      <c r="K152" s="25">
        <f t="shared" si="73"/>
        <v>0.51074538989604168</v>
      </c>
      <c r="L152" s="25">
        <f t="shared" si="73"/>
        <v>0.73114709073309192</v>
      </c>
      <c r="M152" s="25">
        <f t="shared" si="73"/>
        <v>0.93821248300467808</v>
      </c>
      <c r="N152" s="25">
        <f t="shared" si="73"/>
        <v>1.1300127052604729</v>
      </c>
      <c r="O152" s="25">
        <f t="shared" si="73"/>
        <v>1.3053564184682818</v>
      </c>
      <c r="P152" s="25">
        <f t="shared" si="73"/>
        <v>1.4637424869975173</v>
      </c>
      <c r="Q152" s="25">
        <f t="shared" si="73"/>
        <v>1.605266781957237</v>
      </c>
      <c r="R152" s="25">
        <f t="shared" si="73"/>
        <v>1.7305034652021956</v>
      </c>
      <c r="S152" s="25">
        <f t="shared" si="73"/>
        <v>1.8403791233187727</v>
      </c>
      <c r="T152" s="25">
        <f t="shared" si="73"/>
        <v>1.9360537241753626</v>
      </c>
      <c r="U152" s="25">
        <f t="shared" si="73"/>
        <v>2.018817240018461</v>
      </c>
      <c r="V152" s="25">
        <f t="shared" si="73"/>
        <v>2.0900061276512796</v>
      </c>
      <c r="W152" s="25">
        <f t="shared" si="73"/>
        <v>2.1509403027137077</v>
      </c>
      <c r="X152" s="87">
        <f t="shared" si="73"/>
        <v>2.2028789360912961</v>
      </c>
    </row>
    <row r="153" spans="2:24" x14ac:dyDescent="0.35">
      <c r="B153" s="67"/>
      <c r="C153" s="19">
        <v>0.1</v>
      </c>
      <c r="D153" s="25">
        <f t="shared" ref="D153" si="76">(D179*$P$7) + $P$9</f>
        <v>-0.92009023703880244</v>
      </c>
      <c r="E153" s="25">
        <f t="shared" si="59"/>
        <v>-0.69089135796347412</v>
      </c>
      <c r="F153" s="25">
        <f t="shared" si="73"/>
        <v>-0.4535864756670831</v>
      </c>
      <c r="G153" s="25">
        <f t="shared" si="73"/>
        <v>-0.21184073455657426</v>
      </c>
      <c r="H153" s="25">
        <f t="shared" si="73"/>
        <v>3.0395029823145236E-2</v>
      </c>
      <c r="I153" s="25">
        <f t="shared" si="73"/>
        <v>0.26913797693990826</v>
      </c>
      <c r="J153" s="25">
        <f t="shared" si="73"/>
        <v>0.50063130734511208</v>
      </c>
      <c r="K153" s="25">
        <f t="shared" si="73"/>
        <v>0.72157188770649339</v>
      </c>
      <c r="L153" s="25">
        <f t="shared" si="73"/>
        <v>0.92927951011762655</v>
      </c>
      <c r="M153" s="25">
        <f t="shared" si="73"/>
        <v>1.1217922364145447</v>
      </c>
      <c r="N153" s="25">
        <f t="shared" si="73"/>
        <v>1.2978863843053168</v>
      </c>
      <c r="O153" s="25">
        <f t="shared" si="73"/>
        <v>1.457031717055709</v>
      </c>
      <c r="P153" s="25">
        <f t="shared" si="73"/>
        <v>1.5992998599008719</v>
      </c>
      <c r="Q153" s="25">
        <f t="shared" si="73"/>
        <v>1.7252463056056766</v>
      </c>
      <c r="R153" s="25">
        <f t="shared" si="73"/>
        <v>1.8357845321492152</v>
      </c>
      <c r="S153" s="25">
        <f t="shared" si="73"/>
        <v>1.932066428213945</v>
      </c>
      <c r="T153" s="25">
        <f t="shared" si="73"/>
        <v>2.0153780961711485</v>
      </c>
      <c r="U153" s="25">
        <f t="shared" si="73"/>
        <v>2.0870554100942083</v>
      </c>
      <c r="V153" s="25">
        <f t="shared" si="73"/>
        <v>2.1484200976734469</v>
      </c>
      <c r="W153" s="25">
        <f t="shared" si="73"/>
        <v>2.2007347520658729</v>
      </c>
      <c r="X153" s="87">
        <f t="shared" si="73"/>
        <v>2.2451739195461364</v>
      </c>
    </row>
    <row r="154" spans="2:24" x14ac:dyDescent="0.35">
      <c r="B154" s="67"/>
      <c r="C154" s="19">
        <v>0.05</v>
      </c>
      <c r="D154" s="25">
        <f t="shared" ref="D154" si="77">(D180*$P$7) + $P$9</f>
        <v>-0.70132527213907325</v>
      </c>
      <c r="E154" s="25">
        <f t="shared" si="59"/>
        <v>-0.46430721886787563</v>
      </c>
      <c r="F154" s="25">
        <f t="shared" si="73"/>
        <v>-0.22267675174190682</v>
      </c>
      <c r="G154" s="25">
        <f t="shared" si="73"/>
        <v>1.9622808731869945E-2</v>
      </c>
      <c r="H154" s="25">
        <f t="shared" si="73"/>
        <v>0.25860444826896511</v>
      </c>
      <c r="I154" s="25">
        <f t="shared" si="73"/>
        <v>0.4904960747200926</v>
      </c>
      <c r="J154" s="25">
        <f t="shared" si="73"/>
        <v>0.71197017370095006</v>
      </c>
      <c r="K154" s="25">
        <f t="shared" si="73"/>
        <v>0.92031611054622608</v>
      </c>
      <c r="L154" s="25">
        <f t="shared" si="73"/>
        <v>1.1135389083767502</v>
      </c>
      <c r="M154" s="25">
        <f t="shared" si="73"/>
        <v>1.2903824491686393</v>
      </c>
      <c r="N154" s="25">
        <f t="shared" si="73"/>
        <v>1.45028720896904</v>
      </c>
      <c r="O154" s="25">
        <f t="shared" si="73"/>
        <v>1.5933003286990557</v>
      </c>
      <c r="P154" s="25">
        <f t="shared" si="73"/>
        <v>1.7199583786196206</v>
      </c>
      <c r="Q154" s="25">
        <f t="shared" si="73"/>
        <v>1.8311614881457765</v>
      </c>
      <c r="R154" s="25">
        <f t="shared" si="73"/>
        <v>1.9280532582763699</v>
      </c>
      <c r="S154" s="25">
        <f t="shared" si="73"/>
        <v>2.0119157530081311</v>
      </c>
      <c r="T154" s="25">
        <f t="shared" si="73"/>
        <v>2.0840841365036504</v>
      </c>
      <c r="U154" s="25">
        <f t="shared" si="73"/>
        <v>2.1458818592766544</v>
      </c>
      <c r="V154" s="25">
        <f t="shared" si="73"/>
        <v>2.1985748796534956</v>
      </c>
      <c r="W154" s="25">
        <f t="shared" si="73"/>
        <v>2.2433421027932305</v>
      </c>
      <c r="X154" s="87">
        <f t="shared" si="73"/>
        <v>2.2812587548823142</v>
      </c>
    </row>
    <row r="155" spans="2:24" ht="15" thickBot="1" x14ac:dyDescent="0.4">
      <c r="B155" s="68"/>
      <c r="C155" s="20">
        <v>0</v>
      </c>
      <c r="D155" s="25">
        <f t="shared" ref="D155" si="78">(D181*$P$7) + $P$9</f>
        <v>-0.47501871359383019</v>
      </c>
      <c r="E155" s="25">
        <f t="shared" si="59"/>
        <v>-0.23351142718842244</v>
      </c>
      <c r="F155" s="25">
        <f t="shared" si="73"/>
        <v>8.8439344872428549E-3</v>
      </c>
      <c r="G155" s="25">
        <f t="shared" si="73"/>
        <v>0.24805670512180944</v>
      </c>
      <c r="H155" s="25">
        <f t="shared" si="73"/>
        <v>0.48033996270309598</v>
      </c>
      <c r="I155" s="25">
        <f t="shared" si="73"/>
        <v>0.70234215813574163</v>
      </c>
      <c r="J155" s="25">
        <f t="shared" si="73"/>
        <v>0.91132242727809065</v>
      </c>
      <c r="K155" s="25">
        <f t="shared" si="73"/>
        <v>1.105252799021943</v>
      </c>
      <c r="L155" s="25">
        <f t="shared" si="73"/>
        <v>1.2828446322521412</v>
      </c>
      <c r="M155" s="25">
        <f t="shared" si="73"/>
        <v>1.4435089329807032</v>
      </c>
      <c r="N155" s="25">
        <f t="shared" si="73"/>
        <v>1.5872681208614643</v>
      </c>
      <c r="O155" s="25">
        <f t="shared" si="73"/>
        <v>1.7146395902232721</v>
      </c>
      <c r="P155" s="25">
        <f t="shared" si="73"/>
        <v>1.826509880898636</v>
      </c>
      <c r="Q155" s="25">
        <f t="shared" si="73"/>
        <v>1.9240140960548846</v>
      </c>
      <c r="R155" s="25">
        <f t="shared" si="73"/>
        <v>2.0084300909561978</v>
      </c>
      <c r="S155" s="25">
        <f t="shared" si="73"/>
        <v>2.0810921908740228</v>
      </c>
      <c r="T155" s="25">
        <f t="shared" si="73"/>
        <v>2.1433254783364832</v>
      </c>
      <c r="U155" s="25">
        <f t="shared" si="73"/>
        <v>2.1963992184429033</v>
      </c>
      <c r="V155" s="25">
        <f t="shared" si="73"/>
        <v>2.2414966426174812</v>
      </c>
      <c r="W155" s="25">
        <f t="shared" si="73"/>
        <v>2.2796978154369212</v>
      </c>
      <c r="X155" s="88">
        <f t="shared" si="73"/>
        <v>2.3119723728927042</v>
      </c>
    </row>
    <row r="156" spans="2:24" x14ac:dyDescent="0.35">
      <c r="C156" s="6"/>
      <c r="D156" s="23">
        <v>0</v>
      </c>
      <c r="E156" s="21">
        <v>0.05</v>
      </c>
      <c r="F156" s="21">
        <v>0.1</v>
      </c>
      <c r="G156" s="21">
        <v>0.15</v>
      </c>
      <c r="H156" s="21">
        <v>0.2</v>
      </c>
      <c r="I156" s="21">
        <v>0.25</v>
      </c>
      <c r="J156" s="21">
        <v>0.3</v>
      </c>
      <c r="K156" s="21">
        <v>0.35</v>
      </c>
      <c r="L156" s="21">
        <v>0.4</v>
      </c>
      <c r="M156" s="21">
        <v>0.45</v>
      </c>
      <c r="N156" s="21">
        <v>0.5</v>
      </c>
      <c r="O156" s="21">
        <v>0.55000000000000004</v>
      </c>
      <c r="P156" s="21">
        <v>0.6</v>
      </c>
      <c r="Q156" s="21">
        <v>0.65</v>
      </c>
      <c r="R156" s="21">
        <v>0.7</v>
      </c>
      <c r="S156" s="21">
        <v>0.75</v>
      </c>
      <c r="T156" s="21">
        <v>0.8</v>
      </c>
      <c r="U156" s="21">
        <v>0.85</v>
      </c>
      <c r="V156" s="21">
        <v>0.9</v>
      </c>
      <c r="W156" s="21">
        <v>0.95</v>
      </c>
      <c r="X156" s="22">
        <v>1</v>
      </c>
    </row>
    <row r="157" spans="2:24" ht="21.5" thickBot="1" x14ac:dyDescent="0.55000000000000004">
      <c r="C157" s="6"/>
      <c r="D157" s="69" t="s">
        <v>54</v>
      </c>
      <c r="E157" s="70"/>
      <c r="F157" s="70"/>
      <c r="G157" s="70"/>
      <c r="H157" s="70"/>
      <c r="I157" s="70"/>
      <c r="J157" s="70"/>
      <c r="K157" s="70"/>
      <c r="L157" s="70"/>
      <c r="M157" s="70"/>
      <c r="N157" s="70"/>
      <c r="O157" s="70"/>
      <c r="P157" s="70"/>
      <c r="Q157" s="70"/>
      <c r="R157" s="70"/>
      <c r="S157" s="70"/>
      <c r="T157" s="70"/>
      <c r="U157" s="70"/>
      <c r="V157" s="70"/>
      <c r="W157" s="70"/>
      <c r="X157" s="71"/>
    </row>
    <row r="159" spans="2:24" ht="15" thickBot="1" x14ac:dyDescent="0.4"/>
    <row r="160" spans="2:24" ht="21.5" thickBot="1" x14ac:dyDescent="0.55000000000000004">
      <c r="B160" s="72" t="s">
        <v>12</v>
      </c>
      <c r="C160" s="73"/>
      <c r="D160" s="73"/>
      <c r="E160" s="73"/>
      <c r="F160" s="73"/>
      <c r="G160" s="73"/>
      <c r="H160" s="73"/>
      <c r="I160" s="73"/>
      <c r="J160" s="73"/>
      <c r="K160" s="73"/>
      <c r="L160" s="73"/>
      <c r="M160" s="73"/>
      <c r="N160" s="73"/>
      <c r="O160" s="73"/>
      <c r="P160" s="73"/>
      <c r="Q160" s="73"/>
      <c r="R160" s="73"/>
      <c r="S160" s="73"/>
      <c r="T160" s="73"/>
      <c r="U160" s="73"/>
      <c r="V160" s="73"/>
      <c r="W160" s="73"/>
      <c r="X160" s="74"/>
    </row>
    <row r="161" spans="2:24" x14ac:dyDescent="0.35">
      <c r="B161" s="66" t="s">
        <v>2</v>
      </c>
      <c r="C161" s="22">
        <v>1</v>
      </c>
      <c r="D161" s="27">
        <f>1/(1+EXP(-D187))</f>
        <v>0.97599143849869618</v>
      </c>
      <c r="E161" s="26">
        <f>1/(1+EXP(-E187))</f>
        <v>0.97132661181037716</v>
      </c>
      <c r="F161" s="26">
        <f t="shared" ref="F161:X161" si="79">1/(1+EXP(-F187))</f>
        <v>0.96578718867475655</v>
      </c>
      <c r="G161" s="26">
        <f t="shared" si="79"/>
        <v>0.9592225289627182</v>
      </c>
      <c r="H161" s="26">
        <f t="shared" si="79"/>
        <v>0.95146156577161256</v>
      </c>
      <c r="I161" s="26">
        <f t="shared" si="79"/>
        <v>0.94231233202075471</v>
      </c>
      <c r="J161" s="26">
        <f t="shared" si="79"/>
        <v>0.93156256389545922</v>
      </c>
      <c r="K161" s="26">
        <f t="shared" si="79"/>
        <v>0.91898186528143166</v>
      </c>
      <c r="L161" s="26">
        <f t="shared" si="79"/>
        <v>0.90432600400889385</v>
      </c>
      <c r="M161" s="26">
        <f t="shared" si="79"/>
        <v>0.88734395866030558</v>
      </c>
      <c r="N161" s="26">
        <f t="shared" si="79"/>
        <v>0.86778830375717086</v>
      </c>
      <c r="O161" s="26">
        <f t="shared" si="79"/>
        <v>0.84542935971938127</v>
      </c>
      <c r="P161" s="26">
        <f t="shared" si="79"/>
        <v>0.82007318682715002</v>
      </c>
      <c r="Q161" s="26">
        <f t="shared" si="79"/>
        <v>0.79158292809736686</v>
      </c>
      <c r="R161" s="26">
        <f t="shared" si="79"/>
        <v>0.75990220533209984</v>
      </c>
      <c r="S161" s="26">
        <f t="shared" si="79"/>
        <v>0.72507832361284097</v>
      </c>
      <c r="T161" s="26">
        <f t="shared" si="79"/>
        <v>0.68728212534348831</v>
      </c>
      <c r="U161" s="26">
        <f t="shared" si="79"/>
        <v>0.64682074171721904</v>
      </c>
      <c r="V161" s="26">
        <f t="shared" si="79"/>
        <v>0.60413954936321623</v>
      </c>
      <c r="W161" s="26">
        <f t="shared" si="79"/>
        <v>0.55981061134200449</v>
      </c>
      <c r="X161" s="28">
        <f t="shared" si="79"/>
        <v>0.51450679673407307</v>
      </c>
    </row>
    <row r="162" spans="2:24" x14ac:dyDescent="0.35">
      <c r="B162" s="67"/>
      <c r="C162" s="19">
        <v>0.95</v>
      </c>
      <c r="D162" s="29">
        <f>1/(1+EXP(-D188))</f>
        <v>0.9715525430767179</v>
      </c>
      <c r="E162" s="25">
        <f t="shared" ref="E162:X162" si="80">1/(1+EXP(-E188))</f>
        <v>0.96605524234202156</v>
      </c>
      <c r="F162" s="25">
        <f t="shared" si="80"/>
        <v>0.95953986130560642</v>
      </c>
      <c r="G162" s="25">
        <f t="shared" si="80"/>
        <v>0.95183626175514391</v>
      </c>
      <c r="H162" s="25">
        <f t="shared" si="80"/>
        <v>0.94275340669565633</v>
      </c>
      <c r="I162" s="25">
        <f t="shared" si="80"/>
        <v>0.93207990609574265</v>
      </c>
      <c r="J162" s="25">
        <f t="shared" si="80"/>
        <v>0.91958609998869079</v>
      </c>
      <c r="K162" s="25">
        <f t="shared" si="80"/>
        <v>0.90502824645566993</v>
      </c>
      <c r="L162" s="25">
        <f t="shared" si="80"/>
        <v>0.88815543244123996</v>
      </c>
      <c r="M162" s="25">
        <f t="shared" si="80"/>
        <v>0.86871979896733154</v>
      </c>
      <c r="N162" s="25">
        <f t="shared" si="80"/>
        <v>0.8464905179156399</v>
      </c>
      <c r="O162" s="25">
        <f t="shared" si="80"/>
        <v>0.82127161975357643</v>
      </c>
      <c r="P162" s="25">
        <f t="shared" si="80"/>
        <v>0.79292320782476511</v>
      </c>
      <c r="Q162" s="25">
        <f t="shared" si="80"/>
        <v>0.76138480331411984</v>
      </c>
      <c r="R162" s="25">
        <f t="shared" si="80"/>
        <v>0.72669861956830917</v>
      </c>
      <c r="S162" s="25">
        <f t="shared" si="80"/>
        <v>0.68902964327792982</v>
      </c>
      <c r="T162" s="25">
        <f t="shared" si="80"/>
        <v>0.648678785375157</v>
      </c>
      <c r="U162" s="25">
        <f t="shared" si="80"/>
        <v>0.60608538860800421</v>
      </c>
      <c r="V162" s="25">
        <f t="shared" si="80"/>
        <v>0.56181630655840675</v>
      </c>
      <c r="W162" s="25">
        <f t="shared" si="80"/>
        <v>0.51654064563280144</v>
      </c>
      <c r="X162" s="30">
        <f t="shared" si="80"/>
        <v>0.47099179761170934</v>
      </c>
    </row>
    <row r="163" spans="2:24" x14ac:dyDescent="0.35">
      <c r="B163" s="67"/>
      <c r="C163" s="19">
        <v>0.9</v>
      </c>
      <c r="D163" s="29">
        <f t="shared" ref="D163:X163" si="81">1/(1+EXP(-D189))</f>
        <v>0.9663212690746098</v>
      </c>
      <c r="E163" s="25">
        <f t="shared" si="81"/>
        <v>0.9598548275049692</v>
      </c>
      <c r="F163" s="25">
        <f t="shared" si="81"/>
        <v>0.9522082105352413</v>
      </c>
      <c r="G163" s="25">
        <f t="shared" si="81"/>
        <v>0.94319131226474162</v>
      </c>
      <c r="H163" s="25">
        <f t="shared" si="81"/>
        <v>0.93259362050472172</v>
      </c>
      <c r="I163" s="25">
        <f t="shared" si="81"/>
        <v>0.92018621968389269</v>
      </c>
      <c r="J163" s="25">
        <f t="shared" si="81"/>
        <v>0.90572587181550201</v>
      </c>
      <c r="K163" s="25">
        <f t="shared" si="81"/>
        <v>0.88896179252148422</v>
      </c>
      <c r="L163" s="25">
        <f t="shared" si="81"/>
        <v>0.86964571717610906</v>
      </c>
      <c r="M163" s="25">
        <f t="shared" si="81"/>
        <v>0.84754570474795266</v>
      </c>
      <c r="N163" s="25">
        <f t="shared" si="81"/>
        <v>0.82246379840323325</v>
      </c>
      <c r="O163" s="25">
        <f t="shared" si="81"/>
        <v>0.79425710873379207</v>
      </c>
      <c r="P163" s="25">
        <f t="shared" si="81"/>
        <v>0.76286110324719547</v>
      </c>
      <c r="Q163" s="25">
        <f t="shared" si="81"/>
        <v>0.72831294423682369</v>
      </c>
      <c r="R163" s="25">
        <f t="shared" si="81"/>
        <v>0.69077178954307306</v>
      </c>
      <c r="S163" s="25">
        <f t="shared" si="81"/>
        <v>0.65053233532210819</v>
      </c>
      <c r="T163" s="25">
        <f t="shared" si="81"/>
        <v>0.6080278688278703</v>
      </c>
      <c r="U163" s="25">
        <f t="shared" si="81"/>
        <v>0.56381998352397411</v>
      </c>
      <c r="V163" s="25">
        <f t="shared" si="81"/>
        <v>0.51857394671092871</v>
      </c>
      <c r="W163" s="25">
        <f t="shared" si="81"/>
        <v>0.47302122756489812</v>
      </c>
      <c r="X163" s="30">
        <f t="shared" si="81"/>
        <v>0.42791328889525049</v>
      </c>
    </row>
    <row r="164" spans="2:24" x14ac:dyDescent="0.35">
      <c r="B164" s="67"/>
      <c r="C164" s="19">
        <v>0.85</v>
      </c>
      <c r="D164" s="29">
        <f t="shared" ref="D164:X164" si="82">1/(1+EXP(-D190))</f>
        <v>0.96016744359997508</v>
      </c>
      <c r="E164" s="25">
        <f t="shared" si="82"/>
        <v>0.95257743001724204</v>
      </c>
      <c r="F164" s="25">
        <f t="shared" si="82"/>
        <v>0.94362606839722751</v>
      </c>
      <c r="G164" s="25">
        <f t="shared" si="82"/>
        <v>0.93310372829386301</v>
      </c>
      <c r="H164" s="25">
        <f t="shared" si="82"/>
        <v>0.92078224656590613</v>
      </c>
      <c r="I164" s="25">
        <f t="shared" si="82"/>
        <v>0.90641890257048108</v>
      </c>
      <c r="J164" s="25">
        <f t="shared" si="82"/>
        <v>0.88976306060327093</v>
      </c>
      <c r="K164" s="25">
        <f t="shared" si="82"/>
        <v>0.87056607789467277</v>
      </c>
      <c r="L164" s="25">
        <f t="shared" si="82"/>
        <v>0.84859493578689671</v>
      </c>
      <c r="M164" s="25">
        <f t="shared" si="82"/>
        <v>0.82364973238852968</v>
      </c>
      <c r="N164" s="25">
        <f t="shared" si="82"/>
        <v>0.79558463234304688</v>
      </c>
      <c r="O164" s="25">
        <f t="shared" si="82"/>
        <v>0.7643310965407395</v>
      </c>
      <c r="P164" s="25">
        <f t="shared" si="82"/>
        <v>0.72992127733809586</v>
      </c>
      <c r="Q164" s="25">
        <f t="shared" si="82"/>
        <v>0.69250853137284418</v>
      </c>
      <c r="R164" s="25">
        <f t="shared" si="82"/>
        <v>0.65238134660787017</v>
      </c>
      <c r="S164" s="25">
        <f t="shared" si="82"/>
        <v>0.60996693447596184</v>
      </c>
      <c r="T164" s="25">
        <f t="shared" si="82"/>
        <v>0.56582157895098395</v>
      </c>
      <c r="U164" s="25">
        <f t="shared" si="82"/>
        <v>0.52060663280208652</v>
      </c>
      <c r="V164" s="25">
        <f t="shared" si="82"/>
        <v>0.47505154942059219</v>
      </c>
      <c r="W164" s="25">
        <f t="shared" si="82"/>
        <v>0.42990794652164221</v>
      </c>
      <c r="X164" s="30">
        <f t="shared" si="82"/>
        <v>0.38590065964547787</v>
      </c>
    </row>
    <row r="165" spans="2:24" x14ac:dyDescent="0.35">
      <c r="B165" s="67"/>
      <c r="C165" s="19">
        <v>0.8</v>
      </c>
      <c r="D165" s="29">
        <f t="shared" ref="D165:X165" si="83">1/(1+EXP(-D191))</f>
        <v>0.95294393802433375</v>
      </c>
      <c r="E165" s="25">
        <f t="shared" si="83"/>
        <v>0.94405769468777068</v>
      </c>
      <c r="F165" s="25">
        <f t="shared" si="83"/>
        <v>0.93361025057588598</v>
      </c>
      <c r="G165" s="25">
        <f t="shared" si="83"/>
        <v>0.9213742028013947</v>
      </c>
      <c r="H165" s="25">
        <f t="shared" si="83"/>
        <v>0.90710736121021018</v>
      </c>
      <c r="I165" s="25">
        <f t="shared" si="83"/>
        <v>0.89055925845113737</v>
      </c>
      <c r="J165" s="25">
        <f t="shared" si="83"/>
        <v>0.87148090076699514</v>
      </c>
      <c r="K165" s="25">
        <f t="shared" si="83"/>
        <v>0.84963822682048651</v>
      </c>
      <c r="L165" s="25">
        <f t="shared" si="83"/>
        <v>0.8248294316333652</v>
      </c>
      <c r="M165" s="25">
        <f t="shared" si="83"/>
        <v>0.7969057805775086</v>
      </c>
      <c r="N165" s="25">
        <f t="shared" si="83"/>
        <v>0.76579477509381944</v>
      </c>
      <c r="O165" s="25">
        <f t="shared" si="83"/>
        <v>0.73152359913792975</v>
      </c>
      <c r="P165" s="25">
        <f t="shared" si="83"/>
        <v>0.69423983656140598</v>
      </c>
      <c r="Q165" s="25">
        <f t="shared" si="83"/>
        <v>0.65422577480232735</v>
      </c>
      <c r="R165" s="25">
        <f t="shared" si="83"/>
        <v>0.61190253042656195</v>
      </c>
      <c r="S165" s="25">
        <f t="shared" si="83"/>
        <v>0.567821029821023</v>
      </c>
      <c r="T165" s="25">
        <f t="shared" si="83"/>
        <v>0.52263863682129652</v>
      </c>
      <c r="U165" s="25">
        <f t="shared" si="83"/>
        <v>0.47708269640636719</v>
      </c>
      <c r="V165" s="25">
        <f t="shared" si="83"/>
        <v>0.43190488244751435</v>
      </c>
      <c r="W165" s="25">
        <f t="shared" si="83"/>
        <v>0.3878322435270416</v>
      </c>
      <c r="X165" s="30">
        <f t="shared" si="83"/>
        <v>0.34552159058576148</v>
      </c>
    </row>
    <row r="166" spans="2:24" x14ac:dyDescent="0.35">
      <c r="B166" s="67"/>
      <c r="C166" s="19">
        <v>0.75</v>
      </c>
      <c r="D166" s="29">
        <f t="shared" ref="D166:X166" si="84">1/(1+EXP(-D192))</f>
        <v>0.94448621065597105</v>
      </c>
      <c r="E166" s="25">
        <f t="shared" si="84"/>
        <v>0.93411320840384815</v>
      </c>
      <c r="F166" s="25">
        <f t="shared" si="84"/>
        <v>0.92196211052336807</v>
      </c>
      <c r="G166" s="25">
        <f t="shared" si="84"/>
        <v>0.90779127022971917</v>
      </c>
      <c r="H166" s="25">
        <f t="shared" si="84"/>
        <v>0.89135040788914333</v>
      </c>
      <c r="I166" s="25">
        <f t="shared" si="84"/>
        <v>0.87239020556638069</v>
      </c>
      <c r="J166" s="25">
        <f t="shared" si="84"/>
        <v>0.85067559385014646</v>
      </c>
      <c r="K166" s="25">
        <f t="shared" si="84"/>
        <v>0.82600290636883222</v>
      </c>
      <c r="L166" s="25">
        <f t="shared" si="84"/>
        <v>0.79822055576444395</v>
      </c>
      <c r="M166" s="25">
        <f t="shared" si="84"/>
        <v>0.76725213129189218</v>
      </c>
      <c r="N166" s="25">
        <f t="shared" si="84"/>
        <v>0.73311989044649617</v>
      </c>
      <c r="O166" s="25">
        <f t="shared" si="84"/>
        <v>0.69596567346361549</v>
      </c>
      <c r="P166" s="25">
        <f t="shared" si="84"/>
        <v>0.6560655759984988</v>
      </c>
      <c r="Q166" s="25">
        <f t="shared" si="84"/>
        <v>0.61383460198072148</v>
      </c>
      <c r="R166" s="25">
        <f t="shared" si="84"/>
        <v>0.56981827339269708</v>
      </c>
      <c r="S166" s="25">
        <f t="shared" si="84"/>
        <v>0.52466989177380718</v>
      </c>
      <c r="T166" s="25">
        <f t="shared" si="84"/>
        <v>0.47911460164077696</v>
      </c>
      <c r="U166" s="25">
        <f t="shared" si="84"/>
        <v>0.4339040342557639</v>
      </c>
      <c r="V166" s="25">
        <f t="shared" si="84"/>
        <v>0.38976735927433859</v>
      </c>
      <c r="W166" s="25">
        <f t="shared" si="84"/>
        <v>0.34736538669568234</v>
      </c>
      <c r="X166" s="30">
        <f t="shared" si="84"/>
        <v>0.30725366842762264</v>
      </c>
    </row>
    <row r="167" spans="2:24" x14ac:dyDescent="0.35">
      <c r="B167" s="67"/>
      <c r="C167" s="19">
        <v>0.7</v>
      </c>
      <c r="D167" s="29">
        <f t="shared" ref="D167:X167" si="85">1/(1+EXP(-D193))</f>
        <v>0.93461262277024959</v>
      </c>
      <c r="E167" s="25">
        <f t="shared" si="85"/>
        <v>0.92254599182975772</v>
      </c>
      <c r="F167" s="25">
        <f t="shared" si="85"/>
        <v>0.90847065212741129</v>
      </c>
      <c r="G167" s="25">
        <f t="shared" si="85"/>
        <v>0.89213653079811905</v>
      </c>
      <c r="H167" s="25">
        <f t="shared" si="85"/>
        <v>0.87329401219202352</v>
      </c>
      <c r="I167" s="25">
        <f t="shared" si="85"/>
        <v>0.85170705308670103</v>
      </c>
      <c r="J167" s="25">
        <f t="shared" si="85"/>
        <v>0.82717016712892399</v>
      </c>
      <c r="K167" s="25">
        <f t="shared" si="85"/>
        <v>0.79952896062928791</v>
      </c>
      <c r="L167" s="25">
        <f t="shared" si="85"/>
        <v>0.76870315800348765</v>
      </c>
      <c r="M167" s="25">
        <f t="shared" si="85"/>
        <v>0.73471013261652185</v>
      </c>
      <c r="N167" s="25">
        <f t="shared" si="85"/>
        <v>0.69768601099537619</v>
      </c>
      <c r="O167" s="25">
        <f t="shared" si="85"/>
        <v>0.65790070681546853</v>
      </c>
      <c r="P167" s="25">
        <f t="shared" si="85"/>
        <v>0.61576309487178293</v>
      </c>
      <c r="Q167" s="25">
        <f t="shared" si="85"/>
        <v>0.57181324720926663</v>
      </c>
      <c r="R167" s="25">
        <f t="shared" si="85"/>
        <v>0.52670033076390299</v>
      </c>
      <c r="S167" s="25">
        <f t="shared" si="85"/>
        <v>0.48114719814213425</v>
      </c>
      <c r="T167" s="25">
        <f t="shared" si="85"/>
        <v>0.43590533924359176</v>
      </c>
      <c r="U167" s="25">
        <f t="shared" si="85"/>
        <v>0.39170595224739196</v>
      </c>
      <c r="V167" s="25">
        <f t="shared" si="85"/>
        <v>0.34921377195051645</v>
      </c>
      <c r="W167" s="25">
        <f t="shared" si="85"/>
        <v>0.30898966642341796</v>
      </c>
      <c r="X167" s="30">
        <f t="shared" si="85"/>
        <v>0.27146609069257438</v>
      </c>
    </row>
    <row r="168" spans="2:24" x14ac:dyDescent="0.35">
      <c r="B168" s="67"/>
      <c r="C168" s="19">
        <v>0.65</v>
      </c>
      <c r="D168" s="29">
        <f t="shared" ref="D168:X168" si="86">1/(1+EXP(-D194))</f>
        <v>0.92312586878202085</v>
      </c>
      <c r="E168" s="25">
        <f t="shared" si="86"/>
        <v>0.90914552940303817</v>
      </c>
      <c r="F168" s="25">
        <f t="shared" si="86"/>
        <v>0.89291764911294413</v>
      </c>
      <c r="G168" s="25">
        <f t="shared" si="86"/>
        <v>0.8741923406655937</v>
      </c>
      <c r="H168" s="25">
        <f t="shared" si="86"/>
        <v>0.85273262094638691</v>
      </c>
      <c r="I168" s="25">
        <f t="shared" si="86"/>
        <v>0.82833122474624432</v>
      </c>
      <c r="J168" s="25">
        <f t="shared" si="86"/>
        <v>0.80083099829150994</v>
      </c>
      <c r="K168" s="25">
        <f t="shared" si="86"/>
        <v>0.77014784857684027</v>
      </c>
      <c r="L168" s="25">
        <f t="shared" si="86"/>
        <v>0.73629430754139835</v>
      </c>
      <c r="M168" s="25">
        <f t="shared" si="86"/>
        <v>0.69940081863387815</v>
      </c>
      <c r="N168" s="25">
        <f t="shared" si="86"/>
        <v>0.65973112440119663</v>
      </c>
      <c r="O168" s="25">
        <f t="shared" si="86"/>
        <v>0.61768795527079301</v>
      </c>
      <c r="P168" s="25">
        <f t="shared" si="86"/>
        <v>0.57380588910620467</v>
      </c>
      <c r="Q168" s="25">
        <f t="shared" si="86"/>
        <v>0.52872988700368651</v>
      </c>
      <c r="R168" s="25">
        <f t="shared" si="86"/>
        <v>0.48318041883731427</v>
      </c>
      <c r="S168" s="25">
        <f t="shared" si="86"/>
        <v>0.43790873443012784</v>
      </c>
      <c r="T168" s="25">
        <f t="shared" si="86"/>
        <v>0.39364796737869201</v>
      </c>
      <c r="U168" s="25">
        <f t="shared" si="86"/>
        <v>0.35106670199172735</v>
      </c>
      <c r="V168" s="25">
        <f t="shared" si="86"/>
        <v>0.3107310733053239</v>
      </c>
      <c r="W168" s="25">
        <f t="shared" si="86"/>
        <v>0.27307959470422821</v>
      </c>
      <c r="X168" s="30">
        <f t="shared" si="86"/>
        <v>0.2384123243097313</v>
      </c>
    </row>
    <row r="169" spans="2:24" x14ac:dyDescent="0.35">
      <c r="B169" s="67"/>
      <c r="C169" s="19">
        <v>0.6</v>
      </c>
      <c r="D169" s="29">
        <f t="shared" ref="D169:X169" si="87">1/(1+EXP(-D195))</f>
        <v>0.90981592455570526</v>
      </c>
      <c r="E169" s="25">
        <f t="shared" si="87"/>
        <v>0.89369378481985884</v>
      </c>
      <c r="F169" s="25">
        <f t="shared" si="87"/>
        <v>0.8750852111278532</v>
      </c>
      <c r="G169" s="25">
        <f t="shared" si="87"/>
        <v>0.85375231404688556</v>
      </c>
      <c r="H169" s="25">
        <f t="shared" si="87"/>
        <v>0.82948609034772525</v>
      </c>
      <c r="I169" s="25">
        <f t="shared" si="87"/>
        <v>0.80212667226045609</v>
      </c>
      <c r="J169" s="25">
        <f t="shared" si="87"/>
        <v>0.77158619683647245</v>
      </c>
      <c r="K169" s="25">
        <f t="shared" si="87"/>
        <v>0.73787239765320645</v>
      </c>
      <c r="L169" s="25">
        <f t="shared" si="87"/>
        <v>0.70111006641773532</v>
      </c>
      <c r="M169" s="25">
        <f t="shared" si="87"/>
        <v>0.66155678643520943</v>
      </c>
      <c r="N169" s="25">
        <f t="shared" si="87"/>
        <v>0.61960912979180915</v>
      </c>
      <c r="O169" s="25">
        <f t="shared" si="87"/>
        <v>0.57579613721867495</v>
      </c>
      <c r="P169" s="25">
        <f t="shared" si="87"/>
        <v>0.5307584938218306</v>
      </c>
      <c r="Q169" s="25">
        <f t="shared" si="87"/>
        <v>0.4852141965705889</v>
      </c>
      <c r="R169" s="25">
        <f t="shared" si="87"/>
        <v>0.43991415656413091</v>
      </c>
      <c r="S169" s="25">
        <f t="shared" si="87"/>
        <v>0.39559334917881506</v>
      </c>
      <c r="T169" s="25">
        <f t="shared" si="87"/>
        <v>0.35292413194026634</v>
      </c>
      <c r="U169" s="25">
        <f t="shared" si="87"/>
        <v>0.31247785638408176</v>
      </c>
      <c r="V169" s="25">
        <f t="shared" si="87"/>
        <v>0.27469907281699663</v>
      </c>
      <c r="W169" s="25">
        <f t="shared" si="87"/>
        <v>0.23989405893433921</v>
      </c>
      <c r="X169" s="30">
        <f t="shared" si="87"/>
        <v>0.20823285236954631</v>
      </c>
    </row>
    <row r="170" spans="2:24" x14ac:dyDescent="0.35">
      <c r="B170" s="67"/>
      <c r="C170" s="19">
        <v>0.55000000000000004</v>
      </c>
      <c r="D170" s="29">
        <f t="shared" ref="D170:X170" si="88">1/(1+EXP(-D196))</f>
        <v>0.89446495995380793</v>
      </c>
      <c r="E170" s="25">
        <f t="shared" si="88"/>
        <v>0.87597264383530227</v>
      </c>
      <c r="F170" s="25">
        <f t="shared" si="88"/>
        <v>0.85476614920337901</v>
      </c>
      <c r="G170" s="25">
        <f t="shared" si="88"/>
        <v>0.83063477535034769</v>
      </c>
      <c r="H170" s="25">
        <f t="shared" si="88"/>
        <v>0.80341598643117795</v>
      </c>
      <c r="I170" s="25">
        <f t="shared" si="88"/>
        <v>0.77301819707973118</v>
      </c>
      <c r="J170" s="25">
        <f t="shared" si="88"/>
        <v>0.73944438592066608</v>
      </c>
      <c r="K170" s="25">
        <f t="shared" si="88"/>
        <v>0.70281372494701422</v>
      </c>
      <c r="L170" s="25">
        <f t="shared" si="88"/>
        <v>0.66337765113117475</v>
      </c>
      <c r="M170" s="25">
        <f t="shared" si="88"/>
        <v>0.62152656549709051</v>
      </c>
      <c r="N170" s="25">
        <f t="shared" si="88"/>
        <v>0.57778392998893224</v>
      </c>
      <c r="O170" s="25">
        <f t="shared" si="88"/>
        <v>0.53278608467229704</v>
      </c>
      <c r="P170" s="25">
        <f t="shared" si="88"/>
        <v>0.48724846411248041</v>
      </c>
      <c r="Q170" s="25">
        <f t="shared" si="88"/>
        <v>0.44192154213176338</v>
      </c>
      <c r="R170" s="25">
        <f t="shared" si="88"/>
        <v>0.39754204174214725</v>
      </c>
      <c r="S170" s="25">
        <f t="shared" si="88"/>
        <v>0.35478601639972518</v>
      </c>
      <c r="T170" s="25">
        <f t="shared" si="88"/>
        <v>0.3142299824106804</v>
      </c>
      <c r="U170" s="25">
        <f t="shared" si="88"/>
        <v>0.27632450427808164</v>
      </c>
      <c r="V170" s="25">
        <f t="shared" si="88"/>
        <v>0.24138208379966977</v>
      </c>
      <c r="W170" s="25">
        <f t="shared" si="88"/>
        <v>0.20957863685833497</v>
      </c>
      <c r="X170" s="30">
        <f t="shared" si="88"/>
        <v>0.18096589420209278</v>
      </c>
    </row>
    <row r="171" spans="2:24" x14ac:dyDescent="0.35">
      <c r="B171" s="67"/>
      <c r="C171" s="19">
        <v>0.5</v>
      </c>
      <c r="D171" s="29">
        <f t="shared" ref="D171:X171" si="89">1/(1+EXP(-D197))</f>
        <v>0.87685465915685479</v>
      </c>
      <c r="E171" s="25">
        <f t="shared" si="89"/>
        <v>0.85577414342462432</v>
      </c>
      <c r="F171" s="25">
        <f t="shared" si="89"/>
        <v>0.83177729145687118</v>
      </c>
      <c r="G171" s="25">
        <f t="shared" si="89"/>
        <v>0.80469894508024153</v>
      </c>
      <c r="H171" s="25">
        <f t="shared" si="89"/>
        <v>0.77444384407327527</v>
      </c>
      <c r="I171" s="25">
        <f t="shared" si="89"/>
        <v>0.74101025584700297</v>
      </c>
      <c r="J171" s="25">
        <f t="shared" si="89"/>
        <v>0.70451176538315807</v>
      </c>
      <c r="K171" s="25">
        <f t="shared" si="89"/>
        <v>0.66519367723935441</v>
      </c>
      <c r="L171" s="25">
        <f t="shared" si="89"/>
        <v>0.62344020990217985</v>
      </c>
      <c r="M171" s="25">
        <f t="shared" si="89"/>
        <v>0.57976920617363403</v>
      </c>
      <c r="N171" s="25">
        <f t="shared" si="89"/>
        <v>0.53481259314302121</v>
      </c>
      <c r="O171" s="25">
        <f t="shared" si="89"/>
        <v>0.48928315416863705</v>
      </c>
      <c r="P171" s="25">
        <f t="shared" si="89"/>
        <v>0.44393082736443606</v>
      </c>
      <c r="Q171" s="25">
        <f t="shared" si="89"/>
        <v>0.39949398875271591</v>
      </c>
      <c r="R171" s="25">
        <f t="shared" si="89"/>
        <v>0.35665230945960558</v>
      </c>
      <c r="S171" s="25">
        <f t="shared" si="89"/>
        <v>0.31598741757702015</v>
      </c>
      <c r="T171" s="25">
        <f t="shared" si="89"/>
        <v>0.27795586778560266</v>
      </c>
      <c r="U171" s="25">
        <f t="shared" si="89"/>
        <v>0.24287638939446973</v>
      </c>
      <c r="V171" s="25">
        <f t="shared" si="89"/>
        <v>0.21093080189681529</v>
      </c>
      <c r="W171" s="25">
        <f t="shared" si="89"/>
        <v>0.1821760023462857</v>
      </c>
      <c r="X171" s="30">
        <f t="shared" si="89"/>
        <v>0.15656337600915321</v>
      </c>
    </row>
    <row r="172" spans="2:24" x14ac:dyDescent="0.35">
      <c r="B172" s="67"/>
      <c r="C172" s="19">
        <v>0.45</v>
      </c>
      <c r="D172" s="29">
        <f t="shared" ref="D172:X172" si="90">1/(1+EXP(-D198))</f>
        <v>0.85677631390905507</v>
      </c>
      <c r="E172" s="25">
        <f t="shared" si="90"/>
        <v>0.83291365065157064</v>
      </c>
      <c r="F172" s="25">
        <f t="shared" si="90"/>
        <v>0.80597555286152345</v>
      </c>
      <c r="G172" s="25">
        <f t="shared" si="90"/>
        <v>0.77586313304952192</v>
      </c>
      <c r="H172" s="25">
        <f t="shared" si="90"/>
        <v>0.74256999146774216</v>
      </c>
      <c r="I172" s="25">
        <f t="shared" si="90"/>
        <v>0.70620415944880732</v>
      </c>
      <c r="J172" s="25">
        <f t="shared" si="90"/>
        <v>0.6670048240489409</v>
      </c>
      <c r="K172" s="25">
        <f t="shared" si="90"/>
        <v>0.62535001098087162</v>
      </c>
      <c r="L172" s="25">
        <f t="shared" si="90"/>
        <v>0.58175190485107486</v>
      </c>
      <c r="M172" s="25">
        <f t="shared" si="90"/>
        <v>0.53683795296455827</v>
      </c>
      <c r="N172" s="25">
        <f t="shared" si="90"/>
        <v>0.49131819938872873</v>
      </c>
      <c r="O172" s="25">
        <f t="shared" si="90"/>
        <v>0.44594194824672378</v>
      </c>
      <c r="P172" s="25">
        <f t="shared" si="90"/>
        <v>0.40144913349012573</v>
      </c>
      <c r="Q172" s="25">
        <f t="shared" si="90"/>
        <v>0.35852296469870937</v>
      </c>
      <c r="R172" s="25">
        <f t="shared" si="90"/>
        <v>0.31775012751668741</v>
      </c>
      <c r="S172" s="25">
        <f t="shared" si="90"/>
        <v>0.27959314148711767</v>
      </c>
      <c r="T172" s="25">
        <f t="shared" si="90"/>
        <v>0.24437696570878378</v>
      </c>
      <c r="U172" s="25">
        <f t="shared" si="90"/>
        <v>0.21228934781775116</v>
      </c>
      <c r="V172" s="25">
        <f t="shared" si="90"/>
        <v>0.183392390525109</v>
      </c>
      <c r="W172" s="25">
        <f t="shared" si="90"/>
        <v>0.1576417133164128</v>
      </c>
      <c r="X172" s="30">
        <f t="shared" si="90"/>
        <v>0.13490942167212927</v>
      </c>
    </row>
    <row r="173" spans="2:24" x14ac:dyDescent="0.35">
      <c r="B173" s="67"/>
      <c r="C173" s="19">
        <v>0.4</v>
      </c>
      <c r="D173" s="29">
        <f t="shared" ref="D173:X173" si="91">1/(1+EXP(-D199))</f>
        <v>0.83404386519598117</v>
      </c>
      <c r="E173" s="25">
        <f t="shared" si="91"/>
        <v>0.80724581480199065</v>
      </c>
      <c r="F173" s="25">
        <f t="shared" si="91"/>
        <v>0.7772760597030457</v>
      </c>
      <c r="G173" s="25">
        <f t="shared" si="91"/>
        <v>0.74412357734842416</v>
      </c>
      <c r="H173" s="25">
        <f t="shared" si="91"/>
        <v>0.70789087942751738</v>
      </c>
      <c r="I173" s="25">
        <f t="shared" si="91"/>
        <v>0.66881105139027552</v>
      </c>
      <c r="J173" s="25">
        <f t="shared" si="91"/>
        <v>0.62725591717006668</v>
      </c>
      <c r="K173" s="25">
        <f t="shared" si="91"/>
        <v>0.58373196542832917</v>
      </c>
      <c r="L173" s="25">
        <f t="shared" si="91"/>
        <v>0.53886209801869045</v>
      </c>
      <c r="M173" s="25">
        <f t="shared" si="91"/>
        <v>0.49335353237535501</v>
      </c>
      <c r="N173" s="25">
        <f t="shared" si="91"/>
        <v>0.44795484052434881</v>
      </c>
      <c r="O173" s="25">
        <f t="shared" si="91"/>
        <v>0.40340741883559866</v>
      </c>
      <c r="P173" s="25">
        <f t="shared" si="91"/>
        <v>0.36039793518864671</v>
      </c>
      <c r="Q173" s="25">
        <f t="shared" si="91"/>
        <v>0.31951807730584147</v>
      </c>
      <c r="R173" s="25">
        <f t="shared" si="91"/>
        <v>0.28123630297823132</v>
      </c>
      <c r="S173" s="25">
        <f t="shared" si="91"/>
        <v>0.24588380223090547</v>
      </c>
      <c r="T173" s="25">
        <f t="shared" si="91"/>
        <v>0.21365427453193134</v>
      </c>
      <c r="U173" s="25">
        <f t="shared" si="91"/>
        <v>0.18461506710735523</v>
      </c>
      <c r="V173" s="25">
        <f t="shared" si="91"/>
        <v>0.15872608001739585</v>
      </c>
      <c r="W173" s="25">
        <f t="shared" si="91"/>
        <v>0.13586264061145412</v>
      </c>
      <c r="X173" s="30">
        <f t="shared" si="91"/>
        <v>0.11583905403680712</v>
      </c>
    </row>
    <row r="174" spans="2:24" x14ac:dyDescent="0.35">
      <c r="B174" s="67"/>
      <c r="C174" s="19">
        <v>0.35</v>
      </c>
      <c r="D174" s="29">
        <f t="shared" ref="D174:X174" si="92">1/(1+EXP(-D200))</f>
        <v>0.80850973629747025</v>
      </c>
      <c r="E174" s="25">
        <f t="shared" si="92"/>
        <v>0.77868262018693846</v>
      </c>
      <c r="F174" s="25">
        <f t="shared" si="92"/>
        <v>0.7456709985822475</v>
      </c>
      <c r="G174" s="25">
        <f t="shared" si="92"/>
        <v>0.70957189816337252</v>
      </c>
      <c r="H174" s="25">
        <f t="shared" si="92"/>
        <v>0.67061231963694778</v>
      </c>
      <c r="I174" s="25">
        <f t="shared" si="92"/>
        <v>0.6291578773745129</v>
      </c>
      <c r="J174" s="25">
        <f t="shared" si="92"/>
        <v>0.58570932764830796</v>
      </c>
      <c r="K174" s="25">
        <f t="shared" si="92"/>
        <v>0.54088496234699079</v>
      </c>
      <c r="L174" s="25">
        <f t="shared" si="92"/>
        <v>0.4953890856929693</v>
      </c>
      <c r="M174" s="25">
        <f t="shared" si="92"/>
        <v>0.44996943971222814</v>
      </c>
      <c r="N174" s="25">
        <f t="shared" si="92"/>
        <v>0.40536878727811892</v>
      </c>
      <c r="O174" s="25">
        <f t="shared" si="92"/>
        <v>0.36227717349746202</v>
      </c>
      <c r="P174" s="25">
        <f t="shared" si="92"/>
        <v>0.32129123146421296</v>
      </c>
      <c r="Q174" s="25">
        <f t="shared" si="92"/>
        <v>0.28288532930129345</v>
      </c>
      <c r="R174" s="25">
        <f t="shared" si="92"/>
        <v>0.24739688794438411</v>
      </c>
      <c r="S174" s="25">
        <f t="shared" si="92"/>
        <v>0.21502558152419737</v>
      </c>
      <c r="T174" s="25">
        <f t="shared" si="92"/>
        <v>0.18584404012941771</v>
      </c>
      <c r="U174" s="25">
        <f t="shared" si="92"/>
        <v>0.15981649056726896</v>
      </c>
      <c r="V174" s="25">
        <f t="shared" si="92"/>
        <v>0.13682152942357598</v>
      </c>
      <c r="W174" s="25">
        <f t="shared" si="92"/>
        <v>0.11667570204197929</v>
      </c>
      <c r="X174" s="30">
        <f t="shared" si="92"/>
        <v>9.9155432745520342E-2</v>
      </c>
    </row>
    <row r="175" spans="2:24" x14ac:dyDescent="0.35">
      <c r="B175" s="67"/>
      <c r="C175" s="19">
        <v>0.3</v>
      </c>
      <c r="D175" s="29">
        <f t="shared" ref="D175:X175" si="93">1/(1+EXP(-D201))</f>
        <v>0.78008281110912769</v>
      </c>
      <c r="E175" s="25">
        <f t="shared" si="93"/>
        <v>0.74721224078763937</v>
      </c>
      <c r="F175" s="25">
        <f t="shared" si="93"/>
        <v>0.71124718906050122</v>
      </c>
      <c r="G175" s="25">
        <f t="shared" si="93"/>
        <v>0.67240858970777839</v>
      </c>
      <c r="H175" s="25">
        <f t="shared" si="93"/>
        <v>0.63105584097143108</v>
      </c>
      <c r="I175" s="25">
        <f t="shared" si="93"/>
        <v>0.5876839315967276</v>
      </c>
      <c r="J175" s="25">
        <f t="shared" si="93"/>
        <v>0.54290648015934428</v>
      </c>
      <c r="K175" s="25">
        <f t="shared" si="93"/>
        <v>0.49742479187681216</v>
      </c>
      <c r="L175" s="25">
        <f t="shared" si="93"/>
        <v>0.45198568110258724</v>
      </c>
      <c r="M175" s="25">
        <f t="shared" si="93"/>
        <v>0.40733318092067639</v>
      </c>
      <c r="N175" s="25">
        <f t="shared" si="93"/>
        <v>0.36416063169338109</v>
      </c>
      <c r="O175" s="25">
        <f t="shared" si="93"/>
        <v>0.32306955395621578</v>
      </c>
      <c r="P175" s="25">
        <f t="shared" si="93"/>
        <v>0.28454019694418914</v>
      </c>
      <c r="Q175" s="25">
        <f t="shared" si="93"/>
        <v>0.24891621132509453</v>
      </c>
      <c r="R175" s="25">
        <f t="shared" si="93"/>
        <v>0.21640326784949962</v>
      </c>
      <c r="S175" s="25">
        <f t="shared" si="93"/>
        <v>0.18707931729099503</v>
      </c>
      <c r="T175" s="25">
        <f t="shared" si="93"/>
        <v>0.16091295917976875</v>
      </c>
      <c r="U175" s="25">
        <f t="shared" si="93"/>
        <v>0.13778610676972353</v>
      </c>
      <c r="V175" s="25">
        <f t="shared" si="93"/>
        <v>0.11751758958046581</v>
      </c>
      <c r="W175" s="25">
        <f t="shared" si="93"/>
        <v>9.9885196046561875E-2</v>
      </c>
      <c r="X175" s="30">
        <f t="shared" si="93"/>
        <v>8.4644620955705727E-2</v>
      </c>
    </row>
    <row r="176" spans="2:24" x14ac:dyDescent="0.35">
      <c r="B176" s="67"/>
      <c r="C176" s="19">
        <v>0.25</v>
      </c>
      <c r="D176" s="29">
        <f t="shared" ref="D176:X176" si="94">1/(1+EXP(-D202))</f>
        <v>0.74874729010575436</v>
      </c>
      <c r="E176" s="25">
        <f t="shared" si="94"/>
        <v>0.71291672608248946</v>
      </c>
      <c r="F176" s="25">
        <f t="shared" si="94"/>
        <v>0.67419982306868409</v>
      </c>
      <c r="G176" s="25">
        <f t="shared" si="94"/>
        <v>0.63294975781502583</v>
      </c>
      <c r="H176" s="25">
        <f t="shared" si="94"/>
        <v>0.58965571770898473</v>
      </c>
      <c r="I176" s="25">
        <f t="shared" si="94"/>
        <v>0.54492658584242049</v>
      </c>
      <c r="J176" s="25">
        <f t="shared" si="94"/>
        <v>0.49946058344185373</v>
      </c>
      <c r="K176" s="25">
        <f t="shared" si="94"/>
        <v>0.45400349977313181</v>
      </c>
      <c r="L176" s="25">
        <f t="shared" si="94"/>
        <v>0.40930054148661377</v>
      </c>
      <c r="M176" s="25">
        <f t="shared" si="94"/>
        <v>0.36604826134867313</v>
      </c>
      <c r="N176" s="25">
        <f t="shared" si="94"/>
        <v>0.32485300819217416</v>
      </c>
      <c r="O176" s="25">
        <f t="shared" si="94"/>
        <v>0.2862008818392201</v>
      </c>
      <c r="P176" s="25">
        <f t="shared" si="94"/>
        <v>0.25044176033836796</v>
      </c>
      <c r="Q176" s="25">
        <f t="shared" si="94"/>
        <v>0.2177873321289846</v>
      </c>
      <c r="R176" s="25">
        <f t="shared" si="94"/>
        <v>0.18832090595079806</v>
      </c>
      <c r="S176" s="25">
        <f t="shared" si="94"/>
        <v>0.16201549982305299</v>
      </c>
      <c r="T176" s="25">
        <f t="shared" si="94"/>
        <v>0.13875639115373717</v>
      </c>
      <c r="U176" s="25">
        <f t="shared" si="94"/>
        <v>0.11836473784927434</v>
      </c>
      <c r="V176" s="25">
        <f t="shared" si="94"/>
        <v>0.10061973035057861</v>
      </c>
      <c r="W176" s="25">
        <f t="shared" si="94"/>
        <v>8.5277697514825584E-2</v>
      </c>
      <c r="X176" s="30">
        <f t="shared" si="94"/>
        <v>7.2087448147922797E-2</v>
      </c>
    </row>
    <row r="177" spans="2:24" x14ac:dyDescent="0.35">
      <c r="B177" s="67"/>
      <c r="C177" s="19">
        <v>0.2</v>
      </c>
      <c r="D177" s="29">
        <f t="shared" ref="D177:X177" si="95">1/(1+EXP(-D203))</f>
        <v>0.71458048375169658</v>
      </c>
      <c r="E177" s="25">
        <f t="shared" si="95"/>
        <v>0.67598598173442637</v>
      </c>
      <c r="F177" s="25">
        <f t="shared" si="95"/>
        <v>0.634839578240879</v>
      </c>
      <c r="G177" s="25">
        <f t="shared" si="95"/>
        <v>0.59162462677694061</v>
      </c>
      <c r="H177" s="25">
        <f t="shared" si="95"/>
        <v>0.5469452139680977</v>
      </c>
      <c r="I177" s="25">
        <f t="shared" si="95"/>
        <v>0.50149639289174119</v>
      </c>
      <c r="J177" s="25">
        <f t="shared" si="95"/>
        <v>0.45602283059528159</v>
      </c>
      <c r="K177" s="25">
        <f t="shared" si="95"/>
        <v>0.41127081032607044</v>
      </c>
      <c r="L177" s="25">
        <f t="shared" si="95"/>
        <v>0.36794001354363287</v>
      </c>
      <c r="M177" s="25">
        <f t="shared" si="95"/>
        <v>0.32664155702966097</v>
      </c>
      <c r="N177" s="25">
        <f t="shared" si="95"/>
        <v>0.28786735936208108</v>
      </c>
      <c r="O177" s="25">
        <f t="shared" si="95"/>
        <v>0.25197352243618498</v>
      </c>
      <c r="P177" s="25">
        <f t="shared" si="95"/>
        <v>0.21917777254611295</v>
      </c>
      <c r="Q177" s="25">
        <f t="shared" si="95"/>
        <v>0.18956881312226154</v>
      </c>
      <c r="R177" s="25">
        <f t="shared" si="95"/>
        <v>0.16312412621553482</v>
      </c>
      <c r="S177" s="25">
        <f t="shared" si="95"/>
        <v>0.13973240091838005</v>
      </c>
      <c r="T177" s="25">
        <f t="shared" si="95"/>
        <v>0.119217167960117</v>
      </c>
      <c r="U177" s="25">
        <f t="shared" si="95"/>
        <v>0.10135905800447292</v>
      </c>
      <c r="V177" s="25">
        <f t="shared" si="95"/>
        <v>8.5915064579851166E-2</v>
      </c>
      <c r="W177" s="25">
        <f t="shared" si="95"/>
        <v>7.2634059182031058E-2</v>
      </c>
      <c r="X177" s="30">
        <f t="shared" si="95"/>
        <v>6.126846318297207E-2</v>
      </c>
    </row>
    <row r="178" spans="2:24" x14ac:dyDescent="0.35">
      <c r="B178" s="67"/>
      <c r="C178" s="19">
        <v>0.15</v>
      </c>
      <c r="D178" s="29">
        <f t="shared" ref="D178:X178" si="96">1/(1+EXP(-D204))</f>
        <v>0.67776702827024371</v>
      </c>
      <c r="E178" s="25">
        <f t="shared" si="96"/>
        <v>0.63672525307022909</v>
      </c>
      <c r="F178" s="25">
        <f t="shared" si="96"/>
        <v>0.59359059995561037</v>
      </c>
      <c r="G178" s="25">
        <f t="shared" si="96"/>
        <v>0.5489622993018356</v>
      </c>
      <c r="H178" s="25">
        <f t="shared" si="96"/>
        <v>0.50353215272774987</v>
      </c>
      <c r="I178" s="25">
        <f t="shared" si="96"/>
        <v>0.45804360824245932</v>
      </c>
      <c r="J178" s="25">
        <f t="shared" si="96"/>
        <v>0.41324392842252583</v>
      </c>
      <c r="K178" s="25">
        <f t="shared" si="96"/>
        <v>0.36983583887067939</v>
      </c>
      <c r="L178" s="25">
        <f t="shared" si="96"/>
        <v>0.32843516277495477</v>
      </c>
      <c r="M178" s="25">
        <f t="shared" si="96"/>
        <v>0.28953960433092935</v>
      </c>
      <c r="N178" s="25">
        <f t="shared" si="96"/>
        <v>0.25351148455443578</v>
      </c>
      <c r="O178" s="25">
        <f t="shared" si="96"/>
        <v>0.22057458684281064</v>
      </c>
      <c r="P178" s="25">
        <f t="shared" si="96"/>
        <v>0.1908230454692614</v>
      </c>
      <c r="Q178" s="25">
        <f t="shared" si="96"/>
        <v>0.16423885182170408</v>
      </c>
      <c r="R178" s="25">
        <f t="shared" si="96"/>
        <v>0.1407141542416217</v>
      </c>
      <c r="S178" s="25">
        <f t="shared" si="96"/>
        <v>0.12007490093634825</v>
      </c>
      <c r="T178" s="25">
        <f t="shared" si="96"/>
        <v>0.1021032013278235</v>
      </c>
      <c r="U178" s="25">
        <f t="shared" si="96"/>
        <v>8.6556744567506616E-2</v>
      </c>
      <c r="V178" s="25">
        <f t="shared" si="96"/>
        <v>7.3184488059013245E-2</v>
      </c>
      <c r="W178" s="25">
        <f t="shared" si="96"/>
        <v>6.1738496329644128E-2</v>
      </c>
      <c r="X178" s="30">
        <f t="shared" si="96"/>
        <v>5.1982244317279172E-2</v>
      </c>
    </row>
    <row r="179" spans="2:24" x14ac:dyDescent="0.35">
      <c r="B179" s="67"/>
      <c r="C179" s="19">
        <v>0.1</v>
      </c>
      <c r="D179" s="29">
        <f t="shared" ref="D179:X179" si="97">1/(1+EXP(-D205))</f>
        <v>0.63860673361413089</v>
      </c>
      <c r="E179" s="25">
        <f t="shared" si="97"/>
        <v>0.59555357876975734</v>
      </c>
      <c r="F179" s="25">
        <f t="shared" si="97"/>
        <v>0.55097777681099414</v>
      </c>
      <c r="G179" s="25">
        <f t="shared" si="97"/>
        <v>0.50556779545773489</v>
      </c>
      <c r="H179" s="25">
        <f t="shared" si="97"/>
        <v>0.46006576719843589</v>
      </c>
      <c r="I179" s="25">
        <f t="shared" si="97"/>
        <v>0.41521983639943788</v>
      </c>
      <c r="J179" s="25">
        <f t="shared" si="97"/>
        <v>0.37173568743857238</v>
      </c>
      <c r="K179" s="25">
        <f t="shared" si="97"/>
        <v>0.33023378718460983</v>
      </c>
      <c r="L179" s="25">
        <f t="shared" si="97"/>
        <v>0.29121759100555189</v>
      </c>
      <c r="M179" s="25">
        <f t="shared" si="97"/>
        <v>0.25505563311024426</v>
      </c>
      <c r="N179" s="25">
        <f t="shared" si="97"/>
        <v>0.2219777723156558</v>
      </c>
      <c r="O179" s="25">
        <f t="shared" si="97"/>
        <v>0.19208360930183882</v>
      </c>
      <c r="P179" s="25">
        <f t="shared" si="97"/>
        <v>0.16535968984793442</v>
      </c>
      <c r="Q179" s="25">
        <f t="shared" si="97"/>
        <v>0.14170166913289714</v>
      </c>
      <c r="R179" s="25">
        <f t="shared" si="97"/>
        <v>0.12093795770986997</v>
      </c>
      <c r="S179" s="25">
        <f t="shared" si="97"/>
        <v>0.10285218261049735</v>
      </c>
      <c r="T179" s="25">
        <f t="shared" si="97"/>
        <v>8.7202759910983765E-2</v>
      </c>
      <c r="U179" s="25">
        <f t="shared" si="97"/>
        <v>7.3738756476027845E-2</v>
      </c>
      <c r="V179" s="25">
        <f t="shared" si="97"/>
        <v>6.221189645391894E-2</v>
      </c>
      <c r="W179" s="25">
        <f t="shared" si="97"/>
        <v>5.2385011936535442E-2</v>
      </c>
      <c r="X179" s="30">
        <f t="shared" si="97"/>
        <v>4.4037473910164784E-2</v>
      </c>
    </row>
    <row r="180" spans="2:24" x14ac:dyDescent="0.35">
      <c r="B180" s="67"/>
      <c r="C180" s="19">
        <v>0.05</v>
      </c>
      <c r="D180" s="29">
        <f t="shared" ref="D180:X180" si="98">1/(1+EXP(-D206))</f>
        <v>0.59751350512038903</v>
      </c>
      <c r="E180" s="25">
        <f t="shared" si="98"/>
        <v>0.55299158167309725</v>
      </c>
      <c r="F180" s="25">
        <f t="shared" si="98"/>
        <v>0.50760325360508074</v>
      </c>
      <c r="G180" s="25">
        <f t="shared" si="98"/>
        <v>0.46208924176572674</v>
      </c>
      <c r="H180" s="25">
        <f t="shared" si="98"/>
        <v>0.41719847452697739</v>
      </c>
      <c r="I180" s="25">
        <f t="shared" si="98"/>
        <v>0.37363950887674485</v>
      </c>
      <c r="J180" s="25">
        <f t="shared" si="98"/>
        <v>0.33203739146714289</v>
      </c>
      <c r="K180" s="25">
        <f t="shared" si="98"/>
        <v>0.29290129308662821</v>
      </c>
      <c r="L180" s="25">
        <f t="shared" si="98"/>
        <v>0.25660595399936081</v>
      </c>
      <c r="M180" s="25">
        <f t="shared" si="98"/>
        <v>0.22338732581209908</v>
      </c>
      <c r="N180" s="25">
        <f t="shared" si="98"/>
        <v>0.19335051057193212</v>
      </c>
      <c r="O180" s="25">
        <f t="shared" si="98"/>
        <v>0.16648665323827697</v>
      </c>
      <c r="P180" s="25">
        <f t="shared" si="98"/>
        <v>0.14269496342933907</v>
      </c>
      <c r="Q180" s="25">
        <f t="shared" si="98"/>
        <v>0.12180635911800683</v>
      </c>
      <c r="R180" s="25">
        <f t="shared" si="98"/>
        <v>0.10360602411023011</v>
      </c>
      <c r="S180" s="25">
        <f t="shared" si="98"/>
        <v>8.7853133058196017E-2</v>
      </c>
      <c r="T180" s="25">
        <f t="shared" si="98"/>
        <v>7.4296886177601273E-2</v>
      </c>
      <c r="U180" s="25">
        <f t="shared" si="98"/>
        <v>6.268868399829923E-2</v>
      </c>
      <c r="V180" s="25">
        <f t="shared" si="98"/>
        <v>5.2790726492336612E-2</v>
      </c>
      <c r="W180" s="25">
        <f t="shared" si="98"/>
        <v>4.4381565864835562E-2</v>
      </c>
      <c r="X180" s="30">
        <f t="shared" si="98"/>
        <v>3.7259229576990738E-2</v>
      </c>
    </row>
    <row r="181" spans="2:24" ht="15" thickBot="1" x14ac:dyDescent="0.4">
      <c r="B181" s="68"/>
      <c r="C181" s="20">
        <v>0</v>
      </c>
      <c r="D181" s="31">
        <f t="shared" ref="D181:X181" si="99">1/(1+EXP(-D207))</f>
        <v>0.55500364928403723</v>
      </c>
      <c r="E181" s="32">
        <f t="shared" si="99"/>
        <v>0.50963845971764665</v>
      </c>
      <c r="F181" s="32">
        <f t="shared" si="99"/>
        <v>0.46411396607403993</v>
      </c>
      <c r="G181" s="32">
        <f t="shared" si="99"/>
        <v>0.41917978272885531</v>
      </c>
      <c r="H181" s="32">
        <f t="shared" si="99"/>
        <v>0.37554725233975217</v>
      </c>
      <c r="I181" s="32">
        <f t="shared" si="99"/>
        <v>0.33384593628483689</v>
      </c>
      <c r="J181" s="32">
        <f t="shared" si="99"/>
        <v>0.29459068371509212</v>
      </c>
      <c r="K181" s="32">
        <f t="shared" si="99"/>
        <v>0.25816243259362426</v>
      </c>
      <c r="L181" s="32">
        <f t="shared" si="99"/>
        <v>0.22480324372672322</v>
      </c>
      <c r="M181" s="32">
        <f t="shared" si="99"/>
        <v>0.19462375486911671</v>
      </c>
      <c r="N181" s="32">
        <f t="shared" si="99"/>
        <v>0.16761975467024301</v>
      </c>
      <c r="O181" s="32">
        <f t="shared" si="99"/>
        <v>0.14369405479198569</v>
      </c>
      <c r="P181" s="32">
        <f t="shared" si="99"/>
        <v>0.12268012590035017</v>
      </c>
      <c r="Q181" s="32">
        <f t="shared" si="99"/>
        <v>0.1043647480501757</v>
      </c>
      <c r="R181" s="32">
        <f t="shared" si="99"/>
        <v>8.8507886470003613E-2</v>
      </c>
      <c r="S181" s="32">
        <f t="shared" si="99"/>
        <v>7.4858898954443739E-2</v>
      </c>
      <c r="T181" s="32">
        <f t="shared" si="99"/>
        <v>6.3168879472650735E-2</v>
      </c>
      <c r="U181" s="32">
        <f t="shared" si="99"/>
        <v>5.3199406846125515E-2</v>
      </c>
      <c r="V181" s="32">
        <f t="shared" si="99"/>
        <v>4.4728220626090047E-2</v>
      </c>
      <c r="W181" s="32">
        <f t="shared" si="99"/>
        <v>3.7552439421281128E-2</v>
      </c>
      <c r="X181" s="33">
        <f t="shared" si="99"/>
        <v>3.1489924956623602E-2</v>
      </c>
    </row>
    <row r="182" spans="2:24" x14ac:dyDescent="0.35">
      <c r="C182" s="6"/>
      <c r="D182" s="23">
        <v>0</v>
      </c>
      <c r="E182" s="21">
        <v>0.05</v>
      </c>
      <c r="F182" s="21">
        <v>0.1</v>
      </c>
      <c r="G182" s="21">
        <v>0.15</v>
      </c>
      <c r="H182" s="21">
        <v>0.2</v>
      </c>
      <c r="I182" s="21">
        <v>0.25</v>
      </c>
      <c r="J182" s="21">
        <v>0.3</v>
      </c>
      <c r="K182" s="21">
        <v>0.35</v>
      </c>
      <c r="L182" s="21">
        <v>0.4</v>
      </c>
      <c r="M182" s="21">
        <v>0.45</v>
      </c>
      <c r="N182" s="21">
        <v>0.5</v>
      </c>
      <c r="O182" s="21">
        <v>0.55000000000000004</v>
      </c>
      <c r="P182" s="21">
        <v>0.6</v>
      </c>
      <c r="Q182" s="21">
        <v>0.65</v>
      </c>
      <c r="R182" s="21">
        <v>0.7</v>
      </c>
      <c r="S182" s="21">
        <v>0.75</v>
      </c>
      <c r="T182" s="21">
        <v>0.8</v>
      </c>
      <c r="U182" s="21">
        <v>0.85</v>
      </c>
      <c r="V182" s="21">
        <v>0.9</v>
      </c>
      <c r="W182" s="21">
        <v>0.95</v>
      </c>
      <c r="X182" s="22">
        <v>1</v>
      </c>
    </row>
    <row r="183" spans="2:24" ht="21.5" thickBot="1" x14ac:dyDescent="0.55000000000000004">
      <c r="C183" s="6"/>
      <c r="D183" s="69" t="s">
        <v>54</v>
      </c>
      <c r="E183" s="70"/>
      <c r="F183" s="70"/>
      <c r="G183" s="70"/>
      <c r="H183" s="70"/>
      <c r="I183" s="70"/>
      <c r="J183" s="70"/>
      <c r="K183" s="70"/>
      <c r="L183" s="70"/>
      <c r="M183" s="70"/>
      <c r="N183" s="70"/>
      <c r="O183" s="70"/>
      <c r="P183" s="70"/>
      <c r="Q183" s="70"/>
      <c r="R183" s="70"/>
      <c r="S183" s="70"/>
      <c r="T183" s="70"/>
      <c r="U183" s="70"/>
      <c r="V183" s="70"/>
      <c r="W183" s="70"/>
      <c r="X183" s="71"/>
    </row>
    <row r="185" spans="2:24" ht="15" thickBot="1" x14ac:dyDescent="0.4"/>
    <row r="186" spans="2:24" ht="21.5" thickBot="1" x14ac:dyDescent="0.55000000000000004">
      <c r="B186" s="72" t="s">
        <v>11</v>
      </c>
      <c r="C186" s="73"/>
      <c r="D186" s="73"/>
      <c r="E186" s="73"/>
      <c r="F186" s="73"/>
      <c r="G186" s="73"/>
      <c r="H186" s="73"/>
      <c r="I186" s="73"/>
      <c r="J186" s="73"/>
      <c r="K186" s="73"/>
      <c r="L186" s="73"/>
      <c r="M186" s="73"/>
      <c r="N186" s="73"/>
      <c r="O186" s="73"/>
      <c r="P186" s="73"/>
      <c r="Q186" s="73"/>
      <c r="R186" s="73"/>
      <c r="S186" s="73"/>
      <c r="T186" s="73"/>
      <c r="U186" s="73"/>
      <c r="V186" s="73"/>
      <c r="W186" s="73"/>
      <c r="X186" s="74"/>
    </row>
    <row r="187" spans="2:24" x14ac:dyDescent="0.35">
      <c r="B187" s="66" t="s">
        <v>2</v>
      </c>
      <c r="C187" s="22">
        <v>1</v>
      </c>
      <c r="D187" s="24">
        <f>(D$208 * $P$5) + ($C187 * $P$6) + $P$8</f>
        <v>3.7050433183883991</v>
      </c>
      <c r="E187" s="24">
        <f>(E$208 * $P$5) + ($C187 * $P$6) + $P$8</f>
        <v>3.5226933263376399</v>
      </c>
      <c r="F187" s="24">
        <f t="shared" ref="F187:X200" si="100">(F$208 * $P$5) + ($C187 * $P$6) + $P$8</f>
        <v>3.3403433342868802</v>
      </c>
      <c r="G187" s="24">
        <f t="shared" si="100"/>
        <v>3.157993342236121</v>
      </c>
      <c r="H187" s="24">
        <f t="shared" si="100"/>
        <v>2.9756433501853619</v>
      </c>
      <c r="I187" s="24">
        <f t="shared" si="100"/>
        <v>2.7932933581346027</v>
      </c>
      <c r="J187" s="24">
        <f t="shared" si="100"/>
        <v>2.6109433660838435</v>
      </c>
      <c r="K187" s="24">
        <f t="shared" si="100"/>
        <v>2.4285933740330838</v>
      </c>
      <c r="L187" s="24">
        <f t="shared" si="100"/>
        <v>2.2462433819823242</v>
      </c>
      <c r="M187" s="24">
        <f t="shared" si="100"/>
        <v>2.063893389931565</v>
      </c>
      <c r="N187" s="24">
        <f t="shared" si="100"/>
        <v>1.8815433978808058</v>
      </c>
      <c r="O187" s="24">
        <f t="shared" si="100"/>
        <v>1.6991934058300462</v>
      </c>
      <c r="P187" s="24">
        <f t="shared" si="100"/>
        <v>1.5168434137792874</v>
      </c>
      <c r="Q187" s="24">
        <f t="shared" si="100"/>
        <v>1.3344934217285278</v>
      </c>
      <c r="R187" s="24">
        <f t="shared" si="100"/>
        <v>1.1521434296777686</v>
      </c>
      <c r="S187" s="24">
        <f t="shared" si="100"/>
        <v>0.96979343762700954</v>
      </c>
      <c r="T187" s="24">
        <f t="shared" si="100"/>
        <v>0.7874434455762499</v>
      </c>
      <c r="U187" s="24">
        <f t="shared" si="100"/>
        <v>0.60509345352549071</v>
      </c>
      <c r="V187" s="24">
        <f t="shared" si="100"/>
        <v>0.42274346147473107</v>
      </c>
      <c r="W187" s="24">
        <f t="shared" si="100"/>
        <v>0.24039346942397233</v>
      </c>
      <c r="X187" s="89">
        <f t="shared" si="100"/>
        <v>5.8043477373212693E-2</v>
      </c>
    </row>
    <row r="188" spans="2:24" x14ac:dyDescent="0.35">
      <c r="B188" s="67"/>
      <c r="C188" s="19">
        <v>0.95</v>
      </c>
      <c r="D188" s="24">
        <f t="shared" ref="D188:T207" si="101">(D$208 * $P$5) + ($C188 * $P$6) + $P$8</f>
        <v>3.5308365828448309</v>
      </c>
      <c r="E188" s="24">
        <f t="shared" si="101"/>
        <v>3.3484865907940717</v>
      </c>
      <c r="F188" s="24">
        <f t="shared" si="100"/>
        <v>3.1661365987433121</v>
      </c>
      <c r="G188" s="24">
        <f t="shared" si="100"/>
        <v>2.9837866066925529</v>
      </c>
      <c r="H188" s="24">
        <f t="shared" si="100"/>
        <v>2.8014366146417937</v>
      </c>
      <c r="I188" s="24">
        <f t="shared" si="100"/>
        <v>2.6190866225910345</v>
      </c>
      <c r="J188" s="24">
        <f t="shared" si="100"/>
        <v>2.4367366305402753</v>
      </c>
      <c r="K188" s="24">
        <f t="shared" si="100"/>
        <v>2.2543866384895157</v>
      </c>
      <c r="L188" s="24">
        <f t="shared" si="100"/>
        <v>2.0720366464387565</v>
      </c>
      <c r="M188" s="24">
        <f t="shared" si="100"/>
        <v>1.8896866543879969</v>
      </c>
      <c r="N188" s="24">
        <f t="shared" si="100"/>
        <v>1.7073366623372377</v>
      </c>
      <c r="O188" s="24">
        <f t="shared" si="100"/>
        <v>1.5249866702864781</v>
      </c>
      <c r="P188" s="24">
        <f t="shared" si="100"/>
        <v>1.3426366782357193</v>
      </c>
      <c r="Q188" s="24">
        <f t="shared" si="100"/>
        <v>1.1602866861849597</v>
      </c>
      <c r="R188" s="24">
        <f t="shared" si="100"/>
        <v>0.97793669413420059</v>
      </c>
      <c r="S188" s="24">
        <f t="shared" si="100"/>
        <v>0.7955867020834414</v>
      </c>
      <c r="T188" s="24">
        <f t="shared" si="100"/>
        <v>0.61323671003268176</v>
      </c>
      <c r="U188" s="24">
        <f t="shared" si="100"/>
        <v>0.43088671798192257</v>
      </c>
      <c r="V188" s="24">
        <f t="shared" si="100"/>
        <v>0.24853672593116294</v>
      </c>
      <c r="W188" s="24">
        <f t="shared" si="100"/>
        <v>6.6186733880404192E-2</v>
      </c>
      <c r="X188" s="90">
        <f t="shared" si="100"/>
        <v>-0.11616325817035544</v>
      </c>
    </row>
    <row r="189" spans="2:24" x14ac:dyDescent="0.35">
      <c r="B189" s="67"/>
      <c r="C189" s="19">
        <v>0.9</v>
      </c>
      <c r="D189" s="24">
        <f t="shared" si="101"/>
        <v>3.3566298473012632</v>
      </c>
      <c r="E189" s="24">
        <f t="shared" si="101"/>
        <v>3.174279855250504</v>
      </c>
      <c r="F189" s="24">
        <f t="shared" si="100"/>
        <v>2.9919298631997444</v>
      </c>
      <c r="G189" s="24">
        <f t="shared" si="100"/>
        <v>2.8095798711489852</v>
      </c>
      <c r="H189" s="24">
        <f t="shared" si="100"/>
        <v>2.627229879098226</v>
      </c>
      <c r="I189" s="24">
        <f t="shared" si="100"/>
        <v>2.4448798870474664</v>
      </c>
      <c r="J189" s="24">
        <f t="shared" si="100"/>
        <v>2.2625298949967072</v>
      </c>
      <c r="K189" s="24">
        <f t="shared" si="100"/>
        <v>2.080179902945948</v>
      </c>
      <c r="L189" s="24">
        <f t="shared" si="100"/>
        <v>1.8978299108951888</v>
      </c>
      <c r="M189" s="24">
        <f t="shared" si="100"/>
        <v>1.7154799188444292</v>
      </c>
      <c r="N189" s="24">
        <f t="shared" si="100"/>
        <v>1.53312992679367</v>
      </c>
      <c r="O189" s="24">
        <f t="shared" si="100"/>
        <v>1.3507799347429104</v>
      </c>
      <c r="P189" s="24">
        <f t="shared" si="100"/>
        <v>1.1684299426921516</v>
      </c>
      <c r="Q189" s="24">
        <f t="shared" si="100"/>
        <v>0.98607995064139209</v>
      </c>
      <c r="R189" s="24">
        <f t="shared" si="100"/>
        <v>0.8037299585906329</v>
      </c>
      <c r="S189" s="24">
        <f t="shared" si="100"/>
        <v>0.62137996653987371</v>
      </c>
      <c r="T189" s="24">
        <f t="shared" si="100"/>
        <v>0.43902997448911407</v>
      </c>
      <c r="U189" s="24">
        <f t="shared" si="100"/>
        <v>0.25667998243835488</v>
      </c>
      <c r="V189" s="24">
        <f t="shared" si="100"/>
        <v>7.4329990387595246E-2</v>
      </c>
      <c r="W189" s="24">
        <f t="shared" si="100"/>
        <v>-0.1080200016631635</v>
      </c>
      <c r="X189" s="90">
        <f t="shared" si="100"/>
        <v>-0.29036999371392314</v>
      </c>
    </row>
    <row r="190" spans="2:24" x14ac:dyDescent="0.35">
      <c r="B190" s="67"/>
      <c r="C190" s="19">
        <v>0.85</v>
      </c>
      <c r="D190" s="24">
        <f t="shared" si="101"/>
        <v>3.1824231117576955</v>
      </c>
      <c r="E190" s="24">
        <f t="shared" si="101"/>
        <v>3.0000731197069364</v>
      </c>
      <c r="F190" s="24">
        <f t="shared" si="100"/>
        <v>2.8177231276561767</v>
      </c>
      <c r="G190" s="24">
        <f t="shared" si="100"/>
        <v>2.6353731356054175</v>
      </c>
      <c r="H190" s="24">
        <f t="shared" si="100"/>
        <v>2.4530231435546583</v>
      </c>
      <c r="I190" s="24">
        <f t="shared" si="100"/>
        <v>2.2706731515038991</v>
      </c>
      <c r="J190" s="24">
        <f t="shared" si="100"/>
        <v>2.08832315945314</v>
      </c>
      <c r="K190" s="24">
        <f t="shared" si="100"/>
        <v>1.9059731674023803</v>
      </c>
      <c r="L190" s="24">
        <f t="shared" si="100"/>
        <v>1.7236231753516211</v>
      </c>
      <c r="M190" s="24">
        <f t="shared" si="100"/>
        <v>1.5412731833008615</v>
      </c>
      <c r="N190" s="24">
        <f t="shared" si="100"/>
        <v>1.3589231912501023</v>
      </c>
      <c r="O190" s="24">
        <f t="shared" si="100"/>
        <v>1.1765731991993427</v>
      </c>
      <c r="P190" s="24">
        <f t="shared" si="100"/>
        <v>0.99422320714858403</v>
      </c>
      <c r="Q190" s="24">
        <f t="shared" si="100"/>
        <v>0.8118732150978244</v>
      </c>
      <c r="R190" s="24">
        <f t="shared" si="100"/>
        <v>0.62952322304706521</v>
      </c>
      <c r="S190" s="24">
        <f t="shared" si="100"/>
        <v>0.44717323099630601</v>
      </c>
      <c r="T190" s="24">
        <f t="shared" si="100"/>
        <v>0.26482323894554638</v>
      </c>
      <c r="U190" s="24">
        <f t="shared" si="100"/>
        <v>8.2473246894787189E-2</v>
      </c>
      <c r="V190" s="24">
        <f t="shared" si="100"/>
        <v>-9.9876745155972446E-2</v>
      </c>
      <c r="W190" s="24">
        <f t="shared" si="100"/>
        <v>-0.28222673720673119</v>
      </c>
      <c r="X190" s="90">
        <f t="shared" si="100"/>
        <v>-0.46457672925749083</v>
      </c>
    </row>
    <row r="191" spans="2:24" x14ac:dyDescent="0.35">
      <c r="B191" s="67"/>
      <c r="C191" s="19">
        <v>0.8</v>
      </c>
      <c r="D191" s="24">
        <f t="shared" si="101"/>
        <v>3.0082163762141279</v>
      </c>
      <c r="E191" s="24">
        <f t="shared" si="101"/>
        <v>2.8258663841633687</v>
      </c>
      <c r="F191" s="24">
        <f t="shared" si="100"/>
        <v>2.643516392112609</v>
      </c>
      <c r="G191" s="24">
        <f t="shared" si="100"/>
        <v>2.4611664000618498</v>
      </c>
      <c r="H191" s="24">
        <f t="shared" si="100"/>
        <v>2.2788164080110906</v>
      </c>
      <c r="I191" s="24">
        <f t="shared" si="100"/>
        <v>2.0964664159603315</v>
      </c>
      <c r="J191" s="24">
        <f t="shared" si="100"/>
        <v>1.9141164239095723</v>
      </c>
      <c r="K191" s="24">
        <f t="shared" si="100"/>
        <v>1.7317664318588126</v>
      </c>
      <c r="L191" s="24">
        <f t="shared" si="100"/>
        <v>1.5494164398080534</v>
      </c>
      <c r="M191" s="24">
        <f t="shared" si="100"/>
        <v>1.3670664477572938</v>
      </c>
      <c r="N191" s="24">
        <f t="shared" si="100"/>
        <v>1.1847164557065346</v>
      </c>
      <c r="O191" s="24">
        <f t="shared" si="100"/>
        <v>1.002366463655775</v>
      </c>
      <c r="P191" s="24">
        <f t="shared" si="100"/>
        <v>0.82001647160501634</v>
      </c>
      <c r="Q191" s="24">
        <f t="shared" si="100"/>
        <v>0.6376664795542567</v>
      </c>
      <c r="R191" s="24">
        <f t="shared" si="100"/>
        <v>0.45531648750349751</v>
      </c>
      <c r="S191" s="24">
        <f t="shared" si="100"/>
        <v>0.27296649545273832</v>
      </c>
      <c r="T191" s="24">
        <f t="shared" si="100"/>
        <v>9.0616503401978687E-2</v>
      </c>
      <c r="U191" s="24">
        <f t="shared" si="100"/>
        <v>-9.1733488648780503E-2</v>
      </c>
      <c r="V191" s="24">
        <f t="shared" si="100"/>
        <v>-0.27408348069954014</v>
      </c>
      <c r="W191" s="24">
        <f t="shared" si="100"/>
        <v>-0.45643347275029889</v>
      </c>
      <c r="X191" s="90">
        <f t="shared" si="100"/>
        <v>-0.63878346480105852</v>
      </c>
    </row>
    <row r="192" spans="2:24" x14ac:dyDescent="0.35">
      <c r="B192" s="67"/>
      <c r="C192" s="19">
        <v>0.75</v>
      </c>
      <c r="D192" s="24">
        <f t="shared" si="101"/>
        <v>2.8340096406705597</v>
      </c>
      <c r="E192" s="24">
        <f t="shared" si="101"/>
        <v>2.6516596486198005</v>
      </c>
      <c r="F192" s="24">
        <f t="shared" si="100"/>
        <v>2.4693096565690409</v>
      </c>
      <c r="G192" s="24">
        <f t="shared" si="100"/>
        <v>2.2869596645182817</v>
      </c>
      <c r="H192" s="24">
        <f t="shared" si="100"/>
        <v>2.1046096724675225</v>
      </c>
      <c r="I192" s="24">
        <f t="shared" si="100"/>
        <v>1.9222596804167633</v>
      </c>
      <c r="J192" s="24">
        <f t="shared" si="100"/>
        <v>1.7399096883660041</v>
      </c>
      <c r="K192" s="24">
        <f t="shared" si="100"/>
        <v>1.5575596963152445</v>
      </c>
      <c r="L192" s="24">
        <f t="shared" si="100"/>
        <v>1.3752097042644853</v>
      </c>
      <c r="M192" s="24">
        <f t="shared" si="100"/>
        <v>1.1928597122137257</v>
      </c>
      <c r="N192" s="24">
        <f t="shared" si="100"/>
        <v>1.0105097201629665</v>
      </c>
      <c r="O192" s="24">
        <f t="shared" si="100"/>
        <v>0.82815972811220695</v>
      </c>
      <c r="P192" s="24">
        <f t="shared" si="100"/>
        <v>0.6458097360614482</v>
      </c>
      <c r="Q192" s="24">
        <f t="shared" si="100"/>
        <v>0.46345974401068857</v>
      </c>
      <c r="R192" s="24">
        <f t="shared" si="100"/>
        <v>0.28110975195992938</v>
      </c>
      <c r="S192" s="24">
        <f t="shared" si="100"/>
        <v>9.8759759909170186E-2</v>
      </c>
      <c r="T192" s="24">
        <f t="shared" si="100"/>
        <v>-8.3590232141589449E-2</v>
      </c>
      <c r="U192" s="24">
        <f t="shared" si="100"/>
        <v>-0.26594022419234864</v>
      </c>
      <c r="V192" s="24">
        <f t="shared" si="100"/>
        <v>-0.44829021624310827</v>
      </c>
      <c r="W192" s="24">
        <f t="shared" si="100"/>
        <v>-0.63064020829386702</v>
      </c>
      <c r="X192" s="90">
        <f t="shared" si="100"/>
        <v>-0.81299020034462666</v>
      </c>
    </row>
    <row r="193" spans="2:24" x14ac:dyDescent="0.35">
      <c r="B193" s="67"/>
      <c r="C193" s="19">
        <v>0.7</v>
      </c>
      <c r="D193" s="24">
        <f t="shared" si="101"/>
        <v>2.659802905126992</v>
      </c>
      <c r="E193" s="24">
        <f t="shared" si="101"/>
        <v>2.4774529130762328</v>
      </c>
      <c r="F193" s="24">
        <f t="shared" si="100"/>
        <v>2.2951029210254732</v>
      </c>
      <c r="G193" s="24">
        <f t="shared" si="100"/>
        <v>2.112752928974714</v>
      </c>
      <c r="H193" s="24">
        <f t="shared" si="100"/>
        <v>1.9304029369239548</v>
      </c>
      <c r="I193" s="24">
        <f t="shared" si="100"/>
        <v>1.7480529448731956</v>
      </c>
      <c r="J193" s="24">
        <f t="shared" si="100"/>
        <v>1.5657029528224364</v>
      </c>
      <c r="K193" s="24">
        <f t="shared" si="100"/>
        <v>1.3833529607716768</v>
      </c>
      <c r="L193" s="24">
        <f t="shared" si="100"/>
        <v>1.2010029687209176</v>
      </c>
      <c r="M193" s="24">
        <f t="shared" si="100"/>
        <v>1.018652976670158</v>
      </c>
      <c r="N193" s="24">
        <f t="shared" si="100"/>
        <v>0.83630298461939889</v>
      </c>
      <c r="O193" s="24">
        <f t="shared" si="100"/>
        <v>0.65395299256863926</v>
      </c>
      <c r="P193" s="24">
        <f t="shared" si="100"/>
        <v>0.47160300051788051</v>
      </c>
      <c r="Q193" s="24">
        <f t="shared" si="100"/>
        <v>0.28925300846712088</v>
      </c>
      <c r="R193" s="24">
        <f t="shared" si="100"/>
        <v>0.10690301641636168</v>
      </c>
      <c r="S193" s="24">
        <f t="shared" si="100"/>
        <v>-7.5446975634397506E-2</v>
      </c>
      <c r="T193" s="24">
        <f t="shared" si="100"/>
        <v>-0.25779696768515714</v>
      </c>
      <c r="U193" s="24">
        <f t="shared" si="100"/>
        <v>-0.44014695973591633</v>
      </c>
      <c r="V193" s="24">
        <f t="shared" si="100"/>
        <v>-0.62249695178667597</v>
      </c>
      <c r="W193" s="24">
        <f t="shared" si="100"/>
        <v>-0.80484694383743471</v>
      </c>
      <c r="X193" s="90">
        <f t="shared" si="100"/>
        <v>-0.98719693588819435</v>
      </c>
    </row>
    <row r="194" spans="2:24" x14ac:dyDescent="0.35">
      <c r="B194" s="67"/>
      <c r="C194" s="19">
        <v>0.65</v>
      </c>
      <c r="D194" s="24">
        <f t="shared" si="101"/>
        <v>2.4855961695834243</v>
      </c>
      <c r="E194" s="24">
        <f t="shared" si="101"/>
        <v>2.3032461775326651</v>
      </c>
      <c r="F194" s="24">
        <f t="shared" si="100"/>
        <v>2.1208961854819059</v>
      </c>
      <c r="G194" s="24">
        <f t="shared" si="100"/>
        <v>1.9385461934311463</v>
      </c>
      <c r="H194" s="24">
        <f t="shared" si="100"/>
        <v>1.7561962013803871</v>
      </c>
      <c r="I194" s="24">
        <f t="shared" si="100"/>
        <v>1.5738462093296279</v>
      </c>
      <c r="J194" s="24">
        <f t="shared" si="100"/>
        <v>1.3914962172788687</v>
      </c>
      <c r="K194" s="24">
        <f t="shared" si="100"/>
        <v>1.2091462252281091</v>
      </c>
      <c r="L194" s="24">
        <f t="shared" si="100"/>
        <v>1.0267962331773499</v>
      </c>
      <c r="M194" s="24">
        <f t="shared" si="100"/>
        <v>0.84444624112659039</v>
      </c>
      <c r="N194" s="24">
        <f t="shared" si="100"/>
        <v>0.6620962490758312</v>
      </c>
      <c r="O194" s="24">
        <f t="shared" si="100"/>
        <v>0.47974625702507157</v>
      </c>
      <c r="P194" s="24">
        <f t="shared" si="100"/>
        <v>0.29739626497431282</v>
      </c>
      <c r="Q194" s="24">
        <f t="shared" si="100"/>
        <v>0.11504627292355318</v>
      </c>
      <c r="R194" s="24">
        <f t="shared" si="100"/>
        <v>-6.7303719127206008E-2</v>
      </c>
      <c r="S194" s="24">
        <f t="shared" si="100"/>
        <v>-0.2496537111779652</v>
      </c>
      <c r="T194" s="24">
        <f t="shared" si="100"/>
        <v>-0.43200370322872483</v>
      </c>
      <c r="U194" s="24">
        <f t="shared" si="100"/>
        <v>-0.61435369527948402</v>
      </c>
      <c r="V194" s="24">
        <f t="shared" si="100"/>
        <v>-0.79670368733024366</v>
      </c>
      <c r="W194" s="24">
        <f t="shared" si="100"/>
        <v>-0.97905367938100241</v>
      </c>
      <c r="X194" s="90">
        <f t="shared" si="100"/>
        <v>-1.1614036714317622</v>
      </c>
    </row>
    <row r="195" spans="2:24" x14ac:dyDescent="0.35">
      <c r="B195" s="67"/>
      <c r="C195" s="19">
        <v>0.6</v>
      </c>
      <c r="D195" s="24">
        <f t="shared" si="101"/>
        <v>2.3113894340398562</v>
      </c>
      <c r="E195" s="24">
        <f t="shared" si="101"/>
        <v>2.129039441989097</v>
      </c>
      <c r="F195" s="24">
        <f t="shared" si="100"/>
        <v>1.9466894499383378</v>
      </c>
      <c r="G195" s="24">
        <f t="shared" si="100"/>
        <v>1.7643394578875782</v>
      </c>
      <c r="H195" s="24">
        <f t="shared" si="100"/>
        <v>1.581989465836819</v>
      </c>
      <c r="I195" s="24">
        <f t="shared" si="100"/>
        <v>1.3996394737860598</v>
      </c>
      <c r="J195" s="24">
        <f t="shared" si="100"/>
        <v>1.2172894817353006</v>
      </c>
      <c r="K195" s="24">
        <f t="shared" si="100"/>
        <v>1.034939489684541</v>
      </c>
      <c r="L195" s="24">
        <f t="shared" si="100"/>
        <v>0.85258949763378167</v>
      </c>
      <c r="M195" s="24">
        <f t="shared" si="100"/>
        <v>0.67023950558302225</v>
      </c>
      <c r="N195" s="24">
        <f t="shared" si="100"/>
        <v>0.48788951353226306</v>
      </c>
      <c r="O195" s="24">
        <f t="shared" si="100"/>
        <v>0.30553952148150343</v>
      </c>
      <c r="P195" s="24">
        <f t="shared" si="100"/>
        <v>0.12318952943074468</v>
      </c>
      <c r="Q195" s="24">
        <f t="shared" si="100"/>
        <v>-5.9160462620014953E-2</v>
      </c>
      <c r="R195" s="24">
        <f t="shared" si="100"/>
        <v>-0.24151045467077414</v>
      </c>
      <c r="S195" s="24">
        <f t="shared" si="100"/>
        <v>-0.42386044672153333</v>
      </c>
      <c r="T195" s="24">
        <f t="shared" si="100"/>
        <v>-0.60621043877229297</v>
      </c>
      <c r="U195" s="24">
        <f t="shared" si="100"/>
        <v>-0.78856043082305216</v>
      </c>
      <c r="V195" s="24">
        <f t="shared" si="100"/>
        <v>-0.9709104228738118</v>
      </c>
      <c r="W195" s="24">
        <f t="shared" si="100"/>
        <v>-1.1532604149245707</v>
      </c>
      <c r="X195" s="90">
        <f t="shared" si="100"/>
        <v>-1.3356104069753303</v>
      </c>
    </row>
    <row r="196" spans="2:24" x14ac:dyDescent="0.35">
      <c r="B196" s="67"/>
      <c r="C196" s="19">
        <v>0.55000000000000004</v>
      </c>
      <c r="D196" s="24">
        <f t="shared" si="101"/>
        <v>2.1371826984962885</v>
      </c>
      <c r="E196" s="24">
        <f t="shared" si="101"/>
        <v>1.9548327064455293</v>
      </c>
      <c r="F196" s="24">
        <f t="shared" si="100"/>
        <v>1.7724827143947701</v>
      </c>
      <c r="G196" s="24">
        <f t="shared" si="100"/>
        <v>1.5901327223440105</v>
      </c>
      <c r="H196" s="24">
        <f t="shared" si="100"/>
        <v>1.4077827302932513</v>
      </c>
      <c r="I196" s="24">
        <f t="shared" si="100"/>
        <v>1.2254327382424921</v>
      </c>
      <c r="J196" s="24">
        <f t="shared" si="100"/>
        <v>1.0430827461917329</v>
      </c>
      <c r="K196" s="24">
        <f t="shared" si="100"/>
        <v>0.86073275414097339</v>
      </c>
      <c r="L196" s="24">
        <f t="shared" si="100"/>
        <v>0.67838276209021398</v>
      </c>
      <c r="M196" s="24">
        <f t="shared" si="100"/>
        <v>0.49603277003945456</v>
      </c>
      <c r="N196" s="24">
        <f t="shared" si="100"/>
        <v>0.31368277798869537</v>
      </c>
      <c r="O196" s="24">
        <f t="shared" si="100"/>
        <v>0.13133278593793574</v>
      </c>
      <c r="P196" s="24">
        <f t="shared" si="100"/>
        <v>-5.101720611282301E-2</v>
      </c>
      <c r="Q196" s="24">
        <f t="shared" si="100"/>
        <v>-0.23336719816358265</v>
      </c>
      <c r="R196" s="24">
        <f t="shared" si="100"/>
        <v>-0.41571719021434184</v>
      </c>
      <c r="S196" s="24">
        <f t="shared" si="100"/>
        <v>-0.59806718226510103</v>
      </c>
      <c r="T196" s="24">
        <f t="shared" si="100"/>
        <v>-0.78041717431586066</v>
      </c>
      <c r="U196" s="24">
        <f t="shared" si="100"/>
        <v>-0.96276716636661985</v>
      </c>
      <c r="V196" s="24">
        <f t="shared" si="100"/>
        <v>-1.1451171584173796</v>
      </c>
      <c r="W196" s="24">
        <f t="shared" si="100"/>
        <v>-1.3274671504681383</v>
      </c>
      <c r="X196" s="90">
        <f t="shared" si="100"/>
        <v>-1.509817142518898</v>
      </c>
    </row>
    <row r="197" spans="2:24" x14ac:dyDescent="0.35">
      <c r="B197" s="67"/>
      <c r="C197" s="19">
        <v>0.5</v>
      </c>
      <c r="D197" s="24">
        <f t="shared" si="101"/>
        <v>1.9629759629527208</v>
      </c>
      <c r="E197" s="24">
        <f t="shared" si="101"/>
        <v>1.7806259709019612</v>
      </c>
      <c r="F197" s="24">
        <f t="shared" si="100"/>
        <v>1.598275978851202</v>
      </c>
      <c r="G197" s="24">
        <f t="shared" si="100"/>
        <v>1.4159259868004428</v>
      </c>
      <c r="H197" s="24">
        <f t="shared" si="100"/>
        <v>1.2335759947496832</v>
      </c>
      <c r="I197" s="24">
        <f t="shared" si="100"/>
        <v>1.051226002698924</v>
      </c>
      <c r="J197" s="24">
        <f t="shared" si="100"/>
        <v>0.86887601064816489</v>
      </c>
      <c r="K197" s="24">
        <f t="shared" si="100"/>
        <v>0.68652601859740547</v>
      </c>
      <c r="L197" s="24">
        <f t="shared" si="100"/>
        <v>0.50417602654664606</v>
      </c>
      <c r="M197" s="24">
        <f t="shared" si="100"/>
        <v>0.32182603449588665</v>
      </c>
      <c r="N197" s="24">
        <f t="shared" si="100"/>
        <v>0.13947604244512746</v>
      </c>
      <c r="O197" s="24">
        <f t="shared" si="100"/>
        <v>-4.2873949605632178E-2</v>
      </c>
      <c r="P197" s="24">
        <f t="shared" si="100"/>
        <v>-0.22522394165639092</v>
      </c>
      <c r="Q197" s="24">
        <f t="shared" si="100"/>
        <v>-0.40757393370715056</v>
      </c>
      <c r="R197" s="24">
        <f t="shared" si="100"/>
        <v>-0.58992392575790975</v>
      </c>
      <c r="S197" s="24">
        <f t="shared" si="100"/>
        <v>-0.77227391780866894</v>
      </c>
      <c r="T197" s="24">
        <f t="shared" si="100"/>
        <v>-0.95462390985942858</v>
      </c>
      <c r="U197" s="24">
        <f t="shared" si="100"/>
        <v>-1.1369739019101877</v>
      </c>
      <c r="V197" s="24">
        <f t="shared" si="100"/>
        <v>-1.3193238939609473</v>
      </c>
      <c r="W197" s="24">
        <f t="shared" si="100"/>
        <v>-1.501673886011706</v>
      </c>
      <c r="X197" s="90">
        <f t="shared" si="100"/>
        <v>-1.6840238780624657</v>
      </c>
    </row>
    <row r="198" spans="2:24" x14ac:dyDescent="0.35">
      <c r="B198" s="67"/>
      <c r="C198" s="19">
        <v>0.45</v>
      </c>
      <c r="D198" s="24">
        <f t="shared" si="101"/>
        <v>1.7887692274091527</v>
      </c>
      <c r="E198" s="24">
        <f t="shared" si="101"/>
        <v>1.6064192353583935</v>
      </c>
      <c r="F198" s="24">
        <f t="shared" si="100"/>
        <v>1.4240692433076343</v>
      </c>
      <c r="G198" s="24">
        <f t="shared" si="100"/>
        <v>1.2417192512568747</v>
      </c>
      <c r="H198" s="24">
        <f t="shared" si="100"/>
        <v>1.0593692592061155</v>
      </c>
      <c r="I198" s="24">
        <f t="shared" si="100"/>
        <v>0.87701926715535616</v>
      </c>
      <c r="J198" s="24">
        <f t="shared" si="100"/>
        <v>0.69466927510459697</v>
      </c>
      <c r="K198" s="24">
        <f t="shared" si="100"/>
        <v>0.51231928305383756</v>
      </c>
      <c r="L198" s="24">
        <f t="shared" si="100"/>
        <v>0.32996929100307815</v>
      </c>
      <c r="M198" s="24">
        <f t="shared" si="100"/>
        <v>0.14761929895231873</v>
      </c>
      <c r="N198" s="24">
        <f t="shared" si="100"/>
        <v>-3.4730693098440457E-2</v>
      </c>
      <c r="O198" s="24">
        <f t="shared" si="100"/>
        <v>-0.21708068514920009</v>
      </c>
      <c r="P198" s="24">
        <f t="shared" si="100"/>
        <v>-0.39943067719995884</v>
      </c>
      <c r="Q198" s="24">
        <f t="shared" si="100"/>
        <v>-0.58178066925071847</v>
      </c>
      <c r="R198" s="24">
        <f t="shared" si="100"/>
        <v>-0.76413066130147766</v>
      </c>
      <c r="S198" s="24">
        <f t="shared" si="100"/>
        <v>-0.94648065335223686</v>
      </c>
      <c r="T198" s="24">
        <f t="shared" si="100"/>
        <v>-1.1288306454029966</v>
      </c>
      <c r="U198" s="24">
        <f t="shared" si="100"/>
        <v>-1.3111806374537558</v>
      </c>
      <c r="V198" s="24">
        <f t="shared" si="100"/>
        <v>-1.4935306295045154</v>
      </c>
      <c r="W198" s="24">
        <f t="shared" si="100"/>
        <v>-1.6758806215552742</v>
      </c>
      <c r="X198" s="90">
        <f t="shared" si="100"/>
        <v>-1.8582306136060338</v>
      </c>
    </row>
    <row r="199" spans="2:24" x14ac:dyDescent="0.35">
      <c r="B199" s="67"/>
      <c r="C199" s="19">
        <v>0.4</v>
      </c>
      <c r="D199" s="24">
        <f t="shared" si="101"/>
        <v>1.614562491865585</v>
      </c>
      <c r="E199" s="24">
        <f t="shared" si="101"/>
        <v>1.4322124998148258</v>
      </c>
      <c r="F199" s="24">
        <f t="shared" si="100"/>
        <v>1.2498625077640666</v>
      </c>
      <c r="G199" s="24">
        <f t="shared" si="100"/>
        <v>1.0675125157133072</v>
      </c>
      <c r="H199" s="24">
        <f t="shared" si="100"/>
        <v>0.88516252366254777</v>
      </c>
      <c r="I199" s="24">
        <f t="shared" si="100"/>
        <v>0.70281253161178847</v>
      </c>
      <c r="J199" s="24">
        <f t="shared" si="100"/>
        <v>0.52046253956102928</v>
      </c>
      <c r="K199" s="24">
        <f t="shared" si="100"/>
        <v>0.33811254751026987</v>
      </c>
      <c r="L199" s="24">
        <f t="shared" si="100"/>
        <v>0.15576255545951045</v>
      </c>
      <c r="M199" s="24">
        <f t="shared" si="100"/>
        <v>-2.6587436591248959E-2</v>
      </c>
      <c r="N199" s="24">
        <f t="shared" si="100"/>
        <v>-0.20893742864200815</v>
      </c>
      <c r="O199" s="24">
        <f t="shared" si="100"/>
        <v>-0.39128742069276778</v>
      </c>
      <c r="P199" s="24">
        <f t="shared" si="100"/>
        <v>-0.57363741274352653</v>
      </c>
      <c r="Q199" s="24">
        <f t="shared" si="100"/>
        <v>-0.75598740479428617</v>
      </c>
      <c r="R199" s="24">
        <f t="shared" si="100"/>
        <v>-0.93833739684504536</v>
      </c>
      <c r="S199" s="24">
        <f t="shared" si="100"/>
        <v>-1.1206873888958047</v>
      </c>
      <c r="T199" s="24">
        <f t="shared" si="100"/>
        <v>-1.3030373809465643</v>
      </c>
      <c r="U199" s="24">
        <f t="shared" si="100"/>
        <v>-1.4853873729973235</v>
      </c>
      <c r="V199" s="24">
        <f t="shared" si="100"/>
        <v>-1.6677373650480831</v>
      </c>
      <c r="W199" s="24">
        <f t="shared" si="100"/>
        <v>-1.8500873570988419</v>
      </c>
      <c r="X199" s="90">
        <f t="shared" si="100"/>
        <v>-2.0324373491496015</v>
      </c>
    </row>
    <row r="200" spans="2:24" x14ac:dyDescent="0.35">
      <c r="B200" s="67"/>
      <c r="C200" s="19">
        <v>0.35</v>
      </c>
      <c r="D200" s="24">
        <f t="shared" si="101"/>
        <v>1.4403557563220173</v>
      </c>
      <c r="E200" s="24">
        <f t="shared" si="101"/>
        <v>1.2580057642712577</v>
      </c>
      <c r="F200" s="24">
        <f t="shared" si="100"/>
        <v>1.0756557722204985</v>
      </c>
      <c r="G200" s="24">
        <f t="shared" si="100"/>
        <v>0.89330578016973927</v>
      </c>
      <c r="H200" s="24">
        <f t="shared" si="100"/>
        <v>0.71095578811897986</v>
      </c>
      <c r="I200" s="24">
        <f t="shared" si="100"/>
        <v>0.52860579606822056</v>
      </c>
      <c r="J200" s="24">
        <f t="shared" si="100"/>
        <v>0.34625580401746137</v>
      </c>
      <c r="K200" s="24">
        <f t="shared" si="100"/>
        <v>0.16390581196670195</v>
      </c>
      <c r="L200" s="24">
        <f t="shared" si="100"/>
        <v>-1.844418008405746E-2</v>
      </c>
      <c r="M200" s="24">
        <f t="shared" si="100"/>
        <v>-0.20079417213481687</v>
      </c>
      <c r="N200" s="24">
        <f t="shared" ref="N200:X207" si="102">(N$208 * $P$5) + ($C200 * $P$6) + $P$8</f>
        <v>-0.38314416418557606</v>
      </c>
      <c r="O200" s="24">
        <f t="shared" si="102"/>
        <v>-0.5654941562363357</v>
      </c>
      <c r="P200" s="24">
        <f t="shared" si="102"/>
        <v>-0.74784414828709445</v>
      </c>
      <c r="Q200" s="24">
        <f t="shared" si="102"/>
        <v>-0.93019414033785408</v>
      </c>
      <c r="R200" s="24">
        <f t="shared" si="102"/>
        <v>-1.1125441323886132</v>
      </c>
      <c r="S200" s="24">
        <f t="shared" si="102"/>
        <v>-1.2948941244393724</v>
      </c>
      <c r="T200" s="24">
        <f t="shared" si="102"/>
        <v>-1.477244116490132</v>
      </c>
      <c r="U200" s="24">
        <f t="shared" si="102"/>
        <v>-1.6595941085408912</v>
      </c>
      <c r="V200" s="24">
        <f t="shared" si="102"/>
        <v>-1.8419441005916508</v>
      </c>
      <c r="W200" s="24">
        <f t="shared" si="102"/>
        <v>-2.02429409264241</v>
      </c>
      <c r="X200" s="90">
        <f t="shared" si="102"/>
        <v>-2.2066440846931692</v>
      </c>
    </row>
    <row r="201" spans="2:24" x14ac:dyDescent="0.35">
      <c r="B201" s="67"/>
      <c r="C201" s="19">
        <v>0.3</v>
      </c>
      <c r="D201" s="24">
        <f t="shared" si="101"/>
        <v>1.2661490207784492</v>
      </c>
      <c r="E201" s="24">
        <f t="shared" si="101"/>
        <v>1.08379902872769</v>
      </c>
      <c r="F201" s="24">
        <f t="shared" si="101"/>
        <v>0.90144903667693066</v>
      </c>
      <c r="G201" s="24">
        <f t="shared" si="101"/>
        <v>0.71909904462617136</v>
      </c>
      <c r="H201" s="24">
        <f t="shared" si="101"/>
        <v>0.53674905257541194</v>
      </c>
      <c r="I201" s="24">
        <f t="shared" si="101"/>
        <v>0.35439906052465264</v>
      </c>
      <c r="J201" s="24">
        <f t="shared" si="101"/>
        <v>0.17204906847389345</v>
      </c>
      <c r="K201" s="24">
        <f t="shared" si="101"/>
        <v>-1.0300923576865961E-2</v>
      </c>
      <c r="L201" s="24">
        <f t="shared" si="101"/>
        <v>-0.19265091562762537</v>
      </c>
      <c r="M201" s="24">
        <f t="shared" si="101"/>
        <v>-0.37500090767838479</v>
      </c>
      <c r="N201" s="24">
        <f t="shared" si="101"/>
        <v>-0.55735089972914398</v>
      </c>
      <c r="O201" s="24">
        <f t="shared" si="101"/>
        <v>-0.73970089177990361</v>
      </c>
      <c r="P201" s="24">
        <f t="shared" si="101"/>
        <v>-0.92205088383066236</v>
      </c>
      <c r="Q201" s="24">
        <f t="shared" si="101"/>
        <v>-1.1044008758814221</v>
      </c>
      <c r="R201" s="24">
        <f t="shared" si="101"/>
        <v>-1.2867508679321813</v>
      </c>
      <c r="S201" s="24">
        <f t="shared" si="101"/>
        <v>-1.4691008599829405</v>
      </c>
      <c r="T201" s="24">
        <f t="shared" si="101"/>
        <v>-1.6514508520337001</v>
      </c>
      <c r="U201" s="24">
        <f t="shared" si="102"/>
        <v>-1.8338008440844593</v>
      </c>
      <c r="V201" s="24">
        <f t="shared" si="102"/>
        <v>-2.0161508361352189</v>
      </c>
      <c r="W201" s="24">
        <f t="shared" si="102"/>
        <v>-2.1985008281859777</v>
      </c>
      <c r="X201" s="90">
        <f t="shared" si="102"/>
        <v>-2.3808508202367373</v>
      </c>
    </row>
    <row r="202" spans="2:24" x14ac:dyDescent="0.35">
      <c r="B202" s="67"/>
      <c r="C202" s="19">
        <v>0.25</v>
      </c>
      <c r="D202" s="24">
        <f t="shared" si="101"/>
        <v>1.0919422852348815</v>
      </c>
      <c r="E202" s="24">
        <f t="shared" si="101"/>
        <v>0.90959229318412216</v>
      </c>
      <c r="F202" s="24">
        <f t="shared" si="101"/>
        <v>0.72724230113336275</v>
      </c>
      <c r="G202" s="24">
        <f t="shared" si="101"/>
        <v>0.54489230908260355</v>
      </c>
      <c r="H202" s="24">
        <f t="shared" si="101"/>
        <v>0.36254231703184414</v>
      </c>
      <c r="I202" s="24">
        <f t="shared" si="101"/>
        <v>0.18019232498108484</v>
      </c>
      <c r="J202" s="24">
        <f t="shared" si="101"/>
        <v>-2.1576670696743516E-3</v>
      </c>
      <c r="K202" s="24">
        <f t="shared" si="101"/>
        <v>-0.18450765912043376</v>
      </c>
      <c r="L202" s="24">
        <f t="shared" si="101"/>
        <v>-0.36685765117119318</v>
      </c>
      <c r="M202" s="24">
        <f t="shared" si="101"/>
        <v>-0.54920764322195259</v>
      </c>
      <c r="N202" s="24">
        <f t="shared" si="101"/>
        <v>-0.73155763527271178</v>
      </c>
      <c r="O202" s="24">
        <f t="shared" si="101"/>
        <v>-0.91390762732347131</v>
      </c>
      <c r="P202" s="24">
        <f t="shared" si="101"/>
        <v>-1.0962576193742302</v>
      </c>
      <c r="Q202" s="24">
        <f t="shared" si="101"/>
        <v>-1.2786076114249898</v>
      </c>
      <c r="R202" s="24">
        <f t="shared" si="101"/>
        <v>-1.460957603475749</v>
      </c>
      <c r="S202" s="24">
        <f t="shared" si="101"/>
        <v>-1.6433075955265082</v>
      </c>
      <c r="T202" s="24">
        <f t="shared" si="101"/>
        <v>-1.8256575875772678</v>
      </c>
      <c r="U202" s="24">
        <f t="shared" si="102"/>
        <v>-2.008007579628027</v>
      </c>
      <c r="V202" s="24">
        <f t="shared" si="102"/>
        <v>-2.1903575716787866</v>
      </c>
      <c r="W202" s="24">
        <f t="shared" si="102"/>
        <v>-2.3727075637295454</v>
      </c>
      <c r="X202" s="90">
        <f t="shared" si="102"/>
        <v>-2.555057555780305</v>
      </c>
    </row>
    <row r="203" spans="2:24" x14ac:dyDescent="0.35">
      <c r="B203" s="67"/>
      <c r="C203" s="19">
        <v>0.2</v>
      </c>
      <c r="D203" s="24">
        <f t="shared" si="101"/>
        <v>0.91773554969131366</v>
      </c>
      <c r="E203" s="24">
        <f t="shared" si="101"/>
        <v>0.73538555764055435</v>
      </c>
      <c r="F203" s="24">
        <f t="shared" si="101"/>
        <v>0.55303556558979494</v>
      </c>
      <c r="G203" s="24">
        <f t="shared" si="101"/>
        <v>0.37068557353903575</v>
      </c>
      <c r="H203" s="24">
        <f t="shared" si="101"/>
        <v>0.18833558148827634</v>
      </c>
      <c r="I203" s="24">
        <f t="shared" si="101"/>
        <v>5.985589437517036E-3</v>
      </c>
      <c r="J203" s="24">
        <f t="shared" si="101"/>
        <v>-0.17636440261324215</v>
      </c>
      <c r="K203" s="24">
        <f t="shared" si="101"/>
        <v>-0.35871439466400157</v>
      </c>
      <c r="L203" s="24">
        <f t="shared" si="101"/>
        <v>-0.54106438671476098</v>
      </c>
      <c r="M203" s="24">
        <f t="shared" si="101"/>
        <v>-0.72341437876552039</v>
      </c>
      <c r="N203" s="24">
        <f t="shared" si="101"/>
        <v>-0.90576437081627958</v>
      </c>
      <c r="O203" s="24">
        <f t="shared" si="101"/>
        <v>-1.0881143628670391</v>
      </c>
      <c r="P203" s="24">
        <f t="shared" si="101"/>
        <v>-1.2704643549177979</v>
      </c>
      <c r="Q203" s="24">
        <f t="shared" si="101"/>
        <v>-1.4528143469685575</v>
      </c>
      <c r="R203" s="24">
        <f t="shared" si="101"/>
        <v>-1.6351643390193167</v>
      </c>
      <c r="S203" s="24">
        <f t="shared" si="101"/>
        <v>-1.8175143310700759</v>
      </c>
      <c r="T203" s="24">
        <f t="shared" si="101"/>
        <v>-1.999864323120836</v>
      </c>
      <c r="U203" s="24">
        <f t="shared" si="102"/>
        <v>-2.1822143151715951</v>
      </c>
      <c r="V203" s="24">
        <f t="shared" si="102"/>
        <v>-2.3645643072223543</v>
      </c>
      <c r="W203" s="24">
        <f t="shared" si="102"/>
        <v>-2.5469142992731135</v>
      </c>
      <c r="X203" s="90">
        <f t="shared" si="102"/>
        <v>-2.7292642913238727</v>
      </c>
    </row>
    <row r="204" spans="2:24" x14ac:dyDescent="0.35">
      <c r="B204" s="67"/>
      <c r="C204" s="19">
        <v>0.15</v>
      </c>
      <c r="D204" s="24">
        <f t="shared" si="101"/>
        <v>0.74352881414774574</v>
      </c>
      <c r="E204" s="24">
        <f t="shared" si="101"/>
        <v>0.56117882209698644</v>
      </c>
      <c r="F204" s="24">
        <f t="shared" si="101"/>
        <v>0.37882883004622708</v>
      </c>
      <c r="G204" s="24">
        <f t="shared" si="101"/>
        <v>0.19647883799546784</v>
      </c>
      <c r="H204" s="24">
        <f t="shared" si="101"/>
        <v>1.4128845944708424E-2</v>
      </c>
      <c r="I204" s="24">
        <f t="shared" si="101"/>
        <v>-0.16822114610605088</v>
      </c>
      <c r="J204" s="24">
        <f t="shared" si="101"/>
        <v>-0.35057113815681007</v>
      </c>
      <c r="K204" s="24">
        <f t="shared" si="101"/>
        <v>-0.53292113020756948</v>
      </c>
      <c r="L204" s="24">
        <f t="shared" si="101"/>
        <v>-0.7152711222583289</v>
      </c>
      <c r="M204" s="24">
        <f t="shared" si="101"/>
        <v>-0.89762111430908831</v>
      </c>
      <c r="N204" s="24">
        <f t="shared" si="101"/>
        <v>-1.0799711063598476</v>
      </c>
      <c r="O204" s="24">
        <f t="shared" si="101"/>
        <v>-1.2623210984106072</v>
      </c>
      <c r="P204" s="24">
        <f t="shared" si="101"/>
        <v>-1.444671090461366</v>
      </c>
      <c r="Q204" s="24">
        <f t="shared" si="101"/>
        <v>-1.6270210825121256</v>
      </c>
      <c r="R204" s="24">
        <f t="shared" si="101"/>
        <v>-1.8093710745628848</v>
      </c>
      <c r="S204" s="24">
        <f t="shared" si="101"/>
        <v>-1.991721066613644</v>
      </c>
      <c r="T204" s="24">
        <f t="shared" si="101"/>
        <v>-2.1740710586644036</v>
      </c>
      <c r="U204" s="24">
        <f t="shared" si="102"/>
        <v>-2.3564210507151628</v>
      </c>
      <c r="V204" s="24">
        <f t="shared" si="102"/>
        <v>-2.5387710427659225</v>
      </c>
      <c r="W204" s="24">
        <f t="shared" si="102"/>
        <v>-2.7211210348166812</v>
      </c>
      <c r="X204" s="90">
        <f t="shared" si="102"/>
        <v>-2.9034710268674409</v>
      </c>
    </row>
    <row r="205" spans="2:24" x14ac:dyDescent="0.35">
      <c r="B205" s="67"/>
      <c r="C205" s="19">
        <v>0.1</v>
      </c>
      <c r="D205" s="24">
        <f t="shared" si="101"/>
        <v>0.56932207860417794</v>
      </c>
      <c r="E205" s="24">
        <f t="shared" si="101"/>
        <v>0.38697208655341864</v>
      </c>
      <c r="F205" s="24">
        <f t="shared" si="101"/>
        <v>0.20462209450265928</v>
      </c>
      <c r="G205" s="24">
        <f t="shared" si="101"/>
        <v>2.2272102451900033E-2</v>
      </c>
      <c r="H205" s="24">
        <f t="shared" si="101"/>
        <v>-0.16007788959885938</v>
      </c>
      <c r="I205" s="24">
        <f t="shared" si="101"/>
        <v>-0.34242788164961868</v>
      </c>
      <c r="J205" s="24">
        <f t="shared" si="101"/>
        <v>-0.52477787370037787</v>
      </c>
      <c r="K205" s="24">
        <f t="shared" si="101"/>
        <v>-0.70712786575113729</v>
      </c>
      <c r="L205" s="24">
        <f t="shared" si="101"/>
        <v>-0.88947785780189681</v>
      </c>
      <c r="M205" s="24">
        <f t="shared" si="101"/>
        <v>-1.0718278498526561</v>
      </c>
      <c r="N205" s="24">
        <f t="shared" si="101"/>
        <v>-1.2541778419034153</v>
      </c>
      <c r="O205" s="24">
        <f t="shared" si="101"/>
        <v>-1.4365278339541749</v>
      </c>
      <c r="P205" s="24">
        <f t="shared" si="101"/>
        <v>-1.6188778260049337</v>
      </c>
      <c r="Q205" s="24">
        <f t="shared" si="101"/>
        <v>-1.8012278180556933</v>
      </c>
      <c r="R205" s="24">
        <f t="shared" si="101"/>
        <v>-1.9835778101064525</v>
      </c>
      <c r="S205" s="24">
        <f t="shared" si="101"/>
        <v>-2.1659278021572117</v>
      </c>
      <c r="T205" s="24">
        <f t="shared" si="101"/>
        <v>-2.3482777942079713</v>
      </c>
      <c r="U205" s="24">
        <f t="shared" si="102"/>
        <v>-2.5306277862587305</v>
      </c>
      <c r="V205" s="24">
        <f t="shared" si="102"/>
        <v>-2.7129777783094902</v>
      </c>
      <c r="W205" s="24">
        <f t="shared" si="102"/>
        <v>-2.8953277703602489</v>
      </c>
      <c r="X205" s="90">
        <f t="shared" si="102"/>
        <v>-3.0776777624110085</v>
      </c>
    </row>
    <row r="206" spans="2:24" x14ac:dyDescent="0.35">
      <c r="B206" s="67"/>
      <c r="C206" s="19">
        <v>0.05</v>
      </c>
      <c r="D206" s="24">
        <f t="shared" si="101"/>
        <v>0.39511534306061008</v>
      </c>
      <c r="E206" s="24">
        <f t="shared" si="101"/>
        <v>0.21276535100985075</v>
      </c>
      <c r="F206" s="24">
        <f t="shared" si="101"/>
        <v>3.0415358959091421E-2</v>
      </c>
      <c r="G206" s="24">
        <f t="shared" si="101"/>
        <v>-0.15193463309166783</v>
      </c>
      <c r="H206" s="24">
        <f t="shared" si="101"/>
        <v>-0.33428462514242729</v>
      </c>
      <c r="I206" s="24">
        <f t="shared" si="101"/>
        <v>-0.51663461719318649</v>
      </c>
      <c r="J206" s="24">
        <f t="shared" si="101"/>
        <v>-0.69898460924394568</v>
      </c>
      <c r="K206" s="24">
        <f t="shared" si="101"/>
        <v>-0.88133460129470509</v>
      </c>
      <c r="L206" s="24">
        <f t="shared" si="101"/>
        <v>-1.0636845933454646</v>
      </c>
      <c r="M206" s="24">
        <f t="shared" si="101"/>
        <v>-1.2460345853962238</v>
      </c>
      <c r="N206" s="24">
        <f t="shared" si="101"/>
        <v>-1.428384577446983</v>
      </c>
      <c r="O206" s="24">
        <f t="shared" si="101"/>
        <v>-1.6107345694977426</v>
      </c>
      <c r="P206" s="24">
        <f t="shared" si="101"/>
        <v>-1.7930845615485018</v>
      </c>
      <c r="Q206" s="24">
        <f t="shared" si="101"/>
        <v>-1.9754345535992615</v>
      </c>
      <c r="R206" s="24">
        <f t="shared" si="101"/>
        <v>-2.1577845456500206</v>
      </c>
      <c r="S206" s="24">
        <f t="shared" si="101"/>
        <v>-2.3401345377007798</v>
      </c>
      <c r="T206" s="24">
        <f t="shared" si="101"/>
        <v>-2.5224845297515395</v>
      </c>
      <c r="U206" s="24">
        <f t="shared" si="102"/>
        <v>-2.7048345218022987</v>
      </c>
      <c r="V206" s="24">
        <f t="shared" si="102"/>
        <v>-2.8871845138530583</v>
      </c>
      <c r="W206" s="24">
        <f t="shared" si="102"/>
        <v>-3.069534505903817</v>
      </c>
      <c r="X206" s="90">
        <f t="shared" si="102"/>
        <v>-3.2518844979545767</v>
      </c>
    </row>
    <row r="207" spans="2:24" ht="15" thickBot="1" x14ac:dyDescent="0.4">
      <c r="B207" s="68"/>
      <c r="C207" s="20">
        <v>0</v>
      </c>
      <c r="D207" s="24">
        <f t="shared" si="101"/>
        <v>0.22090860751704222</v>
      </c>
      <c r="E207" s="24">
        <f t="shared" si="101"/>
        <v>3.8558615466282892E-2</v>
      </c>
      <c r="F207" s="24">
        <f t="shared" si="101"/>
        <v>-0.14379137658447644</v>
      </c>
      <c r="G207" s="24">
        <f t="shared" si="101"/>
        <v>-0.32614136863523568</v>
      </c>
      <c r="H207" s="24">
        <f t="shared" si="101"/>
        <v>-0.5084913606859951</v>
      </c>
      <c r="I207" s="24">
        <f t="shared" si="101"/>
        <v>-0.6908413527367544</v>
      </c>
      <c r="J207" s="24">
        <f t="shared" si="101"/>
        <v>-0.87319134478751359</v>
      </c>
      <c r="K207" s="24">
        <f t="shared" si="101"/>
        <v>-1.0555413368382731</v>
      </c>
      <c r="L207" s="24">
        <f t="shared" si="101"/>
        <v>-1.2378913288890323</v>
      </c>
      <c r="M207" s="24">
        <f t="shared" si="101"/>
        <v>-1.4202413209397919</v>
      </c>
      <c r="N207" s="24">
        <f t="shared" si="101"/>
        <v>-1.6025913129905511</v>
      </c>
      <c r="O207" s="24">
        <f t="shared" si="101"/>
        <v>-1.7849413050413108</v>
      </c>
      <c r="P207" s="24">
        <f t="shared" si="101"/>
        <v>-1.9672912970920695</v>
      </c>
      <c r="Q207" s="24">
        <f t="shared" si="101"/>
        <v>-2.1496412891428291</v>
      </c>
      <c r="R207" s="24">
        <f t="shared" si="101"/>
        <v>-2.3319912811935883</v>
      </c>
      <c r="S207" s="24">
        <f t="shared" si="101"/>
        <v>-2.5143412732443475</v>
      </c>
      <c r="T207" s="24">
        <f t="shared" si="101"/>
        <v>-2.6966912652951072</v>
      </c>
      <c r="U207" s="24">
        <f t="shared" si="102"/>
        <v>-2.8790412573458664</v>
      </c>
      <c r="V207" s="24">
        <f t="shared" si="102"/>
        <v>-3.061391249396626</v>
      </c>
      <c r="W207" s="24">
        <f t="shared" si="102"/>
        <v>-3.2437412414473847</v>
      </c>
      <c r="X207" s="90">
        <f t="shared" si="102"/>
        <v>-3.4260912334981444</v>
      </c>
    </row>
    <row r="208" spans="2:24" x14ac:dyDescent="0.35">
      <c r="C208" s="6"/>
      <c r="D208" s="23">
        <v>0</v>
      </c>
      <c r="E208" s="21">
        <v>0.05</v>
      </c>
      <c r="F208" s="21">
        <v>0.1</v>
      </c>
      <c r="G208" s="21">
        <v>0.15</v>
      </c>
      <c r="H208" s="21">
        <v>0.2</v>
      </c>
      <c r="I208" s="21">
        <v>0.25</v>
      </c>
      <c r="J208" s="21">
        <v>0.3</v>
      </c>
      <c r="K208" s="21">
        <v>0.35</v>
      </c>
      <c r="L208" s="21">
        <v>0.4</v>
      </c>
      <c r="M208" s="21">
        <v>0.45</v>
      </c>
      <c r="N208" s="21">
        <v>0.5</v>
      </c>
      <c r="O208" s="21">
        <v>0.55000000000000004</v>
      </c>
      <c r="P208" s="21">
        <v>0.6</v>
      </c>
      <c r="Q208" s="21">
        <v>0.65</v>
      </c>
      <c r="R208" s="21">
        <v>0.7</v>
      </c>
      <c r="S208" s="21">
        <v>0.75</v>
      </c>
      <c r="T208" s="21">
        <v>0.8</v>
      </c>
      <c r="U208" s="21">
        <v>0.85</v>
      </c>
      <c r="V208" s="21">
        <v>0.9</v>
      </c>
      <c r="W208" s="21">
        <v>0.95</v>
      </c>
      <c r="X208" s="91">
        <v>1</v>
      </c>
    </row>
    <row r="209" spans="3:24" ht="21.5" thickBot="1" x14ac:dyDescent="0.55000000000000004">
      <c r="C209" s="6"/>
      <c r="D209" s="69" t="s">
        <v>54</v>
      </c>
      <c r="E209" s="70"/>
      <c r="F209" s="70"/>
      <c r="G209" s="70"/>
      <c r="H209" s="70"/>
      <c r="I209" s="70"/>
      <c r="J209" s="70"/>
      <c r="K209" s="70"/>
      <c r="L209" s="70"/>
      <c r="M209" s="70"/>
      <c r="N209" s="70"/>
      <c r="O209" s="70"/>
      <c r="P209" s="70"/>
      <c r="Q209" s="70"/>
      <c r="R209" s="70"/>
      <c r="S209" s="70"/>
      <c r="T209" s="70"/>
      <c r="U209" s="70"/>
      <c r="V209" s="70"/>
      <c r="W209" s="70"/>
      <c r="X209" s="71"/>
    </row>
  </sheetData>
  <mergeCells count="22">
    <mergeCell ref="B97:D97"/>
    <mergeCell ref="AP3:AU3"/>
    <mergeCell ref="AW3:BB3"/>
    <mergeCell ref="C3:E3"/>
    <mergeCell ref="G3:I3"/>
    <mergeCell ref="X3:AA3"/>
    <mergeCell ref="AC3:AF3"/>
    <mergeCell ref="AI3:AN3"/>
    <mergeCell ref="K3:M3"/>
    <mergeCell ref="R3:U3"/>
    <mergeCell ref="D131:X131"/>
    <mergeCell ref="B108:X108"/>
    <mergeCell ref="B134:X134"/>
    <mergeCell ref="B135:B155"/>
    <mergeCell ref="B109:B129"/>
    <mergeCell ref="B187:B207"/>
    <mergeCell ref="D209:X209"/>
    <mergeCell ref="D157:X157"/>
    <mergeCell ref="B160:X160"/>
    <mergeCell ref="B161:B181"/>
    <mergeCell ref="D183:X183"/>
    <mergeCell ref="B186:X186"/>
  </mergeCells>
  <conditionalFormatting sqref="D109:X129">
    <cfRule type="colorScale" priority="1">
      <colorScale>
        <cfvo type="num" val="0"/>
        <cfvo type="num" val="0.5"/>
        <cfvo type="num" val="1"/>
        <color rgb="FF5A8AC6"/>
        <color rgb="FFFCFCFF"/>
        <color rgb="FFF8696B"/>
      </colorScale>
    </cfRule>
  </conditionalFormatting>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iterate_model">
                <anchor moveWithCells="1" sizeWithCells="1">
                  <from>
                    <xdr:col>5</xdr:col>
                    <xdr:colOff>63500</xdr:colOff>
                    <xdr:row>36</xdr:row>
                    <xdr:rowOff>12700</xdr:rowOff>
                  </from>
                  <to>
                    <xdr:col>8</xdr:col>
                    <xdr:colOff>69850</xdr:colOff>
                    <xdr:row>39</xdr:row>
                    <xdr:rowOff>63500</xdr:rowOff>
                  </to>
                </anchor>
              </controlPr>
            </control>
          </mc:Choice>
        </mc:AlternateContent>
        <mc:AlternateContent xmlns:mc="http://schemas.openxmlformats.org/markup-compatibility/2006">
          <mc:Choice Requires="x14">
            <control shapeId="1026" r:id="rId5" name="Button 2">
              <controlPr defaultSize="0" autoFill="0" autoPict="0" macro="[0]!Delete_Iteration_History">
                <anchor moveWithCells="1" sizeWithCells="1">
                  <from>
                    <xdr:col>8</xdr:col>
                    <xdr:colOff>279400</xdr:colOff>
                    <xdr:row>36</xdr:row>
                    <xdr:rowOff>19050</xdr:rowOff>
                  </from>
                  <to>
                    <xdr:col>11</xdr:col>
                    <xdr:colOff>76200</xdr:colOff>
                    <xdr:row>39</xdr:row>
                    <xdr:rowOff>50800</xdr:rowOff>
                  </to>
                </anchor>
              </controlPr>
            </control>
          </mc:Choice>
        </mc:AlternateContent>
        <mc:AlternateContent xmlns:mc="http://schemas.openxmlformats.org/markup-compatibility/2006">
          <mc:Choice Requires="x14">
            <control shapeId="1027" r:id="rId6" name="Button 3">
              <controlPr defaultSize="0" autoFill="0" autoPict="0" macro="[0]!Instantiate_Weights_Random">
                <anchor moveWithCells="1" sizeWithCells="1">
                  <from>
                    <xdr:col>4</xdr:col>
                    <xdr:colOff>419100</xdr:colOff>
                    <xdr:row>40</xdr:row>
                    <xdr:rowOff>120650</xdr:rowOff>
                  </from>
                  <to>
                    <xdr:col>6</xdr:col>
                    <xdr:colOff>609600</xdr:colOff>
                    <xdr:row>43</xdr:row>
                    <xdr:rowOff>107950</xdr:rowOff>
                  </to>
                </anchor>
              </controlPr>
            </control>
          </mc:Choice>
        </mc:AlternateContent>
        <mc:AlternateContent xmlns:mc="http://schemas.openxmlformats.org/markup-compatibility/2006">
          <mc:Choice Requires="x14">
            <control shapeId="1028" r:id="rId7" name="Button 4">
              <controlPr defaultSize="0" autoFill="0" autoPict="0" macro="[0]!Instatite_Weights_Good_Start">
                <anchor moveWithCells="1" sizeWithCells="1">
                  <from>
                    <xdr:col>7</xdr:col>
                    <xdr:colOff>88900</xdr:colOff>
                    <xdr:row>40</xdr:row>
                    <xdr:rowOff>120650</xdr:rowOff>
                  </from>
                  <to>
                    <xdr:col>9</xdr:col>
                    <xdr:colOff>285750</xdr:colOff>
                    <xdr:row>43</xdr:row>
                    <xdr:rowOff>107950</xdr:rowOff>
                  </to>
                </anchor>
              </controlPr>
            </control>
          </mc:Choice>
        </mc:AlternateContent>
        <mc:AlternateContent xmlns:mc="http://schemas.openxmlformats.org/markup-compatibility/2006">
          <mc:Choice Requires="x14">
            <control shapeId="1029" r:id="rId8" name="Button 5">
              <controlPr defaultSize="0" autoFill="0" autoPict="0" macro="[0]!Instantaite_Weights_Bad_Start">
                <anchor moveWithCells="1" sizeWithCells="1">
                  <from>
                    <xdr:col>9</xdr:col>
                    <xdr:colOff>400050</xdr:colOff>
                    <xdr:row>40</xdr:row>
                    <xdr:rowOff>88900</xdr:rowOff>
                  </from>
                  <to>
                    <xdr:col>11</xdr:col>
                    <xdr:colOff>374650</xdr:colOff>
                    <xdr:row>43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7D450-1EBA-4F07-8F09-71E9E9BDA76C}">
  <sheetPr codeName="Sheet2"/>
  <dimension ref="A1:AM218"/>
  <sheetViews>
    <sheetView zoomScale="60" zoomScaleNormal="60" workbookViewId="0">
      <selection activeCell="A3" sqref="A3:V1002"/>
    </sheetView>
  </sheetViews>
  <sheetFormatPr defaultRowHeight="14.5" x14ac:dyDescent="0.35"/>
  <sheetData>
    <row r="1" spans="1:39" x14ac:dyDescent="0.35">
      <c r="A1" t="s">
        <v>62</v>
      </c>
      <c r="C1" s="83" t="s">
        <v>55</v>
      </c>
      <c r="D1" s="83"/>
      <c r="F1" s="83" t="s">
        <v>59</v>
      </c>
      <c r="G1" s="83"/>
      <c r="I1" s="83" t="s">
        <v>58</v>
      </c>
      <c r="J1" s="83"/>
      <c r="L1" s="83" t="s">
        <v>61</v>
      </c>
      <c r="M1" s="83"/>
      <c r="O1" s="83" t="s">
        <v>60</v>
      </c>
      <c r="P1" s="83"/>
      <c r="R1" s="37"/>
      <c r="S1" s="37"/>
    </row>
    <row r="2" spans="1:39" x14ac:dyDescent="0.35">
      <c r="A2" t="s">
        <v>16</v>
      </c>
      <c r="C2" t="s">
        <v>56</v>
      </c>
      <c r="D2" t="s">
        <v>57</v>
      </c>
      <c r="F2" t="s">
        <v>63</v>
      </c>
      <c r="G2" t="s">
        <v>57</v>
      </c>
      <c r="I2" t="s">
        <v>56</v>
      </c>
      <c r="J2" t="s">
        <v>57</v>
      </c>
      <c r="L2" t="s">
        <v>63</v>
      </c>
      <c r="M2" t="s">
        <v>57</v>
      </c>
      <c r="O2" t="s">
        <v>56</v>
      </c>
      <c r="P2" t="s">
        <v>57</v>
      </c>
    </row>
    <row r="3" spans="1:39" x14ac:dyDescent="0.35">
      <c r="A3" s="3">
        <v>2.2108965491908434</v>
      </c>
      <c r="B3" s="3"/>
      <c r="C3" s="3">
        <v>-1.9627383334096435</v>
      </c>
      <c r="D3" s="3">
        <v>-0.10392807478192098</v>
      </c>
      <c r="E3" s="3"/>
      <c r="F3" s="3">
        <v>1.4057724154399844</v>
      </c>
      <c r="G3" s="3">
        <v>1.1757933681889543E-2</v>
      </c>
      <c r="H3" s="3"/>
      <c r="I3" s="3">
        <v>-1.5184785184721812</v>
      </c>
      <c r="J3" s="3">
        <v>-0.23420635860871866</v>
      </c>
      <c r="K3" s="3"/>
      <c r="L3" s="3">
        <v>1.9338440681706226</v>
      </c>
      <c r="M3" s="3">
        <v>-8.9615347351929747E-2</v>
      </c>
      <c r="N3" s="3"/>
      <c r="O3" s="3">
        <v>-0.47432400763116611</v>
      </c>
      <c r="P3" s="3">
        <v>9.4771218436799087E-2</v>
      </c>
      <c r="Q3" s="3"/>
      <c r="R3" s="3"/>
      <c r="S3" s="3"/>
      <c r="T3" s="3"/>
      <c r="U3" s="3"/>
      <c r="X3" s="3"/>
      <c r="Y3" s="3"/>
      <c r="AA3" s="3"/>
      <c r="AB3" s="3"/>
      <c r="AD3" s="3"/>
      <c r="AE3" s="3"/>
      <c r="AG3" s="3"/>
      <c r="AH3" s="3"/>
      <c r="AJ3" s="3"/>
      <c r="AK3" s="3"/>
      <c r="AM3" s="3"/>
    </row>
    <row r="4" spans="1:39" x14ac:dyDescent="0.35">
      <c r="A4" s="3">
        <v>2.1362514622868747</v>
      </c>
      <c r="B4" s="3"/>
      <c r="C4" s="3">
        <v>-1.8744372458736152</v>
      </c>
      <c r="D4" s="3">
        <v>-7.4491701392741111E-2</v>
      </c>
      <c r="E4" s="3"/>
      <c r="F4" s="3">
        <v>1.3865139812228782</v>
      </c>
      <c r="G4" s="3">
        <v>1.4803210720937265E-3</v>
      </c>
      <c r="H4" s="3"/>
      <c r="I4" s="3">
        <v>-1.2812240697622952</v>
      </c>
      <c r="J4" s="3">
        <v>-0.20044480711273183</v>
      </c>
      <c r="K4" s="3"/>
      <c r="L4" s="3">
        <v>2.0132933994181132</v>
      </c>
      <c r="M4" s="3">
        <v>-6.5286273192205022E-2</v>
      </c>
      <c r="N4" s="3"/>
      <c r="O4" s="3">
        <v>-0.56909522606796514</v>
      </c>
      <c r="P4" s="3">
        <v>9.251229090392743E-2</v>
      </c>
      <c r="Q4" s="3"/>
      <c r="R4" s="3"/>
      <c r="S4" s="3"/>
      <c r="T4" s="3"/>
      <c r="U4" s="3"/>
    </row>
    <row r="5" spans="1:39" x14ac:dyDescent="0.35">
      <c r="A5" s="3">
        <v>2.0829341504585241</v>
      </c>
      <c r="B5" s="3"/>
      <c r="C5" s="3">
        <v>-1.8125991813247044</v>
      </c>
      <c r="D5" s="3">
        <v>-4.7152385984893047E-2</v>
      </c>
      <c r="E5" s="3"/>
      <c r="F5" s="3">
        <v>1.3761580234763151</v>
      </c>
      <c r="G5" s="3">
        <v>4.8110159592407165E-4</v>
      </c>
      <c r="H5" s="3"/>
      <c r="I5" s="3">
        <v>-1.0774731333180196</v>
      </c>
      <c r="J5" s="3">
        <v>-0.17361196038219942</v>
      </c>
      <c r="K5" s="3"/>
      <c r="L5" s="3">
        <v>2.0658231379508889</v>
      </c>
      <c r="M5" s="3">
        <v>-4.4070686710490428E-2</v>
      </c>
      <c r="N5" s="3"/>
      <c r="O5" s="3">
        <v>-0.66160751697189257</v>
      </c>
      <c r="P5" s="3">
        <v>9.2808681876433263E-2</v>
      </c>
      <c r="Q5" s="3"/>
      <c r="R5" s="3"/>
      <c r="S5" s="3"/>
      <c r="T5" s="3"/>
      <c r="U5" s="3"/>
    </row>
    <row r="6" spans="1:39" x14ac:dyDescent="0.35">
      <c r="A6" s="3">
        <v>2.0429578319811221</v>
      </c>
      <c r="B6" s="3"/>
      <c r="C6" s="3">
        <v>-1.7771591541126086</v>
      </c>
      <c r="D6" s="3">
        <v>-2.5258281601116594E-2</v>
      </c>
      <c r="E6" s="3"/>
      <c r="F6" s="3">
        <v>1.3711810744790043</v>
      </c>
      <c r="G6" s="3">
        <v>1.2282524826490171E-4</v>
      </c>
      <c r="H6" s="3"/>
      <c r="I6" s="3">
        <v>-0.90050034205986629</v>
      </c>
      <c r="J6" s="3">
        <v>-0.15328447705772608</v>
      </c>
      <c r="K6" s="3"/>
      <c r="L6" s="3">
        <v>2.0951711590190687</v>
      </c>
      <c r="M6" s="3">
        <v>-2.5003573686045E-2</v>
      </c>
      <c r="N6" s="3"/>
      <c r="O6" s="3">
        <v>-0.75441619884832578</v>
      </c>
      <c r="P6" s="3">
        <v>9.5999934236749657E-2</v>
      </c>
      <c r="Q6" s="3"/>
      <c r="R6" s="3"/>
      <c r="S6" s="3"/>
      <c r="T6" s="3"/>
      <c r="U6" s="3"/>
    </row>
    <row r="7" spans="1:39" x14ac:dyDescent="0.35">
      <c r="A7" s="3">
        <v>2.0102608666092174</v>
      </c>
      <c r="B7" s="3"/>
      <c r="C7" s="3">
        <v>-1.7638601361834412</v>
      </c>
      <c r="D7" s="3">
        <v>-6.7664235027214137E-3</v>
      </c>
      <c r="E7" s="3"/>
      <c r="F7" s="3">
        <v>1.3718393800314295</v>
      </c>
      <c r="G7" s="3">
        <v>-5.0180406117594778E-6</v>
      </c>
      <c r="H7" s="3"/>
      <c r="I7" s="3">
        <v>-0.74376683117591391</v>
      </c>
      <c r="J7" s="3">
        <v>-0.13852049852198869</v>
      </c>
      <c r="K7" s="3"/>
      <c r="L7" s="3">
        <v>2.1036331299071773</v>
      </c>
      <c r="M7" s="3">
        <v>-7.8613814893224582E-3</v>
      </c>
      <c r="N7" s="3"/>
      <c r="O7" s="3">
        <v>-0.85041613308507547</v>
      </c>
      <c r="P7" s="3">
        <v>0.10150835213257191</v>
      </c>
      <c r="Q7" s="3"/>
      <c r="R7" s="3"/>
      <c r="S7" s="3"/>
      <c r="T7" s="3"/>
      <c r="U7" s="3"/>
    </row>
    <row r="8" spans="1:39" x14ac:dyDescent="0.35">
      <c r="A8" s="3">
        <v>1.9805891714624284</v>
      </c>
      <c r="B8" s="3"/>
      <c r="C8" s="3">
        <v>-1.7701058432276742</v>
      </c>
      <c r="D8" s="3">
        <v>1.00414355512633E-2</v>
      </c>
      <c r="E8" s="3"/>
      <c r="F8" s="3">
        <v>1.3781588016507931</v>
      </c>
      <c r="G8" s="3">
        <v>4.5442523178507166E-5</v>
      </c>
      <c r="H8" s="3"/>
      <c r="I8" s="3">
        <v>-0.60158207255706597</v>
      </c>
      <c r="J8" s="3">
        <v>-0.1282705081045919</v>
      </c>
      <c r="K8" s="3"/>
      <c r="L8" s="3">
        <v>2.0925905927531341</v>
      </c>
      <c r="M8" s="3">
        <v>8.0575023965788889E-3</v>
      </c>
      <c r="N8" s="3"/>
      <c r="O8" s="3">
        <v>-0.95192448521764739</v>
      </c>
      <c r="P8" s="3">
        <v>0.10916474294961957</v>
      </c>
      <c r="Q8" s="3"/>
      <c r="R8" s="3"/>
      <c r="S8" s="3"/>
      <c r="T8" s="3"/>
      <c r="U8" s="3"/>
      <c r="W8" s="3"/>
    </row>
    <row r="9" spans="1:39" x14ac:dyDescent="0.35">
      <c r="A9" s="3">
        <v>1.9506573340563687</v>
      </c>
      <c r="B9" s="3"/>
      <c r="C9" s="3">
        <v>-1.794896585929731</v>
      </c>
      <c r="D9" s="3">
        <v>2.6475157107256481E-2</v>
      </c>
      <c r="E9" s="3"/>
      <c r="F9" s="3">
        <v>1.3898227909947181</v>
      </c>
      <c r="G9" s="3">
        <v>2.5041885017085264E-4</v>
      </c>
      <c r="H9" s="3"/>
      <c r="I9" s="3">
        <v>-0.46922587331212512</v>
      </c>
      <c r="J9" s="3">
        <v>-0.12177192864115294</v>
      </c>
      <c r="K9" s="3"/>
      <c r="L9" s="3">
        <v>2.0623500821414744</v>
      </c>
      <c r="M9" s="3">
        <v>2.346347748362429E-2</v>
      </c>
      <c r="N9" s="3"/>
      <c r="O9" s="3">
        <v>-1.061089228167267</v>
      </c>
      <c r="P9" s="3">
        <v>0.119002326607696</v>
      </c>
      <c r="Q9" s="3"/>
      <c r="R9" s="3"/>
      <c r="S9" s="3"/>
      <c r="T9" s="3"/>
      <c r="U9" s="3"/>
      <c r="W9" s="3"/>
    </row>
    <row r="10" spans="1:39" x14ac:dyDescent="0.35">
      <c r="A10" s="3">
        <v>1.917473021221427</v>
      </c>
      <c r="B10" s="3"/>
      <c r="C10" s="3">
        <v>-1.8385449334104047</v>
      </c>
      <c r="D10" s="3">
        <v>4.3593069362793363E-2</v>
      </c>
      <c r="E10" s="3"/>
      <c r="F10" s="3">
        <v>1.406123607212538</v>
      </c>
      <c r="G10" s="3">
        <v>5.9569059584418937E-4</v>
      </c>
      <c r="H10" s="3"/>
      <c r="I10" s="3">
        <v>-0.3426343923936408</v>
      </c>
      <c r="J10" s="3">
        <v>-0.1186266829558133</v>
      </c>
      <c r="K10" s="3"/>
      <c r="L10" s="3">
        <v>2.0122165202893116</v>
      </c>
      <c r="M10" s="3">
        <v>3.8843832034718265E-2</v>
      </c>
      <c r="N10" s="3"/>
      <c r="O10" s="3">
        <v>-1.1800915547749631</v>
      </c>
      <c r="P10" s="3">
        <v>0.13105558899197939</v>
      </c>
      <c r="Q10" s="3"/>
      <c r="R10" s="3"/>
      <c r="S10" s="3"/>
      <c r="T10" s="3"/>
      <c r="W10" s="3"/>
    </row>
    <row r="11" spans="1:39" x14ac:dyDescent="0.35">
      <c r="A11" s="3">
        <v>1.8778721044956168</v>
      </c>
      <c r="B11" s="3"/>
      <c r="C11" s="3">
        <v>-1.9024415907203205</v>
      </c>
      <c r="D11" s="3">
        <v>6.2263156366811762E-2</v>
      </c>
      <c r="E11" s="3"/>
      <c r="F11" s="3">
        <v>1.4257922367552107</v>
      </c>
      <c r="G11" s="3">
        <v>1.0532834802816082E-3</v>
      </c>
      <c r="H11" s="3"/>
      <c r="I11" s="3">
        <v>-0.21797859932274033</v>
      </c>
      <c r="J11" s="3">
        <v>-0.11879140858070833</v>
      </c>
      <c r="K11" s="3"/>
      <c r="L11" s="3">
        <v>1.9407279079160249</v>
      </c>
      <c r="M11" s="3">
        <v>5.4246263332029185E-2</v>
      </c>
      <c r="N11" s="3"/>
      <c r="O11" s="3">
        <v>-1.3111471437669424</v>
      </c>
      <c r="P11" s="3">
        <v>0.14510712622949151</v>
      </c>
      <c r="Q11" s="3"/>
      <c r="R11" s="3"/>
      <c r="S11" s="3"/>
      <c r="T11" s="3"/>
      <c r="W11" s="3"/>
    </row>
    <row r="12" spans="1:39" x14ac:dyDescent="0.35">
      <c r="A12" s="3">
        <v>1.8283125561501232</v>
      </c>
      <c r="B12" s="3"/>
      <c r="C12" s="3">
        <v>-1.9887434248047307</v>
      </c>
      <c r="D12" s="3">
        <v>8.3068690379313248E-2</v>
      </c>
      <c r="E12" s="3"/>
      <c r="F12" s="3">
        <v>1.4467704503958132</v>
      </c>
      <c r="G12" s="3">
        <v>1.5397762990049246E-3</v>
      </c>
      <c r="H12" s="3"/>
      <c r="I12" s="3">
        <v>-9.1234617943632301E-2</v>
      </c>
      <c r="J12" s="3">
        <v>-0.12253077580592592</v>
      </c>
      <c r="K12" s="3"/>
      <c r="L12" s="3">
        <v>1.8461686231740442</v>
      </c>
      <c r="M12" s="3">
        <v>6.8932347988348533E-2</v>
      </c>
      <c r="N12" s="3"/>
      <c r="O12" s="3">
        <v>-1.456254269996434</v>
      </c>
      <c r="P12" s="3">
        <v>0.16029619113334753</v>
      </c>
      <c r="Q12" s="3"/>
      <c r="R12" s="3"/>
      <c r="S12" s="3"/>
      <c r="T12" s="3"/>
      <c r="W12" s="3"/>
    </row>
    <row r="13" spans="1:39" x14ac:dyDescent="0.35">
      <c r="A13" s="3">
        <v>1.765157665990166</v>
      </c>
      <c r="B13" s="3"/>
      <c r="C13" s="3">
        <v>-2.0997386378570329</v>
      </c>
      <c r="D13" s="3">
        <v>0.10602561320884726</v>
      </c>
      <c r="E13" s="3"/>
      <c r="F13" s="3">
        <v>1.4661934148641238</v>
      </c>
      <c r="G13" s="3">
        <v>1.8728206523923596E-3</v>
      </c>
      <c r="H13" s="3"/>
      <c r="I13" s="3">
        <v>4.2165495842941464E-2</v>
      </c>
      <c r="J13" s="3">
        <v>-0.13025419711987624</v>
      </c>
      <c r="K13" s="3"/>
      <c r="L13" s="3">
        <v>1.7276075553773438</v>
      </c>
      <c r="M13" s="3">
        <v>8.0936635464928769E-2</v>
      </c>
      <c r="N13" s="3"/>
      <c r="O13" s="3">
        <v>-1.6165504611297816</v>
      </c>
      <c r="P13" s="3">
        <v>0.17463685214200589</v>
      </c>
      <c r="Q13" s="3"/>
      <c r="R13" s="3"/>
      <c r="S13" s="3"/>
      <c r="T13" s="3"/>
      <c r="W13" s="3"/>
    </row>
    <row r="14" spans="1:39" x14ac:dyDescent="0.35">
      <c r="A14" s="3">
        <v>1.6857974795176043</v>
      </c>
      <c r="B14" s="3"/>
      <c r="C14" s="3">
        <v>-2.2366562608342848</v>
      </c>
      <c r="D14" s="3">
        <v>0.13022983062777091</v>
      </c>
      <c r="E14" s="3"/>
      <c r="F14" s="3">
        <v>1.481171999713838</v>
      </c>
      <c r="G14" s="3">
        <v>1.8238627915638794E-3</v>
      </c>
      <c r="H14" s="3"/>
      <c r="I14" s="3">
        <v>0.18734543540255205</v>
      </c>
      <c r="J14" s="3">
        <v>-0.14208122893276812</v>
      </c>
      <c r="K14" s="3"/>
      <c r="L14" s="3">
        <v>1.5865718418330945</v>
      </c>
      <c r="M14" s="3">
        <v>8.6946285954170976E-2</v>
      </c>
      <c r="N14" s="3"/>
      <c r="O14" s="3">
        <v>-1.7911873132717875</v>
      </c>
      <c r="P14" s="3">
        <v>0.18486104352467572</v>
      </c>
      <c r="Q14" s="3"/>
      <c r="R14" s="3"/>
      <c r="S14" s="3"/>
      <c r="T14" s="3"/>
    </row>
    <row r="15" spans="1:39" x14ac:dyDescent="0.35">
      <c r="A15" s="3">
        <v>1.5904749194683654</v>
      </c>
      <c r="B15" s="3"/>
      <c r="C15" s="3">
        <v>-2.3981361554587215</v>
      </c>
      <c r="D15" s="3">
        <v>0.15384403043990247</v>
      </c>
      <c r="E15" s="3"/>
      <c r="F15" s="3">
        <v>1.4908381422541601</v>
      </c>
      <c r="G15" s="3">
        <v>1.4195114980156687E-3</v>
      </c>
      <c r="H15" s="3"/>
      <c r="I15" s="3">
        <v>0.3492054459012649</v>
      </c>
      <c r="J15" s="3">
        <v>-0.15715961036361906</v>
      </c>
      <c r="K15" s="3"/>
      <c r="L15" s="3">
        <v>1.428723949501181</v>
      </c>
      <c r="M15" s="3">
        <v>8.329351688093084E-2</v>
      </c>
      <c r="N15" s="3"/>
      <c r="O15" s="3">
        <v>-1.9760483567964633</v>
      </c>
      <c r="P15" s="3">
        <v>0.18735121568386762</v>
      </c>
      <c r="Q15" s="3"/>
      <c r="R15" s="3"/>
      <c r="S15" s="3"/>
      <c r="T15" s="3"/>
    </row>
    <row r="16" spans="1:39" x14ac:dyDescent="0.35">
      <c r="A16" s="3">
        <v>1.4833590387383213</v>
      </c>
      <c r="B16" s="3"/>
      <c r="C16" s="3">
        <v>-2.5794893023950971</v>
      </c>
      <c r="D16" s="3">
        <v>0.1747313815797778</v>
      </c>
      <c r="E16" s="3"/>
      <c r="F16" s="3">
        <v>1.4985058167223264</v>
      </c>
      <c r="G16" s="3">
        <v>1.2863198795685371E-3</v>
      </c>
      <c r="H16" s="3"/>
      <c r="I16" s="3">
        <v>0.53072065835437376</v>
      </c>
      <c r="J16" s="3">
        <v>-0.17330610256391682</v>
      </c>
      <c r="K16" s="3"/>
      <c r="L16" s="3">
        <v>1.2639069359276789</v>
      </c>
      <c r="M16" s="3">
        <v>6.8233969535872935E-2</v>
      </c>
      <c r="N16" s="3"/>
      <c r="O16" s="3">
        <v>-2.1633995724803308</v>
      </c>
      <c r="P16" s="3">
        <v>0.18022120471630565</v>
      </c>
      <c r="Q16" s="3"/>
      <c r="R16" s="3"/>
      <c r="S16" s="3"/>
      <c r="T16" s="3"/>
      <c r="U16" s="3"/>
    </row>
    <row r="17" spans="1:21" x14ac:dyDescent="0.35">
      <c r="A17" s="3">
        <v>1.3711297218872911</v>
      </c>
      <c r="B17" s="3"/>
      <c r="C17" s="3">
        <v>-2.7738910681391999</v>
      </c>
      <c r="D17" s="3">
        <v>0.19122556411949107</v>
      </c>
      <c r="E17" s="3"/>
      <c r="F17" s="3">
        <v>1.5110872061143346</v>
      </c>
      <c r="G17" s="3">
        <v>2.2710922103629239E-3</v>
      </c>
      <c r="H17" s="3"/>
      <c r="I17" s="3">
        <v>0.73132538943333636</v>
      </c>
      <c r="J17" s="3">
        <v>-0.18759381089315605</v>
      </c>
      <c r="K17" s="3"/>
      <c r="L17" s="3">
        <v>1.1035270589070272</v>
      </c>
      <c r="M17" s="3">
        <v>4.3860017605433871E-2</v>
      </c>
      <c r="N17" s="3"/>
      <c r="O17" s="3">
        <v>-2.3436207771966364</v>
      </c>
      <c r="P17" s="3">
        <v>0.16483884248985403</v>
      </c>
      <c r="Q17" s="3"/>
      <c r="R17" s="3"/>
      <c r="S17" s="3"/>
      <c r="T17" s="3"/>
      <c r="U17" s="3"/>
    </row>
    <row r="18" spans="1:21" x14ac:dyDescent="0.35">
      <c r="A18" s="3">
        <v>1.2599908924585868</v>
      </c>
      <c r="B18" s="3"/>
      <c r="C18" s="3">
        <v>-2.9746772114199498</v>
      </c>
      <c r="D18" s="3">
        <v>0.20238591142085205</v>
      </c>
      <c r="E18" s="3"/>
      <c r="F18" s="3">
        <v>1.5352552813883615</v>
      </c>
      <c r="G18" s="3">
        <v>4.4101210309794581E-3</v>
      </c>
      <c r="H18" s="3"/>
      <c r="I18" s="3">
        <v>0.94683531996398362</v>
      </c>
      <c r="J18" s="3">
        <v>-0.19748569497470964</v>
      </c>
      <c r="K18" s="3"/>
      <c r="L18" s="3">
        <v>0.95685771943094655</v>
      </c>
      <c r="M18" s="3">
        <v>1.5509839272993958E-2</v>
      </c>
      <c r="N18" s="3"/>
      <c r="O18" s="3">
        <v>-2.5084596196864903</v>
      </c>
      <c r="P18" s="3">
        <v>0.14507641110665881</v>
      </c>
      <c r="Q18" s="3"/>
      <c r="R18" s="3"/>
      <c r="S18" s="3"/>
      <c r="T18" s="3"/>
      <c r="U18" s="3"/>
    </row>
    <row r="19" spans="1:21" x14ac:dyDescent="0.35">
      <c r="A19" s="3">
        <v>1.1539410717858087</v>
      </c>
      <c r="B19" s="3"/>
      <c r="C19" s="3">
        <v>-3.1767162997432656</v>
      </c>
      <c r="D19" s="3">
        <v>0.20797051219540871</v>
      </c>
      <c r="E19" s="3"/>
      <c r="F19" s="3">
        <v>1.5740094558425946</v>
      </c>
      <c r="G19" s="3">
        <v>6.7016804659114082E-3</v>
      </c>
      <c r="H19" s="3"/>
      <c r="I19" s="3">
        <v>1.1708895617198383</v>
      </c>
      <c r="J19" s="3">
        <v>-0.20165900494054728</v>
      </c>
      <c r="K19" s="3"/>
      <c r="L19" s="3">
        <v>0.82893721453511682</v>
      </c>
      <c r="M19" s="3">
        <v>-1.1062417377498107E-2</v>
      </c>
      <c r="N19" s="3"/>
      <c r="O19" s="3">
        <v>-2.6535360307931493</v>
      </c>
      <c r="P19" s="3">
        <v>0.12504743018429026</v>
      </c>
      <c r="Q19" s="3"/>
      <c r="R19" s="3"/>
      <c r="S19" s="3"/>
      <c r="T19" s="3"/>
      <c r="U19" s="3"/>
    </row>
    <row r="20" spans="1:21" x14ac:dyDescent="0.35">
      <c r="A20" s="3">
        <v>1.0550363652991732</v>
      </c>
      <c r="B20" s="3"/>
      <c r="C20" s="3">
        <v>-3.3764102676589802</v>
      </c>
      <c r="D20" s="3">
        <v>0.20842161097980566</v>
      </c>
      <c r="E20" s="3"/>
      <c r="F20" s="3">
        <v>1.6263647704773121</v>
      </c>
      <c r="G20" s="3">
        <v>8.0025095651863887E-3</v>
      </c>
      <c r="H20" s="3"/>
      <c r="I20" s="3">
        <v>1.3967189771028121</v>
      </c>
      <c r="J20" s="3">
        <v>-0.2002125726085123</v>
      </c>
      <c r="K20" s="3"/>
      <c r="L20" s="3">
        <v>0.72083073973811607</v>
      </c>
      <c r="M20" s="3">
        <v>-3.2204371000144755E-2</v>
      </c>
      <c r="N20" s="3"/>
      <c r="O20" s="3">
        <v>-2.7785834609774396</v>
      </c>
      <c r="P20" s="3">
        <v>0.1074247771574693</v>
      </c>
      <c r="Q20" s="3"/>
      <c r="R20" s="3"/>
      <c r="S20" s="3"/>
      <c r="T20" s="3"/>
      <c r="U20" s="3"/>
    </row>
    <row r="21" spans="1:21" x14ac:dyDescent="0.35">
      <c r="A21" s="3">
        <v>0.96422758669076736</v>
      </c>
      <c r="B21" s="3"/>
      <c r="C21" s="3">
        <v>-3.5712496462256937</v>
      </c>
      <c r="D21" s="3">
        <v>0.2047256736814963</v>
      </c>
      <c r="E21" s="3"/>
      <c r="F21" s="3">
        <v>1.6891055896034424</v>
      </c>
      <c r="G21" s="3">
        <v>7.801803217965475E-3</v>
      </c>
      <c r="H21" s="3"/>
      <c r="I21" s="3">
        <v>1.6184781629685061</v>
      </c>
      <c r="J21" s="3">
        <v>-0.19430173095682862</v>
      </c>
      <c r="K21" s="3"/>
      <c r="L21" s="3">
        <v>0.63110088666218256</v>
      </c>
      <c r="M21" s="3">
        <v>-4.6891813476718447E-2</v>
      </c>
      <c r="N21" s="3"/>
      <c r="O21" s="3">
        <v>-2.886008238134909</v>
      </c>
      <c r="P21" s="3">
        <v>9.3201196781970919E-2</v>
      </c>
      <c r="Q21" s="3"/>
      <c r="R21" s="3"/>
      <c r="S21" s="3"/>
      <c r="T21" s="3"/>
      <c r="U21" s="3"/>
    </row>
    <row r="22" spans="1:21" x14ac:dyDescent="0.35">
      <c r="A22" s="3">
        <v>0.88183006053374713</v>
      </c>
      <c r="B22" s="3"/>
      <c r="C22" s="3">
        <v>-3.7595107645581023</v>
      </c>
      <c r="D22" s="3">
        <v>0.19810990314503268</v>
      </c>
      <c r="E22" s="3"/>
      <c r="F22" s="3">
        <v>1.7585553418900031</v>
      </c>
      <c r="G22" s="3">
        <v>6.2484989314865735E-3</v>
      </c>
      <c r="H22" s="3"/>
      <c r="I22" s="3">
        <v>1.8319546169475138</v>
      </c>
      <c r="J22" s="3">
        <v>-0.18548325210106265</v>
      </c>
      <c r="K22" s="3"/>
      <c r="L22" s="3">
        <v>0.5572093280775311</v>
      </c>
      <c r="M22" s="3">
        <v>-5.5827265540578347E-2</v>
      </c>
      <c r="N22" s="3"/>
      <c r="O22" s="3">
        <v>-2.9792094349168798</v>
      </c>
      <c r="P22" s="3">
        <v>8.2276955982858058E-2</v>
      </c>
      <c r="Q22" s="3"/>
      <c r="R22" s="3"/>
      <c r="S22" s="3"/>
      <c r="T22" s="3"/>
      <c r="U22" s="3"/>
    </row>
    <row r="23" spans="1:21" x14ac:dyDescent="0.35">
      <c r="A23" s="3">
        <v>0.80769932399405309</v>
      </c>
      <c r="B23" s="3"/>
      <c r="C23" s="3">
        <v>-3.9401044186196801</v>
      </c>
      <c r="D23" s="3">
        <v>0.18973608066828196</v>
      </c>
      <c r="E23" s="3"/>
      <c r="F23" s="3">
        <v>1.8315341618187819</v>
      </c>
      <c r="G23" s="3">
        <v>3.8035518075867636E-3</v>
      </c>
      <c r="H23" s="3"/>
      <c r="I23" s="3">
        <v>2.034671237898634</v>
      </c>
      <c r="J23" s="3">
        <v>-0.1751686788912033</v>
      </c>
      <c r="K23" s="3"/>
      <c r="L23" s="3">
        <v>0.49638602312389279</v>
      </c>
      <c r="M23" s="3">
        <v>-6.0355234117679624E-2</v>
      </c>
      <c r="N23" s="3"/>
      <c r="O23" s="3">
        <v>-3.0614863908997378</v>
      </c>
      <c r="P23" s="3">
        <v>7.4093219922637246E-2</v>
      </c>
      <c r="Q23" s="3"/>
      <c r="R23" s="3"/>
      <c r="S23" s="3"/>
      <c r="T23" s="3"/>
    </row>
    <row r="24" spans="1:21" x14ac:dyDescent="0.35">
      <c r="A24" s="3">
        <v>0.74135862992964618</v>
      </c>
      <c r="B24" s="3"/>
      <c r="C24" s="3">
        <v>-4.1124644400414825</v>
      </c>
      <c r="D24" s="3">
        <v>0.18052195677412922</v>
      </c>
      <c r="E24" s="3"/>
      <c r="F24" s="3">
        <v>1.9056420641200928</v>
      </c>
      <c r="G24" s="3">
        <v>9.422055263667295E-4</v>
      </c>
      <c r="H24" s="3"/>
      <c r="I24" s="3">
        <v>2.2255696360422266</v>
      </c>
      <c r="J24" s="3">
        <v>-0.16437884953038409</v>
      </c>
      <c r="K24" s="3"/>
      <c r="L24" s="3">
        <v>0.4460595527807274</v>
      </c>
      <c r="M24" s="3">
        <v>-6.1797921404924627E-2</v>
      </c>
      <c r="N24" s="3"/>
      <c r="O24" s="3">
        <v>-3.1355796108223752</v>
      </c>
      <c r="P24" s="3">
        <v>6.8013727700233784E-2</v>
      </c>
      <c r="Q24" s="3"/>
      <c r="R24" s="3"/>
      <c r="S24" s="3"/>
      <c r="T24" s="3"/>
    </row>
    <row r="25" spans="1:21" x14ac:dyDescent="0.35">
      <c r="A25" s="3">
        <v>0.68213818179574848</v>
      </c>
      <c r="B25" s="3"/>
      <c r="C25" s="3">
        <v>-4.2764303206804177</v>
      </c>
      <c r="D25" s="3">
        <v>0.17110104232366521</v>
      </c>
      <c r="E25" s="3"/>
      <c r="F25" s="3">
        <v>1.979209509874289</v>
      </c>
      <c r="G25" s="3">
        <v>-1.9779116743814384E-3</v>
      </c>
      <c r="H25" s="3"/>
      <c r="I25" s="3">
        <v>2.4045465353439113</v>
      </c>
      <c r="J25" s="3">
        <v>-0.15374036472166408</v>
      </c>
      <c r="K25" s="3"/>
      <c r="L25" s="3">
        <v>0.40403580727999511</v>
      </c>
      <c r="M25" s="3">
        <v>-6.1205987810677182E-2</v>
      </c>
      <c r="N25" s="3"/>
      <c r="O25" s="3">
        <v>-3.2035933385226092</v>
      </c>
      <c r="P25" s="3">
        <v>6.3483930485596321E-2</v>
      </c>
      <c r="Q25" s="3"/>
      <c r="R25" s="3"/>
      <c r="S25" s="3"/>
      <c r="T25" s="3"/>
    </row>
    <row r="26" spans="1:21" x14ac:dyDescent="0.35">
      <c r="A26" s="3">
        <v>0.62929606508084301</v>
      </c>
      <c r="B26" s="3"/>
      <c r="C26" s="3">
        <v>-4.4321282931241699</v>
      </c>
      <c r="D26" s="3">
        <v>0.16186467664566626</v>
      </c>
      <c r="E26" s="3"/>
      <c r="F26" s="3">
        <v>2.0511437454163599</v>
      </c>
      <c r="G26" s="3">
        <v>-4.7343509044608656E-3</v>
      </c>
      <c r="H26" s="3"/>
      <c r="I26" s="3">
        <v>2.5720412418593179</v>
      </c>
      <c r="J26" s="3">
        <v>-0.14358598652338234</v>
      </c>
      <c r="K26" s="3"/>
      <c r="L26" s="3">
        <v>0.36854225903286753</v>
      </c>
      <c r="M26" s="3">
        <v>-5.9335551115751325E-2</v>
      </c>
      <c r="N26" s="3"/>
      <c r="O26" s="3">
        <v>-3.2670772690082055</v>
      </c>
      <c r="P26" s="3">
        <v>6.0069512009987197E-2</v>
      </c>
      <c r="Q26" s="3"/>
      <c r="R26" s="3"/>
      <c r="S26" s="3"/>
      <c r="T26" s="3"/>
    </row>
    <row r="27" spans="1:21" x14ac:dyDescent="0.35">
      <c r="A27" s="3">
        <v>0.58209959110540077</v>
      </c>
      <c r="B27" s="3"/>
      <c r="C27" s="3">
        <v>-4.5798667654741179</v>
      </c>
      <c r="D27" s="3">
        <v>0.15302969452582105</v>
      </c>
      <c r="E27" s="3"/>
      <c r="F27" s="3">
        <v>2.1207726367054454</v>
      </c>
      <c r="G27" s="3">
        <v>-7.211306874926382E-3</v>
      </c>
      <c r="H27" s="3"/>
      <c r="I27" s="3">
        <v>2.7287477533141984</v>
      </c>
      <c r="J27" s="3">
        <v>-0.13406375504010401</v>
      </c>
      <c r="K27" s="3"/>
      <c r="L27" s="3">
        <v>0.33820045966869033</v>
      </c>
      <c r="M27" s="3">
        <v>-5.6704986698126986E-2</v>
      </c>
      <c r="N27" s="3"/>
      <c r="O27" s="3">
        <v>-3.3271467810181927</v>
      </c>
      <c r="P27" s="3">
        <v>5.7446880174584922E-2</v>
      </c>
      <c r="Q27" s="3"/>
      <c r="R27" s="3"/>
      <c r="S27" s="3"/>
      <c r="T27" s="3"/>
    </row>
    <row r="28" spans="1:21" x14ac:dyDescent="0.35">
      <c r="A28" s="3">
        <v>0.53986904122833246</v>
      </c>
      <c r="B28" s="3"/>
      <c r="C28" s="3">
        <v>-4.7200555333265344</v>
      </c>
      <c r="D28" s="3">
        <v>0.14470006061225246</v>
      </c>
      <c r="E28" s="3"/>
      <c r="F28" s="3">
        <v>2.1877176527616662</v>
      </c>
      <c r="G28" s="3">
        <v>-9.3638210408570205E-3</v>
      </c>
      <c r="H28" s="3"/>
      <c r="I28" s="3">
        <v>2.8754441268551947</v>
      </c>
      <c r="J28" s="3">
        <v>-0.12521843659921975</v>
      </c>
      <c r="K28" s="3"/>
      <c r="L28" s="3">
        <v>0.31196499143648537</v>
      </c>
      <c r="M28" s="3">
        <v>-5.366148186198777E-2</v>
      </c>
      <c r="N28" s="3"/>
      <c r="O28" s="3">
        <v>-3.3845936611927776</v>
      </c>
      <c r="P28" s="3">
        <v>5.538085466534836E-2</v>
      </c>
      <c r="Q28" s="3"/>
      <c r="R28" s="3"/>
      <c r="S28" s="3"/>
      <c r="T28" s="3"/>
    </row>
    <row r="29" spans="1:21" x14ac:dyDescent="0.35">
      <c r="A29" s="3">
        <v>0.50199541015958449</v>
      </c>
      <c r="B29" s="3"/>
      <c r="C29" s="3">
        <v>-4.8531495584453186</v>
      </c>
      <c r="D29" s="3">
        <v>0.13691223481448594</v>
      </c>
      <c r="E29" s="3"/>
      <c r="F29" s="3">
        <v>2.2517992518385754</v>
      </c>
      <c r="G29" s="3">
        <v>-1.1188951427254443E-2</v>
      </c>
      <c r="H29" s="3"/>
      <c r="I29" s="3">
        <v>3.0129042115619997</v>
      </c>
      <c r="J29" s="3">
        <v>-0.11704237830245398</v>
      </c>
      <c r="K29" s="3"/>
      <c r="L29" s="3">
        <v>0.28905353410236256</v>
      </c>
      <c r="M29" s="3">
        <v>-5.0434744977341683E-2</v>
      </c>
      <c r="N29" s="3"/>
      <c r="O29" s="3">
        <v>-3.4399745158581259</v>
      </c>
      <c r="P29" s="3">
        <v>5.3702791161450887E-2</v>
      </c>
      <c r="Q29" s="3"/>
      <c r="R29" s="3"/>
      <c r="S29" s="3"/>
      <c r="T29" s="3"/>
    </row>
    <row r="30" spans="1:21" x14ac:dyDescent="0.35">
      <c r="A30" s="3">
        <v>0.46794329384179806</v>
      </c>
      <c r="B30" s="3"/>
      <c r="C30" s="3">
        <v>-4.9796131080418187</v>
      </c>
      <c r="D30" s="3">
        <v>0.12966487599680263</v>
      </c>
      <c r="E30" s="3"/>
      <c r="F30" s="3">
        <v>2.31296933562535</v>
      </c>
      <c r="G30" s="3">
        <v>-1.2706179389543923E-2</v>
      </c>
      <c r="H30" s="3"/>
      <c r="I30" s="3">
        <v>3.1418584113754671</v>
      </c>
      <c r="J30" s="3">
        <v>-0.1095039180360677</v>
      </c>
      <c r="K30" s="3"/>
      <c r="L30" s="3">
        <v>0.2688821398957934</v>
      </c>
      <c r="M30" s="3">
        <v>-4.71752147662855E-2</v>
      </c>
      <c r="N30" s="3"/>
      <c r="O30" s="3">
        <v>-3.4936773070195768</v>
      </c>
      <c r="P30" s="3">
        <v>5.229278174746161E-2</v>
      </c>
      <c r="Q30" s="3"/>
      <c r="R30" s="3"/>
      <c r="S30" s="3"/>
      <c r="T30" s="3"/>
    </row>
    <row r="31" spans="1:21" x14ac:dyDescent="0.35">
      <c r="A31" s="3">
        <v>0.43724654170467503</v>
      </c>
      <c r="B31" s="3"/>
      <c r="C31" s="3">
        <v>-5.0998986804093613</v>
      </c>
      <c r="D31" s="3">
        <v>0.12293689518024088</v>
      </c>
      <c r="E31" s="3"/>
      <c r="F31" s="3">
        <v>2.371264208454444</v>
      </c>
      <c r="G31" s="3">
        <v>-1.3945308356999364E-2</v>
      </c>
      <c r="H31" s="3"/>
      <c r="I31" s="3">
        <v>3.2629802990549677</v>
      </c>
      <c r="J31" s="3">
        <v>-0.10256200698963515</v>
      </c>
      <c r="K31" s="3"/>
      <c r="L31" s="3">
        <v>0.25101183372665725</v>
      </c>
      <c r="M31" s="3">
        <v>-4.39799304342018E-2</v>
      </c>
      <c r="N31" s="3"/>
      <c r="O31" s="3">
        <v>-3.5459700887670382</v>
      </c>
      <c r="P31" s="3">
        <v>5.1066160944026447E-2</v>
      </c>
      <c r="Q31" s="3"/>
      <c r="R31" s="3"/>
      <c r="S31" s="3"/>
      <c r="T31" s="3"/>
    </row>
    <row r="32" spans="1:21" x14ac:dyDescent="0.35">
      <c r="A32" s="3">
        <v>0.40950106094511751</v>
      </c>
      <c r="B32" s="3"/>
      <c r="C32" s="3">
        <v>-5.2144357536927863</v>
      </c>
      <c r="D32" s="3">
        <v>0.11669786766735711</v>
      </c>
      <c r="E32" s="3"/>
      <c r="F32" s="3">
        <v>2.4267723941006025</v>
      </c>
      <c r="G32" s="3">
        <v>-1.4939493092262071E-2</v>
      </c>
      <c r="H32" s="3"/>
      <c r="I32" s="3">
        <v>3.376885373689726</v>
      </c>
      <c r="J32" s="3">
        <v>-9.6173216931979943E-2</v>
      </c>
      <c r="K32" s="3"/>
      <c r="L32" s="3">
        <v>0.23510763763482592</v>
      </c>
      <c r="M32" s="3">
        <v>-4.090978130957075E-2</v>
      </c>
      <c r="N32" s="3"/>
      <c r="O32" s="3">
        <v>-3.5970362497110648</v>
      </c>
      <c r="P32" s="3">
        <v>4.9963591304121611E-2</v>
      </c>
      <c r="Q32" s="3"/>
      <c r="R32" s="3"/>
      <c r="S32" s="3"/>
      <c r="T32" s="3"/>
    </row>
    <row r="33" spans="1:20" x14ac:dyDescent="0.35">
      <c r="A33" s="3">
        <v>0.38435701290739244</v>
      </c>
      <c r="B33" s="3"/>
      <c r="C33" s="3">
        <v>-5.3236256414617067</v>
      </c>
      <c r="D33" s="3">
        <v>0.1109137967769738</v>
      </c>
      <c r="E33" s="3"/>
      <c r="F33" s="3">
        <v>2.4796129448394906</v>
      </c>
      <c r="G33" s="3">
        <v>-1.5721483796744776E-2</v>
      </c>
      <c r="H33" s="3"/>
      <c r="I33" s="3">
        <v>3.484134710871357</v>
      </c>
      <c r="J33" s="3">
        <v>-9.0294855604318533E-2</v>
      </c>
      <c r="K33" s="3"/>
      <c r="L33" s="3">
        <v>0.22090860751704222</v>
      </c>
      <c r="M33" s="3">
        <v>-3.8001033179418733E-2</v>
      </c>
      <c r="N33" s="3"/>
      <c r="O33" s="3">
        <v>-3.6469998410151865</v>
      </c>
      <c r="P33" s="3">
        <v>4.8943881465529013E-2</v>
      </c>
      <c r="Q33" s="3"/>
      <c r="R33" s="3"/>
      <c r="S33" s="3"/>
      <c r="T33" s="3"/>
    </row>
    <row r="34" spans="1:20" x14ac:dyDescent="0.35">
      <c r="A34" s="3"/>
      <c r="B34" s="3"/>
      <c r="C34" s="3"/>
      <c r="D34" s="3"/>
      <c r="E34" s="3"/>
      <c r="F34" s="3"/>
      <c r="G34" s="3"/>
      <c r="H34" s="3"/>
      <c r="I34" s="3"/>
      <c r="J34" s="3"/>
      <c r="K34" s="3"/>
      <c r="L34" s="3"/>
      <c r="M34" s="3"/>
      <c r="N34" s="3"/>
      <c r="O34" s="3"/>
      <c r="P34" s="3"/>
      <c r="Q34" s="3"/>
      <c r="R34" s="3"/>
      <c r="S34" s="3"/>
      <c r="T34" s="3"/>
    </row>
    <row r="35" spans="1:20" x14ac:dyDescent="0.35">
      <c r="A35" s="3"/>
      <c r="B35" s="3"/>
      <c r="C35" s="3"/>
      <c r="D35" s="3"/>
      <c r="E35" s="3"/>
      <c r="F35" s="3"/>
      <c r="G35" s="3"/>
      <c r="H35" s="3"/>
      <c r="I35" s="3"/>
      <c r="J35" s="3"/>
      <c r="K35" s="3"/>
      <c r="L35" s="3"/>
      <c r="M35" s="3"/>
      <c r="N35" s="3"/>
      <c r="O35" s="3"/>
      <c r="P35" s="3"/>
      <c r="Q35" s="3"/>
      <c r="R35" s="3"/>
      <c r="S35" s="3"/>
      <c r="T35" s="3"/>
    </row>
    <row r="36" spans="1:20" x14ac:dyDescent="0.35">
      <c r="A36" s="3"/>
      <c r="B36" s="3"/>
      <c r="C36" s="3"/>
      <c r="D36" s="3"/>
      <c r="E36" s="3"/>
      <c r="F36" s="3"/>
      <c r="G36" s="3"/>
      <c r="H36" s="3"/>
      <c r="I36" s="3"/>
      <c r="J36" s="3"/>
      <c r="K36" s="3"/>
      <c r="L36" s="3"/>
      <c r="M36" s="3"/>
      <c r="N36" s="3"/>
      <c r="O36" s="3"/>
      <c r="P36" s="3"/>
      <c r="Q36" s="3"/>
      <c r="R36" s="3"/>
      <c r="S36" s="3"/>
      <c r="T36" s="3"/>
    </row>
    <row r="37" spans="1:20" x14ac:dyDescent="0.35">
      <c r="A37" s="3"/>
      <c r="B37" s="3"/>
      <c r="C37" s="3"/>
      <c r="D37" s="3"/>
      <c r="E37" s="3"/>
      <c r="F37" s="3"/>
      <c r="G37" s="3"/>
      <c r="H37" s="3"/>
      <c r="I37" s="3"/>
      <c r="J37" s="3"/>
      <c r="K37" s="3"/>
      <c r="L37" s="3"/>
      <c r="M37" s="3"/>
      <c r="N37" s="3"/>
      <c r="O37" s="3"/>
      <c r="P37" s="3"/>
      <c r="Q37" s="3"/>
      <c r="R37" s="3"/>
      <c r="S37" s="3"/>
      <c r="T37" s="3"/>
    </row>
    <row r="38" spans="1:20" x14ac:dyDescent="0.35">
      <c r="A38" s="3"/>
      <c r="B38" s="3"/>
      <c r="C38" s="3"/>
      <c r="D38" s="3"/>
      <c r="E38" s="3"/>
      <c r="F38" s="3"/>
      <c r="G38" s="3"/>
      <c r="H38" s="3"/>
      <c r="I38" s="3"/>
      <c r="J38" s="3"/>
      <c r="K38" s="3"/>
      <c r="L38" s="3"/>
      <c r="M38" s="3"/>
      <c r="N38" s="3"/>
      <c r="O38" s="3"/>
      <c r="P38" s="3"/>
      <c r="Q38" s="3"/>
      <c r="R38" s="3"/>
      <c r="S38" s="3"/>
      <c r="T38" s="3"/>
    </row>
    <row r="39" spans="1:20" x14ac:dyDescent="0.35">
      <c r="A39" s="3"/>
      <c r="B39" s="3"/>
      <c r="C39" s="3"/>
      <c r="D39" s="3"/>
      <c r="E39" s="3"/>
      <c r="F39" s="3"/>
      <c r="G39" s="3"/>
      <c r="H39" s="3"/>
      <c r="I39" s="3"/>
      <c r="J39" s="3"/>
      <c r="K39" s="3"/>
      <c r="L39" s="3"/>
      <c r="M39" s="3"/>
      <c r="N39" s="3"/>
      <c r="O39" s="3"/>
      <c r="P39" s="3"/>
      <c r="Q39" s="3"/>
      <c r="R39" s="3"/>
      <c r="S39" s="3"/>
      <c r="T39" s="3"/>
    </row>
    <row r="40" spans="1:20" x14ac:dyDescent="0.35">
      <c r="A40" s="3"/>
      <c r="B40" s="3"/>
      <c r="C40" s="3"/>
      <c r="D40" s="3"/>
      <c r="E40" s="3"/>
      <c r="F40" s="3"/>
      <c r="G40" s="3"/>
      <c r="H40" s="3"/>
      <c r="I40" s="3"/>
      <c r="J40" s="3"/>
      <c r="K40" s="3"/>
      <c r="L40" s="3"/>
      <c r="M40" s="3"/>
      <c r="N40" s="3"/>
      <c r="O40" s="3"/>
      <c r="P40" s="3"/>
      <c r="Q40" s="3"/>
      <c r="R40" s="3"/>
      <c r="S40" s="3"/>
      <c r="T40" s="3"/>
    </row>
    <row r="41" spans="1:20" x14ac:dyDescent="0.35">
      <c r="A41" s="3"/>
      <c r="B41" s="3"/>
      <c r="C41" s="3"/>
      <c r="D41" s="3"/>
      <c r="E41" s="3"/>
      <c r="F41" s="3"/>
      <c r="G41" s="3"/>
      <c r="H41" s="3"/>
      <c r="I41" s="3"/>
      <c r="J41" s="3"/>
      <c r="K41" s="3"/>
      <c r="L41" s="3"/>
      <c r="M41" s="3"/>
      <c r="N41" s="3"/>
      <c r="O41" s="3"/>
      <c r="P41" s="3"/>
      <c r="Q41" s="3"/>
      <c r="R41" s="3"/>
      <c r="S41" s="3"/>
      <c r="T41" s="3"/>
    </row>
    <row r="42" spans="1:20" x14ac:dyDescent="0.35">
      <c r="A42" s="3"/>
      <c r="B42" s="3"/>
      <c r="C42" s="3"/>
      <c r="D42" s="3"/>
      <c r="E42" s="3"/>
      <c r="F42" s="3"/>
      <c r="G42" s="3"/>
      <c r="H42" s="3"/>
      <c r="I42" s="3"/>
      <c r="J42" s="3"/>
      <c r="K42" s="3"/>
      <c r="L42" s="3"/>
      <c r="M42" s="3"/>
      <c r="N42" s="3"/>
      <c r="O42" s="3"/>
      <c r="P42" s="3"/>
      <c r="Q42" s="3"/>
      <c r="R42" s="3"/>
      <c r="S42" s="3"/>
      <c r="T42" s="3"/>
    </row>
    <row r="43" spans="1:20" x14ac:dyDescent="0.35">
      <c r="A43" s="3"/>
      <c r="B43" s="3"/>
      <c r="C43" s="3"/>
      <c r="D43" s="3"/>
      <c r="E43" s="3"/>
      <c r="F43" s="3"/>
      <c r="G43" s="3"/>
      <c r="H43" s="3"/>
      <c r="I43" s="3"/>
      <c r="J43" s="3"/>
      <c r="K43" s="3"/>
      <c r="L43" s="3"/>
      <c r="M43" s="3"/>
      <c r="N43" s="3"/>
      <c r="O43" s="3"/>
      <c r="P43" s="3"/>
      <c r="Q43" s="3"/>
      <c r="R43" s="3"/>
      <c r="S43" s="3"/>
      <c r="T43" s="3"/>
    </row>
    <row r="44" spans="1:20" x14ac:dyDescent="0.35">
      <c r="A44" s="3"/>
      <c r="B44" s="3"/>
      <c r="C44" s="3"/>
      <c r="D44" s="3"/>
      <c r="E44" s="3"/>
      <c r="F44" s="3"/>
      <c r="G44" s="3"/>
      <c r="H44" s="3"/>
      <c r="I44" s="3"/>
      <c r="J44" s="3"/>
      <c r="K44" s="3"/>
      <c r="L44" s="3"/>
      <c r="M44" s="3"/>
      <c r="N44" s="3"/>
      <c r="O44" s="3"/>
      <c r="P44" s="3"/>
      <c r="Q44" s="3"/>
      <c r="R44" s="3"/>
      <c r="S44" s="3"/>
      <c r="T44" s="3"/>
    </row>
    <row r="45" spans="1:20" x14ac:dyDescent="0.35">
      <c r="A45" s="3"/>
      <c r="B45" s="3"/>
      <c r="C45" s="3"/>
      <c r="D45" s="3"/>
      <c r="E45" s="3"/>
      <c r="F45" s="3"/>
      <c r="G45" s="3"/>
      <c r="H45" s="3"/>
      <c r="I45" s="3"/>
      <c r="J45" s="3"/>
      <c r="K45" s="3"/>
      <c r="L45" s="3"/>
      <c r="M45" s="3"/>
      <c r="N45" s="3"/>
      <c r="O45" s="3"/>
      <c r="P45" s="3"/>
      <c r="Q45" s="3"/>
      <c r="R45" s="3"/>
      <c r="S45" s="3"/>
      <c r="T45" s="3"/>
    </row>
    <row r="46" spans="1:20" x14ac:dyDescent="0.35">
      <c r="A46" s="3"/>
      <c r="B46" s="3"/>
      <c r="C46" s="3"/>
      <c r="D46" s="3"/>
      <c r="E46" s="3"/>
      <c r="F46" s="3"/>
      <c r="G46" s="3"/>
      <c r="H46" s="3"/>
      <c r="I46" s="3"/>
      <c r="J46" s="3"/>
      <c r="K46" s="3"/>
      <c r="L46" s="3"/>
      <c r="M46" s="3"/>
      <c r="N46" s="3"/>
      <c r="O46" s="3"/>
      <c r="P46" s="3"/>
      <c r="Q46" s="3"/>
      <c r="R46" s="3"/>
      <c r="S46" s="3"/>
      <c r="T46" s="3"/>
    </row>
    <row r="47" spans="1:20" x14ac:dyDescent="0.35">
      <c r="A47" s="3"/>
      <c r="B47" s="3"/>
      <c r="C47" s="3"/>
      <c r="D47" s="3"/>
      <c r="E47" s="3"/>
      <c r="F47" s="3"/>
      <c r="G47" s="3"/>
      <c r="H47" s="3"/>
      <c r="I47" s="3"/>
      <c r="J47" s="3"/>
      <c r="K47" s="3"/>
      <c r="L47" s="3"/>
      <c r="M47" s="3"/>
      <c r="N47" s="3"/>
      <c r="O47" s="3"/>
      <c r="P47" s="3"/>
      <c r="Q47" s="3"/>
      <c r="R47" s="3"/>
      <c r="S47" s="3"/>
      <c r="T47" s="3"/>
    </row>
    <row r="48" spans="1:20" x14ac:dyDescent="0.35">
      <c r="A48" s="3"/>
      <c r="B48" s="3"/>
      <c r="C48" s="3"/>
      <c r="D48" s="3"/>
      <c r="E48" s="3"/>
      <c r="F48" s="3"/>
      <c r="G48" s="3"/>
      <c r="H48" s="3"/>
      <c r="I48" s="3"/>
      <c r="J48" s="3"/>
      <c r="K48" s="3"/>
      <c r="L48" s="3"/>
      <c r="M48" s="3"/>
      <c r="N48" s="3"/>
      <c r="O48" s="3"/>
      <c r="P48" s="3"/>
      <c r="Q48" s="3"/>
      <c r="R48" s="3"/>
      <c r="S48" s="3"/>
      <c r="T48" s="3"/>
    </row>
    <row r="49" spans="1:20" x14ac:dyDescent="0.35">
      <c r="A49" s="3"/>
      <c r="B49" s="3"/>
      <c r="C49" s="3"/>
      <c r="D49" s="3"/>
      <c r="E49" s="3"/>
      <c r="F49" s="3"/>
      <c r="G49" s="3"/>
      <c r="H49" s="3"/>
      <c r="I49" s="3"/>
      <c r="J49" s="3"/>
      <c r="K49" s="3"/>
      <c r="L49" s="3"/>
      <c r="M49" s="3"/>
      <c r="N49" s="3"/>
      <c r="O49" s="3"/>
      <c r="P49" s="3"/>
      <c r="Q49" s="3"/>
      <c r="R49" s="3"/>
      <c r="S49" s="3"/>
      <c r="T49" s="3"/>
    </row>
    <row r="50" spans="1:20" x14ac:dyDescent="0.35">
      <c r="A50" s="3"/>
      <c r="B50" s="3"/>
      <c r="C50" s="3"/>
      <c r="D50" s="3"/>
      <c r="E50" s="3"/>
      <c r="F50" s="3"/>
      <c r="G50" s="3"/>
      <c r="H50" s="3"/>
      <c r="I50" s="3"/>
      <c r="J50" s="3"/>
      <c r="K50" s="3"/>
      <c r="L50" s="3"/>
      <c r="M50" s="3"/>
      <c r="N50" s="3"/>
      <c r="O50" s="3"/>
      <c r="P50" s="3"/>
      <c r="Q50" s="3"/>
      <c r="R50" s="3"/>
      <c r="S50" s="3"/>
      <c r="T50" s="3"/>
    </row>
    <row r="51" spans="1:20" x14ac:dyDescent="0.35">
      <c r="A51" s="3"/>
      <c r="B51" s="3"/>
      <c r="C51" s="3"/>
      <c r="D51" s="3"/>
      <c r="E51" s="3"/>
      <c r="F51" s="3"/>
      <c r="G51" s="3"/>
      <c r="H51" s="3"/>
      <c r="I51" s="3"/>
      <c r="J51" s="3"/>
      <c r="K51" s="3"/>
      <c r="L51" s="3"/>
      <c r="M51" s="3"/>
      <c r="N51" s="3"/>
      <c r="O51" s="3"/>
      <c r="P51" s="3"/>
      <c r="Q51" s="3"/>
      <c r="R51" s="3"/>
      <c r="S51" s="3"/>
      <c r="T51" s="3"/>
    </row>
    <row r="52" spans="1:20" x14ac:dyDescent="0.35">
      <c r="A52" s="3"/>
      <c r="B52" s="3"/>
      <c r="C52" s="3"/>
      <c r="D52" s="3"/>
      <c r="E52" s="3"/>
      <c r="F52" s="3"/>
      <c r="G52" s="3"/>
      <c r="H52" s="3"/>
      <c r="I52" s="3"/>
      <c r="J52" s="3"/>
      <c r="K52" s="3"/>
      <c r="L52" s="3"/>
      <c r="M52" s="3"/>
      <c r="N52" s="3"/>
      <c r="O52" s="3"/>
      <c r="P52" s="3"/>
      <c r="Q52" s="3"/>
      <c r="R52" s="3"/>
      <c r="S52" s="3"/>
      <c r="T52" s="3"/>
    </row>
    <row r="53" spans="1:20" x14ac:dyDescent="0.35">
      <c r="A53" s="3"/>
      <c r="B53" s="3"/>
      <c r="C53" s="3"/>
      <c r="D53" s="3"/>
      <c r="E53" s="3"/>
      <c r="F53" s="3"/>
      <c r="G53" s="3"/>
      <c r="H53" s="3"/>
      <c r="I53" s="3"/>
      <c r="J53" s="3"/>
      <c r="K53" s="3"/>
      <c r="L53" s="3"/>
      <c r="M53" s="3"/>
      <c r="N53" s="3"/>
      <c r="O53" s="3"/>
      <c r="P53" s="3"/>
      <c r="Q53" s="3"/>
      <c r="R53" s="3"/>
      <c r="S53" s="3"/>
      <c r="T53" s="3"/>
    </row>
    <row r="54" spans="1:20" x14ac:dyDescent="0.35">
      <c r="A54" s="3"/>
      <c r="B54" s="3"/>
      <c r="C54" s="3"/>
      <c r="D54" s="3"/>
      <c r="E54" s="3"/>
      <c r="F54" s="3"/>
      <c r="G54" s="3"/>
      <c r="H54" s="3"/>
      <c r="I54" s="3"/>
      <c r="J54" s="3"/>
      <c r="K54" s="3"/>
      <c r="L54" s="3"/>
      <c r="M54" s="3"/>
      <c r="N54" s="3"/>
      <c r="O54" s="3"/>
      <c r="P54" s="3"/>
      <c r="Q54" s="3"/>
      <c r="R54" s="3"/>
      <c r="S54" s="3"/>
      <c r="T54" s="3"/>
    </row>
    <row r="55" spans="1:20" x14ac:dyDescent="0.35">
      <c r="A55" s="3"/>
      <c r="B55" s="3"/>
      <c r="C55" s="3"/>
      <c r="D55" s="3"/>
      <c r="E55" s="3"/>
      <c r="F55" s="3"/>
      <c r="G55" s="3"/>
      <c r="H55" s="3"/>
      <c r="I55" s="3"/>
      <c r="J55" s="3"/>
      <c r="K55" s="3"/>
      <c r="L55" s="3"/>
      <c r="M55" s="3"/>
      <c r="N55" s="3"/>
      <c r="O55" s="3"/>
      <c r="P55" s="3"/>
      <c r="Q55" s="3"/>
      <c r="R55" s="3"/>
      <c r="S55" s="3"/>
      <c r="T55" s="3"/>
    </row>
    <row r="56" spans="1:20" x14ac:dyDescent="0.35">
      <c r="A56" s="3"/>
      <c r="B56" s="3"/>
      <c r="C56" s="3"/>
      <c r="D56" s="3"/>
      <c r="E56" s="3"/>
      <c r="F56" s="3"/>
      <c r="G56" s="3"/>
      <c r="H56" s="3"/>
      <c r="I56" s="3"/>
      <c r="J56" s="3"/>
      <c r="K56" s="3"/>
      <c r="L56" s="3"/>
      <c r="M56" s="3"/>
      <c r="N56" s="3"/>
      <c r="O56" s="3"/>
      <c r="P56" s="3"/>
      <c r="Q56" s="3"/>
      <c r="R56" s="3"/>
      <c r="S56" s="3"/>
      <c r="T56" s="3"/>
    </row>
    <row r="57" spans="1:20" x14ac:dyDescent="0.35">
      <c r="A57" s="3"/>
      <c r="B57" s="3"/>
      <c r="C57" s="3"/>
      <c r="D57" s="3"/>
      <c r="E57" s="3"/>
      <c r="F57" s="3"/>
      <c r="G57" s="3"/>
      <c r="H57" s="3"/>
      <c r="I57" s="3"/>
      <c r="J57" s="3"/>
      <c r="K57" s="3"/>
      <c r="L57" s="3"/>
      <c r="M57" s="3"/>
      <c r="N57" s="3"/>
      <c r="O57" s="3"/>
      <c r="P57" s="3"/>
      <c r="Q57" s="3"/>
      <c r="R57" s="3"/>
      <c r="S57" s="3"/>
      <c r="T57" s="3"/>
    </row>
    <row r="58" spans="1:20" x14ac:dyDescent="0.35">
      <c r="A58" s="3"/>
      <c r="B58" s="3"/>
      <c r="C58" s="3"/>
      <c r="D58" s="3"/>
      <c r="E58" s="3"/>
      <c r="F58" s="3"/>
      <c r="G58" s="3"/>
      <c r="H58" s="3"/>
      <c r="I58" s="3"/>
      <c r="J58" s="3"/>
      <c r="K58" s="3"/>
      <c r="L58" s="3"/>
      <c r="M58" s="3"/>
      <c r="N58" s="3"/>
      <c r="O58" s="3"/>
      <c r="P58" s="3"/>
      <c r="Q58" s="3"/>
      <c r="R58" s="3"/>
      <c r="S58" s="3"/>
      <c r="T58" s="3"/>
    </row>
    <row r="59" spans="1:20" x14ac:dyDescent="0.35">
      <c r="A59" s="3"/>
      <c r="B59" s="3"/>
      <c r="C59" s="3"/>
      <c r="D59" s="3"/>
      <c r="E59" s="3"/>
      <c r="F59" s="3"/>
      <c r="G59" s="3"/>
      <c r="H59" s="3"/>
      <c r="I59" s="3"/>
      <c r="J59" s="3"/>
      <c r="K59" s="3"/>
      <c r="L59" s="3"/>
      <c r="M59" s="3"/>
      <c r="N59" s="3"/>
      <c r="O59" s="3"/>
      <c r="P59" s="3"/>
      <c r="Q59" s="3"/>
      <c r="R59" s="3"/>
      <c r="S59" s="3"/>
      <c r="T59" s="3"/>
    </row>
    <row r="60" spans="1:20" x14ac:dyDescent="0.35">
      <c r="A60" s="3"/>
      <c r="B60" s="3"/>
      <c r="C60" s="3"/>
      <c r="D60" s="3"/>
      <c r="E60" s="3"/>
      <c r="F60" s="3"/>
      <c r="G60" s="3"/>
      <c r="H60" s="3"/>
      <c r="I60" s="3"/>
      <c r="J60" s="3"/>
      <c r="K60" s="3"/>
      <c r="L60" s="3"/>
      <c r="M60" s="3"/>
      <c r="N60" s="3"/>
      <c r="O60" s="3"/>
      <c r="P60" s="3"/>
      <c r="Q60" s="3"/>
      <c r="R60" s="3"/>
      <c r="S60" s="3"/>
      <c r="T60" s="3"/>
    </row>
    <row r="61" spans="1:20" x14ac:dyDescent="0.35">
      <c r="A61" s="3"/>
      <c r="B61" s="3"/>
      <c r="C61" s="3"/>
      <c r="D61" s="3"/>
      <c r="E61" s="3"/>
      <c r="F61" s="3"/>
      <c r="G61" s="3"/>
      <c r="H61" s="3"/>
      <c r="I61" s="3"/>
      <c r="J61" s="3"/>
      <c r="K61" s="3"/>
      <c r="L61" s="3"/>
      <c r="M61" s="3"/>
      <c r="N61" s="3"/>
      <c r="O61" s="3"/>
      <c r="P61" s="3"/>
      <c r="Q61" s="3"/>
      <c r="R61" s="3"/>
      <c r="S61" s="3"/>
      <c r="T61" s="3"/>
    </row>
    <row r="62" spans="1:20" x14ac:dyDescent="0.35">
      <c r="A62" s="3"/>
      <c r="B62" s="3"/>
      <c r="C62" s="3"/>
      <c r="D62" s="3"/>
      <c r="E62" s="3"/>
      <c r="F62" s="3"/>
      <c r="G62" s="3"/>
      <c r="H62" s="3"/>
      <c r="I62" s="3"/>
      <c r="J62" s="3"/>
      <c r="K62" s="3"/>
      <c r="L62" s="3"/>
      <c r="M62" s="3"/>
      <c r="N62" s="3"/>
      <c r="O62" s="3"/>
      <c r="P62" s="3"/>
      <c r="Q62" s="3"/>
      <c r="R62" s="3"/>
      <c r="S62" s="3"/>
      <c r="T62" s="3"/>
    </row>
    <row r="63" spans="1:20" x14ac:dyDescent="0.35">
      <c r="A63" s="3"/>
      <c r="B63" s="3"/>
      <c r="C63" s="3"/>
      <c r="D63" s="3"/>
      <c r="E63" s="3"/>
      <c r="F63" s="3"/>
      <c r="G63" s="3"/>
      <c r="H63" s="3"/>
      <c r="I63" s="3"/>
      <c r="J63" s="3"/>
      <c r="K63" s="3"/>
      <c r="L63" s="3"/>
      <c r="M63" s="3"/>
      <c r="N63" s="3"/>
      <c r="O63" s="3"/>
      <c r="P63" s="3"/>
      <c r="Q63" s="3"/>
      <c r="R63" s="3"/>
      <c r="S63" s="3"/>
      <c r="T63" s="3"/>
    </row>
    <row r="64" spans="1:20" x14ac:dyDescent="0.35">
      <c r="A64" s="3"/>
      <c r="B64" s="3"/>
      <c r="C64" s="3"/>
      <c r="D64" s="3"/>
      <c r="E64" s="3"/>
      <c r="F64" s="3"/>
      <c r="G64" s="3"/>
      <c r="H64" s="3"/>
      <c r="I64" s="3"/>
      <c r="J64" s="3"/>
      <c r="K64" s="3"/>
      <c r="L64" s="3"/>
      <c r="M64" s="3"/>
      <c r="N64" s="3"/>
      <c r="O64" s="3"/>
      <c r="P64" s="3"/>
      <c r="Q64" s="3"/>
      <c r="R64" s="3"/>
      <c r="S64" s="3"/>
      <c r="T64" s="3"/>
    </row>
    <row r="65" spans="1:20" x14ac:dyDescent="0.35">
      <c r="A65" s="3"/>
      <c r="B65" s="3"/>
      <c r="C65" s="3"/>
      <c r="D65" s="3"/>
      <c r="E65" s="3"/>
      <c r="F65" s="3"/>
      <c r="G65" s="3"/>
      <c r="H65" s="3"/>
      <c r="I65" s="3"/>
      <c r="J65" s="3"/>
      <c r="K65" s="3"/>
      <c r="L65" s="3"/>
      <c r="M65" s="3"/>
      <c r="N65" s="3"/>
      <c r="O65" s="3"/>
      <c r="P65" s="3"/>
      <c r="Q65" s="3"/>
      <c r="R65" s="3"/>
      <c r="S65" s="3"/>
      <c r="T65" s="3"/>
    </row>
    <row r="66" spans="1:20" x14ac:dyDescent="0.35">
      <c r="A66" s="3"/>
      <c r="B66" s="3"/>
      <c r="C66" s="3"/>
      <c r="D66" s="3"/>
      <c r="E66" s="3"/>
      <c r="F66" s="3"/>
      <c r="G66" s="3"/>
      <c r="H66" s="3"/>
      <c r="I66" s="3"/>
      <c r="J66" s="3"/>
      <c r="K66" s="3"/>
      <c r="L66" s="3"/>
      <c r="M66" s="3"/>
      <c r="N66" s="3"/>
      <c r="O66" s="3"/>
      <c r="P66" s="3"/>
      <c r="Q66" s="3"/>
      <c r="R66" s="3"/>
      <c r="S66" s="3"/>
      <c r="T66" s="3"/>
    </row>
    <row r="67" spans="1:20" x14ac:dyDescent="0.35">
      <c r="A67" s="3"/>
      <c r="B67" s="3"/>
      <c r="C67" s="3"/>
      <c r="D67" s="3"/>
      <c r="E67" s="3"/>
      <c r="F67" s="3"/>
      <c r="G67" s="3"/>
      <c r="H67" s="3"/>
      <c r="I67" s="3"/>
      <c r="J67" s="3"/>
      <c r="K67" s="3"/>
      <c r="L67" s="3"/>
      <c r="M67" s="3"/>
      <c r="N67" s="3"/>
      <c r="O67" s="3"/>
      <c r="P67" s="3"/>
      <c r="Q67" s="3"/>
      <c r="R67" s="3"/>
      <c r="S67" s="3"/>
      <c r="T67" s="3"/>
    </row>
    <row r="68" spans="1:20" x14ac:dyDescent="0.35">
      <c r="A68" s="3"/>
      <c r="B68" s="3"/>
      <c r="C68" s="3"/>
      <c r="D68" s="3"/>
      <c r="E68" s="3"/>
      <c r="F68" s="3"/>
      <c r="G68" s="3"/>
      <c r="H68" s="3"/>
      <c r="I68" s="3"/>
      <c r="J68" s="3"/>
      <c r="K68" s="3"/>
      <c r="L68" s="3"/>
      <c r="M68" s="3"/>
      <c r="N68" s="3"/>
      <c r="O68" s="3"/>
      <c r="P68" s="3"/>
      <c r="Q68" s="3"/>
      <c r="R68" s="3"/>
      <c r="S68" s="3"/>
      <c r="T68" s="3"/>
    </row>
    <row r="69" spans="1:20" x14ac:dyDescent="0.35">
      <c r="A69" s="3"/>
      <c r="B69" s="3"/>
      <c r="C69" s="3"/>
      <c r="D69" s="3"/>
      <c r="E69" s="3"/>
      <c r="F69" s="3"/>
      <c r="G69" s="3"/>
      <c r="H69" s="3"/>
      <c r="I69" s="3"/>
      <c r="J69" s="3"/>
      <c r="K69" s="3"/>
      <c r="L69" s="3"/>
      <c r="M69" s="3"/>
      <c r="N69" s="3"/>
      <c r="O69" s="3"/>
      <c r="P69" s="3"/>
      <c r="Q69" s="3"/>
      <c r="R69" s="3"/>
      <c r="S69" s="3"/>
      <c r="T69" s="3"/>
    </row>
    <row r="70" spans="1:20" x14ac:dyDescent="0.35">
      <c r="A70" s="3"/>
      <c r="B70" s="3"/>
      <c r="C70" s="3"/>
      <c r="D70" s="3"/>
      <c r="E70" s="3"/>
      <c r="F70" s="3"/>
      <c r="G70" s="3"/>
      <c r="H70" s="3"/>
      <c r="I70" s="3"/>
      <c r="J70" s="3"/>
      <c r="K70" s="3"/>
      <c r="L70" s="3"/>
      <c r="M70" s="3"/>
      <c r="N70" s="3"/>
      <c r="O70" s="3"/>
      <c r="P70" s="3"/>
      <c r="Q70" s="3"/>
      <c r="R70" s="3"/>
      <c r="S70" s="3"/>
      <c r="T70" s="3"/>
    </row>
    <row r="71" spans="1:20" x14ac:dyDescent="0.35">
      <c r="A71" s="3"/>
      <c r="B71" s="3"/>
      <c r="C71" s="3"/>
      <c r="D71" s="3"/>
      <c r="E71" s="3"/>
      <c r="F71" s="3"/>
      <c r="G71" s="3"/>
      <c r="H71" s="3"/>
      <c r="I71" s="3"/>
      <c r="J71" s="3"/>
      <c r="K71" s="3"/>
      <c r="L71" s="3"/>
      <c r="M71" s="3"/>
      <c r="N71" s="3"/>
      <c r="O71" s="3"/>
      <c r="P71" s="3"/>
      <c r="Q71" s="3"/>
      <c r="R71" s="3"/>
      <c r="S71" s="3"/>
      <c r="T71" s="3"/>
    </row>
    <row r="72" spans="1:20" x14ac:dyDescent="0.35">
      <c r="A72" s="3"/>
      <c r="B72" s="3"/>
      <c r="C72" s="3"/>
      <c r="D72" s="3"/>
      <c r="E72" s="3"/>
      <c r="F72" s="3"/>
      <c r="G72" s="3"/>
      <c r="H72" s="3"/>
      <c r="I72" s="3"/>
      <c r="J72" s="3"/>
      <c r="K72" s="3"/>
      <c r="L72" s="3"/>
      <c r="M72" s="3"/>
      <c r="N72" s="3"/>
      <c r="O72" s="3"/>
      <c r="P72" s="3"/>
      <c r="Q72" s="3"/>
      <c r="R72" s="3"/>
      <c r="S72" s="3"/>
      <c r="T72" s="3"/>
    </row>
    <row r="73" spans="1:20" x14ac:dyDescent="0.35">
      <c r="A73" s="3"/>
      <c r="B73" s="3"/>
      <c r="C73" s="3"/>
      <c r="D73" s="3"/>
      <c r="E73" s="3"/>
      <c r="F73" s="3"/>
      <c r="G73" s="3"/>
      <c r="H73" s="3"/>
      <c r="I73" s="3"/>
      <c r="J73" s="3"/>
      <c r="K73" s="3"/>
      <c r="L73" s="3"/>
      <c r="M73" s="3"/>
      <c r="N73" s="3"/>
      <c r="O73" s="3"/>
      <c r="P73" s="3"/>
      <c r="Q73" s="3"/>
      <c r="R73" s="3"/>
      <c r="S73" s="3"/>
      <c r="T73" s="3"/>
    </row>
    <row r="74" spans="1:20" x14ac:dyDescent="0.35">
      <c r="A74" s="3"/>
      <c r="B74" s="3"/>
      <c r="C74" s="3"/>
      <c r="D74" s="3"/>
      <c r="E74" s="3"/>
      <c r="F74" s="3"/>
      <c r="G74" s="3"/>
      <c r="H74" s="3"/>
      <c r="I74" s="3"/>
      <c r="J74" s="3"/>
      <c r="K74" s="3"/>
      <c r="L74" s="3"/>
      <c r="M74" s="3"/>
      <c r="N74" s="3"/>
      <c r="O74" s="3"/>
      <c r="P74" s="3"/>
      <c r="Q74" s="3"/>
      <c r="R74" s="3"/>
      <c r="S74" s="3"/>
      <c r="T74" s="3"/>
    </row>
    <row r="75" spans="1:20" x14ac:dyDescent="0.35">
      <c r="A75" s="3"/>
      <c r="B75" s="3"/>
      <c r="C75" s="3"/>
      <c r="D75" s="3"/>
      <c r="E75" s="3"/>
      <c r="F75" s="3"/>
      <c r="G75" s="3"/>
      <c r="H75" s="3"/>
      <c r="I75" s="3"/>
      <c r="J75" s="3"/>
      <c r="K75" s="3"/>
      <c r="L75" s="3"/>
      <c r="M75" s="3"/>
      <c r="N75" s="3"/>
      <c r="O75" s="3"/>
      <c r="P75" s="3"/>
      <c r="Q75" s="3"/>
      <c r="R75" s="3"/>
      <c r="S75" s="3"/>
      <c r="T75" s="3"/>
    </row>
    <row r="76" spans="1:20" x14ac:dyDescent="0.35">
      <c r="A76" s="3"/>
      <c r="B76" s="3"/>
      <c r="C76" s="3"/>
      <c r="D76" s="3"/>
      <c r="E76" s="3"/>
      <c r="F76" s="3"/>
      <c r="G76" s="3"/>
      <c r="H76" s="3"/>
      <c r="I76" s="3"/>
      <c r="J76" s="3"/>
      <c r="K76" s="3"/>
      <c r="L76" s="3"/>
      <c r="M76" s="3"/>
      <c r="N76" s="3"/>
      <c r="O76" s="3"/>
      <c r="P76" s="3"/>
      <c r="Q76" s="3"/>
      <c r="R76" s="3"/>
      <c r="S76" s="3"/>
      <c r="T76" s="3"/>
    </row>
    <row r="77" spans="1:20" x14ac:dyDescent="0.35">
      <c r="A77" s="3"/>
      <c r="B77" s="3"/>
      <c r="C77" s="3"/>
      <c r="D77" s="3"/>
      <c r="E77" s="3"/>
      <c r="F77" s="3"/>
      <c r="G77" s="3"/>
      <c r="H77" s="3"/>
      <c r="I77" s="3"/>
      <c r="J77" s="3"/>
      <c r="K77" s="3"/>
      <c r="L77" s="3"/>
      <c r="M77" s="3"/>
      <c r="N77" s="3"/>
      <c r="O77" s="3"/>
      <c r="P77" s="3"/>
      <c r="Q77" s="3"/>
      <c r="R77" s="3"/>
      <c r="S77" s="3"/>
      <c r="T77" s="3"/>
    </row>
    <row r="78" spans="1:20" x14ac:dyDescent="0.35">
      <c r="A78" s="3"/>
      <c r="B78" s="3"/>
      <c r="C78" s="3"/>
      <c r="D78" s="3"/>
      <c r="E78" s="3"/>
      <c r="F78" s="3"/>
      <c r="G78" s="3"/>
      <c r="H78" s="3"/>
      <c r="I78" s="3"/>
      <c r="J78" s="3"/>
      <c r="K78" s="3"/>
      <c r="L78" s="3"/>
      <c r="M78" s="3"/>
      <c r="N78" s="3"/>
      <c r="O78" s="3"/>
      <c r="P78" s="3"/>
      <c r="Q78" s="3"/>
      <c r="R78" s="3"/>
      <c r="S78" s="3"/>
      <c r="T78" s="3"/>
    </row>
    <row r="79" spans="1:20" x14ac:dyDescent="0.35">
      <c r="A79" s="3"/>
      <c r="B79" s="3"/>
      <c r="C79" s="3"/>
      <c r="D79" s="3"/>
      <c r="E79" s="3"/>
      <c r="F79" s="3"/>
      <c r="G79" s="3"/>
      <c r="H79" s="3"/>
      <c r="I79" s="3"/>
      <c r="J79" s="3"/>
      <c r="K79" s="3"/>
      <c r="L79" s="3"/>
      <c r="M79" s="3"/>
      <c r="N79" s="3"/>
      <c r="O79" s="3"/>
      <c r="P79" s="3"/>
      <c r="Q79" s="3"/>
      <c r="R79" s="3"/>
      <c r="S79" s="3"/>
      <c r="T79" s="3"/>
    </row>
    <row r="80" spans="1:20" x14ac:dyDescent="0.35">
      <c r="A80" s="3"/>
      <c r="B80" s="3"/>
      <c r="C80" s="3"/>
      <c r="D80" s="3"/>
      <c r="E80" s="3"/>
      <c r="F80" s="3"/>
      <c r="G80" s="3"/>
      <c r="H80" s="3"/>
      <c r="I80" s="3"/>
      <c r="J80" s="3"/>
      <c r="K80" s="3"/>
      <c r="L80" s="3"/>
      <c r="M80" s="3"/>
      <c r="N80" s="3"/>
      <c r="O80" s="3"/>
      <c r="P80" s="3"/>
      <c r="Q80" s="3"/>
      <c r="R80" s="3"/>
      <c r="S80" s="3"/>
      <c r="T80" s="3"/>
    </row>
    <row r="81" spans="1:20" x14ac:dyDescent="0.35">
      <c r="A81" s="3"/>
      <c r="B81" s="3"/>
      <c r="C81" s="3"/>
      <c r="D81" s="3"/>
      <c r="E81" s="3"/>
      <c r="F81" s="3"/>
      <c r="G81" s="3"/>
      <c r="H81" s="3"/>
      <c r="I81" s="3"/>
      <c r="J81" s="3"/>
      <c r="K81" s="3"/>
      <c r="L81" s="3"/>
      <c r="M81" s="3"/>
      <c r="N81" s="3"/>
      <c r="O81" s="3"/>
      <c r="P81" s="3"/>
      <c r="Q81" s="3"/>
      <c r="R81" s="3"/>
      <c r="S81" s="3"/>
      <c r="T81" s="3"/>
    </row>
    <row r="82" spans="1:20" x14ac:dyDescent="0.35">
      <c r="A82" s="3"/>
      <c r="B82" s="3"/>
      <c r="C82" s="3"/>
      <c r="D82" s="3"/>
      <c r="E82" s="3"/>
      <c r="F82" s="3"/>
      <c r="G82" s="3"/>
      <c r="H82" s="3"/>
      <c r="I82" s="3"/>
      <c r="J82" s="3"/>
      <c r="K82" s="3"/>
      <c r="L82" s="3"/>
      <c r="M82" s="3"/>
      <c r="N82" s="3"/>
      <c r="O82" s="3"/>
      <c r="P82" s="3"/>
      <c r="Q82" s="3"/>
      <c r="R82" s="3"/>
      <c r="S82" s="3"/>
      <c r="T82" s="3"/>
    </row>
    <row r="83" spans="1:20" x14ac:dyDescent="0.35">
      <c r="A83" s="3"/>
      <c r="B83" s="3"/>
      <c r="C83" s="3"/>
      <c r="D83" s="3"/>
      <c r="E83" s="3"/>
      <c r="F83" s="3"/>
      <c r="G83" s="3"/>
      <c r="H83" s="3"/>
      <c r="I83" s="3"/>
      <c r="J83" s="3"/>
      <c r="K83" s="3"/>
      <c r="L83" s="3"/>
      <c r="M83" s="3"/>
      <c r="N83" s="3"/>
      <c r="O83" s="3"/>
      <c r="P83" s="3"/>
      <c r="Q83" s="3"/>
      <c r="R83" s="3"/>
      <c r="S83" s="3"/>
      <c r="T83" s="3"/>
    </row>
    <row r="84" spans="1:20" x14ac:dyDescent="0.35">
      <c r="A84" s="3"/>
      <c r="B84" s="3"/>
      <c r="C84" s="3"/>
      <c r="D84" s="3"/>
      <c r="E84" s="3"/>
      <c r="F84" s="3"/>
      <c r="G84" s="3"/>
      <c r="H84" s="3"/>
      <c r="I84" s="3"/>
      <c r="J84" s="3"/>
      <c r="K84" s="3"/>
      <c r="L84" s="3"/>
      <c r="M84" s="3"/>
      <c r="N84" s="3"/>
      <c r="O84" s="3"/>
      <c r="P84" s="3"/>
      <c r="Q84" s="3"/>
      <c r="R84" s="3"/>
      <c r="S84" s="3"/>
      <c r="T84" s="3"/>
    </row>
    <row r="85" spans="1:20" x14ac:dyDescent="0.35">
      <c r="A85" s="3"/>
      <c r="B85" s="3"/>
      <c r="C85" s="3"/>
      <c r="D85" s="3"/>
      <c r="E85" s="3"/>
      <c r="F85" s="3"/>
      <c r="G85" s="3"/>
      <c r="H85" s="3"/>
      <c r="I85" s="3"/>
      <c r="J85" s="3"/>
      <c r="K85" s="3"/>
      <c r="L85" s="3"/>
      <c r="M85" s="3"/>
      <c r="N85" s="3"/>
      <c r="O85" s="3"/>
      <c r="P85" s="3"/>
      <c r="Q85" s="3"/>
      <c r="R85" s="3"/>
      <c r="S85" s="3"/>
      <c r="T85" s="3"/>
    </row>
    <row r="86" spans="1:20" x14ac:dyDescent="0.35">
      <c r="A86" s="3"/>
      <c r="B86" s="3"/>
      <c r="C86" s="3"/>
      <c r="D86" s="3"/>
      <c r="E86" s="3"/>
      <c r="F86" s="3"/>
      <c r="G86" s="3"/>
      <c r="H86" s="3"/>
      <c r="I86" s="3"/>
      <c r="J86" s="3"/>
      <c r="K86" s="3"/>
      <c r="L86" s="3"/>
      <c r="M86" s="3"/>
      <c r="N86" s="3"/>
      <c r="O86" s="3"/>
      <c r="P86" s="3"/>
      <c r="Q86" s="3"/>
      <c r="R86" s="3"/>
      <c r="S86" s="3"/>
      <c r="T86" s="3"/>
    </row>
    <row r="87" spans="1:20" x14ac:dyDescent="0.35">
      <c r="A87" s="3"/>
      <c r="B87" s="3"/>
      <c r="C87" s="3"/>
      <c r="D87" s="3"/>
      <c r="E87" s="3"/>
      <c r="F87" s="3"/>
      <c r="G87" s="3"/>
      <c r="H87" s="3"/>
      <c r="I87" s="3"/>
      <c r="J87" s="3"/>
      <c r="K87" s="3"/>
      <c r="L87" s="3"/>
      <c r="M87" s="3"/>
      <c r="N87" s="3"/>
      <c r="O87" s="3"/>
      <c r="P87" s="3"/>
      <c r="Q87" s="3"/>
      <c r="R87" s="3"/>
      <c r="S87" s="3"/>
      <c r="T87" s="3"/>
    </row>
    <row r="88" spans="1:20" x14ac:dyDescent="0.35">
      <c r="A88" s="3"/>
      <c r="B88" s="3"/>
      <c r="C88" s="3"/>
      <c r="D88" s="3"/>
      <c r="E88" s="3"/>
      <c r="F88" s="3"/>
      <c r="G88" s="3"/>
      <c r="H88" s="3"/>
      <c r="I88" s="3"/>
      <c r="J88" s="3"/>
      <c r="K88" s="3"/>
      <c r="L88" s="3"/>
      <c r="M88" s="3"/>
      <c r="N88" s="3"/>
      <c r="O88" s="3"/>
      <c r="P88" s="3"/>
      <c r="Q88" s="3"/>
      <c r="R88" s="3"/>
      <c r="S88" s="3"/>
      <c r="T88" s="3"/>
    </row>
    <row r="89" spans="1:20" x14ac:dyDescent="0.35">
      <c r="A89" s="3"/>
      <c r="B89" s="3"/>
      <c r="C89" s="3"/>
      <c r="D89" s="3"/>
      <c r="E89" s="3"/>
      <c r="F89" s="3"/>
      <c r="G89" s="3"/>
      <c r="H89" s="3"/>
      <c r="I89" s="3"/>
      <c r="J89" s="3"/>
      <c r="K89" s="3"/>
      <c r="L89" s="3"/>
      <c r="M89" s="3"/>
      <c r="N89" s="3"/>
      <c r="O89" s="3"/>
      <c r="P89" s="3"/>
      <c r="Q89" s="3"/>
      <c r="R89" s="3"/>
      <c r="S89" s="3"/>
      <c r="T89" s="3"/>
    </row>
    <row r="90" spans="1:20" x14ac:dyDescent="0.35">
      <c r="A90" s="3"/>
      <c r="B90" s="3"/>
      <c r="C90" s="3"/>
      <c r="D90" s="3"/>
      <c r="E90" s="3"/>
      <c r="F90" s="3"/>
      <c r="G90" s="3"/>
      <c r="H90" s="3"/>
      <c r="I90" s="3"/>
      <c r="J90" s="3"/>
      <c r="K90" s="3"/>
      <c r="L90" s="3"/>
      <c r="M90" s="3"/>
      <c r="N90" s="3"/>
      <c r="O90" s="3"/>
      <c r="P90" s="3"/>
      <c r="Q90" s="3"/>
      <c r="R90" s="3"/>
      <c r="S90" s="3"/>
      <c r="T90" s="3"/>
    </row>
    <row r="91" spans="1:20" x14ac:dyDescent="0.35">
      <c r="A91" s="3"/>
      <c r="B91" s="3"/>
      <c r="C91" s="3"/>
      <c r="D91" s="3"/>
      <c r="E91" s="3"/>
      <c r="F91" s="3"/>
      <c r="G91" s="3"/>
      <c r="H91" s="3"/>
      <c r="I91" s="3"/>
      <c r="J91" s="3"/>
      <c r="K91" s="3"/>
      <c r="L91" s="3"/>
      <c r="M91" s="3"/>
      <c r="N91" s="3"/>
      <c r="O91" s="3"/>
      <c r="P91" s="3"/>
      <c r="Q91" s="3"/>
      <c r="R91" s="3"/>
      <c r="S91" s="3"/>
      <c r="T91" s="3"/>
    </row>
    <row r="92" spans="1:20" x14ac:dyDescent="0.35">
      <c r="A92" s="3"/>
      <c r="B92" s="3"/>
      <c r="C92" s="3"/>
      <c r="D92" s="3"/>
      <c r="E92" s="3"/>
      <c r="F92" s="3"/>
      <c r="G92" s="3"/>
      <c r="H92" s="3"/>
      <c r="I92" s="3"/>
      <c r="J92" s="3"/>
      <c r="K92" s="3"/>
      <c r="L92" s="3"/>
      <c r="M92" s="3"/>
      <c r="N92" s="3"/>
      <c r="O92" s="3"/>
      <c r="P92" s="3"/>
      <c r="Q92" s="3"/>
      <c r="R92" s="3"/>
      <c r="S92" s="3"/>
      <c r="T92" s="3"/>
    </row>
    <row r="93" spans="1:20" x14ac:dyDescent="0.35">
      <c r="A93" s="3"/>
      <c r="B93" s="3"/>
      <c r="C93" s="3"/>
      <c r="D93" s="3"/>
      <c r="E93" s="3"/>
      <c r="F93" s="3"/>
      <c r="G93" s="3"/>
      <c r="H93" s="3"/>
      <c r="I93" s="3"/>
      <c r="J93" s="3"/>
      <c r="K93" s="3"/>
      <c r="L93" s="3"/>
      <c r="M93" s="3"/>
      <c r="N93" s="3"/>
      <c r="O93" s="3"/>
      <c r="P93" s="3"/>
      <c r="Q93" s="3"/>
      <c r="R93" s="3"/>
      <c r="S93" s="3"/>
      <c r="T93" s="3"/>
    </row>
    <row r="94" spans="1:20" x14ac:dyDescent="0.35">
      <c r="A94" s="3"/>
      <c r="B94" s="3"/>
      <c r="C94" s="3"/>
      <c r="D94" s="3"/>
      <c r="E94" s="3"/>
      <c r="F94" s="3"/>
      <c r="G94" s="3"/>
      <c r="H94" s="3"/>
      <c r="I94" s="3"/>
      <c r="J94" s="3"/>
      <c r="K94" s="3"/>
      <c r="L94" s="3"/>
      <c r="M94" s="3"/>
      <c r="N94" s="3"/>
      <c r="O94" s="3"/>
      <c r="P94" s="3"/>
      <c r="Q94" s="3"/>
      <c r="R94" s="3"/>
      <c r="S94" s="3"/>
      <c r="T94" s="3"/>
    </row>
    <row r="95" spans="1:20" x14ac:dyDescent="0.35">
      <c r="A95" s="3"/>
      <c r="B95" s="3"/>
      <c r="C95" s="3"/>
      <c r="D95" s="3"/>
      <c r="E95" s="3"/>
      <c r="F95" s="3"/>
      <c r="G95" s="3"/>
      <c r="H95" s="3"/>
      <c r="I95" s="3"/>
      <c r="J95" s="3"/>
      <c r="K95" s="3"/>
      <c r="L95" s="3"/>
      <c r="M95" s="3"/>
      <c r="N95" s="3"/>
      <c r="O95" s="3"/>
      <c r="P95" s="3"/>
      <c r="Q95" s="3"/>
      <c r="R95" s="3"/>
      <c r="S95" s="3"/>
      <c r="T95" s="3"/>
    </row>
    <row r="96" spans="1:20" x14ac:dyDescent="0.35">
      <c r="A96" s="3"/>
      <c r="B96" s="3"/>
      <c r="C96" s="3"/>
      <c r="D96" s="3"/>
      <c r="E96" s="3"/>
      <c r="F96" s="3"/>
      <c r="G96" s="3"/>
      <c r="H96" s="3"/>
      <c r="I96" s="3"/>
      <c r="J96" s="3"/>
      <c r="K96" s="3"/>
      <c r="L96" s="3"/>
      <c r="M96" s="3"/>
      <c r="N96" s="3"/>
      <c r="O96" s="3"/>
      <c r="P96" s="3"/>
      <c r="Q96" s="3"/>
      <c r="R96" s="3"/>
      <c r="S96" s="3"/>
      <c r="T96" s="3"/>
    </row>
    <row r="97" spans="1:20" x14ac:dyDescent="0.35">
      <c r="A97" s="3"/>
      <c r="B97" s="3"/>
      <c r="C97" s="3"/>
      <c r="D97" s="3"/>
      <c r="E97" s="3"/>
      <c r="F97" s="3"/>
      <c r="G97" s="3"/>
      <c r="H97" s="3"/>
      <c r="I97" s="3"/>
      <c r="J97" s="3"/>
      <c r="K97" s="3"/>
      <c r="L97" s="3"/>
      <c r="M97" s="3"/>
      <c r="N97" s="3"/>
      <c r="O97" s="3"/>
      <c r="P97" s="3"/>
      <c r="Q97" s="3"/>
      <c r="R97" s="3"/>
      <c r="S97" s="3"/>
      <c r="T97" s="3"/>
    </row>
    <row r="98" spans="1:20" x14ac:dyDescent="0.35">
      <c r="A98" s="3"/>
      <c r="B98" s="3"/>
      <c r="C98" s="3"/>
      <c r="D98" s="3"/>
      <c r="E98" s="3"/>
      <c r="F98" s="3"/>
      <c r="G98" s="3"/>
      <c r="H98" s="3"/>
      <c r="I98" s="3"/>
      <c r="J98" s="3"/>
      <c r="K98" s="3"/>
      <c r="L98" s="3"/>
      <c r="M98" s="3"/>
      <c r="N98" s="3"/>
      <c r="O98" s="3"/>
      <c r="P98" s="3"/>
      <c r="Q98" s="3"/>
      <c r="R98" s="3"/>
      <c r="S98" s="3"/>
      <c r="T98" s="3"/>
    </row>
    <row r="99" spans="1:20" x14ac:dyDescent="0.35">
      <c r="A99" s="3"/>
      <c r="B99" s="3"/>
      <c r="C99" s="3"/>
      <c r="D99" s="3"/>
      <c r="E99" s="3"/>
      <c r="F99" s="3"/>
      <c r="G99" s="3"/>
      <c r="H99" s="3"/>
      <c r="I99" s="3"/>
      <c r="J99" s="3"/>
      <c r="K99" s="3"/>
      <c r="L99" s="3"/>
      <c r="M99" s="3"/>
      <c r="N99" s="3"/>
      <c r="O99" s="3"/>
      <c r="P99" s="3"/>
      <c r="Q99" s="3"/>
      <c r="R99" s="3"/>
      <c r="S99" s="3"/>
      <c r="T99" s="3"/>
    </row>
    <row r="100" spans="1:20" x14ac:dyDescent="0.35">
      <c r="A100" s="3"/>
      <c r="B100" s="3"/>
      <c r="C100" s="3"/>
      <c r="D100" s="3"/>
      <c r="E100" s="3"/>
      <c r="F100" s="3"/>
      <c r="G100" s="3"/>
      <c r="H100" s="3"/>
      <c r="I100" s="3"/>
      <c r="J100" s="3"/>
      <c r="K100" s="3"/>
      <c r="L100" s="3"/>
      <c r="M100" s="3"/>
      <c r="N100" s="3"/>
      <c r="O100" s="3"/>
      <c r="P100" s="3"/>
      <c r="Q100" s="3"/>
      <c r="R100" s="3"/>
      <c r="S100" s="3"/>
      <c r="T100" s="3"/>
    </row>
    <row r="101" spans="1:20" x14ac:dyDescent="0.35">
      <c r="A101" s="3"/>
      <c r="B101" s="3"/>
      <c r="C101" s="3"/>
      <c r="D101" s="3"/>
      <c r="E101" s="3"/>
      <c r="F101" s="3"/>
      <c r="G101" s="3"/>
      <c r="H101" s="3"/>
      <c r="I101" s="3"/>
      <c r="J101" s="3"/>
      <c r="K101" s="3"/>
      <c r="L101" s="3"/>
      <c r="M101" s="3"/>
      <c r="N101" s="3"/>
      <c r="O101" s="3"/>
      <c r="P101" s="3"/>
      <c r="Q101" s="3"/>
      <c r="R101" s="3"/>
      <c r="S101" s="3"/>
      <c r="T101" s="3"/>
    </row>
    <row r="102" spans="1:20" x14ac:dyDescent="0.35">
      <c r="A102" s="3"/>
      <c r="B102" s="3"/>
      <c r="C102" s="3"/>
      <c r="D102" s="3"/>
      <c r="E102" s="3"/>
      <c r="F102" s="3"/>
      <c r="G102" s="3"/>
      <c r="H102" s="3"/>
      <c r="I102" s="3"/>
      <c r="J102" s="3"/>
      <c r="K102" s="3"/>
      <c r="L102" s="3"/>
      <c r="M102" s="3"/>
      <c r="N102" s="3"/>
      <c r="O102" s="3"/>
      <c r="P102" s="3"/>
      <c r="Q102" s="3"/>
      <c r="R102" s="3"/>
      <c r="S102" s="3"/>
      <c r="T102" s="3"/>
    </row>
    <row r="103" spans="1:20" x14ac:dyDescent="0.35">
      <c r="A103" s="3"/>
      <c r="B103" s="3"/>
      <c r="C103" s="3"/>
      <c r="D103" s="3"/>
      <c r="E103" s="3"/>
      <c r="F103" s="3"/>
      <c r="G103" s="3"/>
      <c r="H103" s="3"/>
      <c r="I103" s="3"/>
      <c r="J103" s="3"/>
      <c r="K103" s="3"/>
      <c r="L103" s="3"/>
      <c r="M103" s="3"/>
      <c r="N103" s="3"/>
      <c r="O103" s="3"/>
      <c r="P103" s="3"/>
      <c r="Q103" s="3"/>
      <c r="R103" s="3"/>
      <c r="S103" s="3"/>
      <c r="T103" s="3"/>
    </row>
    <row r="104" spans="1:20" x14ac:dyDescent="0.35">
      <c r="A104" s="3"/>
      <c r="B104" s="3"/>
      <c r="C104" s="3"/>
      <c r="D104" s="3"/>
      <c r="E104" s="3"/>
      <c r="F104" s="3"/>
      <c r="G104" s="3"/>
      <c r="H104" s="3"/>
      <c r="I104" s="3"/>
      <c r="J104" s="3"/>
      <c r="K104" s="3"/>
      <c r="L104" s="3"/>
      <c r="M104" s="3"/>
      <c r="N104" s="3"/>
      <c r="O104" s="3"/>
      <c r="P104" s="3"/>
      <c r="Q104" s="3"/>
      <c r="R104" s="3"/>
      <c r="S104" s="3"/>
      <c r="T104" s="3"/>
    </row>
    <row r="105" spans="1:20" x14ac:dyDescent="0.35">
      <c r="A105" s="3"/>
      <c r="B105" s="3"/>
      <c r="C105" s="3"/>
      <c r="D105" s="3"/>
      <c r="E105" s="3"/>
      <c r="F105" s="3"/>
      <c r="G105" s="3"/>
      <c r="H105" s="3"/>
      <c r="I105" s="3"/>
      <c r="J105" s="3"/>
      <c r="K105" s="3"/>
      <c r="L105" s="3"/>
      <c r="M105" s="3"/>
      <c r="N105" s="3"/>
      <c r="O105" s="3"/>
      <c r="P105" s="3"/>
      <c r="Q105" s="3"/>
      <c r="R105" s="3"/>
      <c r="S105" s="3"/>
      <c r="T105" s="3"/>
    </row>
    <row r="106" spans="1:20" x14ac:dyDescent="0.35">
      <c r="A106" s="3"/>
      <c r="B106" s="3"/>
      <c r="C106" s="3"/>
      <c r="D106" s="3"/>
      <c r="E106" s="3"/>
      <c r="F106" s="3"/>
      <c r="G106" s="3"/>
      <c r="H106" s="3"/>
      <c r="I106" s="3"/>
      <c r="J106" s="3"/>
      <c r="K106" s="3"/>
      <c r="L106" s="3"/>
      <c r="M106" s="3"/>
      <c r="N106" s="3"/>
      <c r="O106" s="3"/>
      <c r="P106" s="3"/>
      <c r="Q106" s="3"/>
      <c r="R106" s="3"/>
      <c r="S106" s="3"/>
      <c r="T106" s="3"/>
    </row>
    <row r="107" spans="1:20" x14ac:dyDescent="0.35">
      <c r="A107" s="3"/>
      <c r="B107" s="3"/>
      <c r="C107" s="3"/>
      <c r="D107" s="3"/>
      <c r="E107" s="3"/>
      <c r="F107" s="3"/>
      <c r="G107" s="3"/>
      <c r="H107" s="3"/>
      <c r="I107" s="3"/>
      <c r="J107" s="3"/>
      <c r="K107" s="3"/>
      <c r="L107" s="3"/>
      <c r="M107" s="3"/>
      <c r="N107" s="3"/>
      <c r="O107" s="3"/>
      <c r="P107" s="3"/>
      <c r="Q107" s="3"/>
      <c r="R107" s="3"/>
      <c r="S107" s="3"/>
      <c r="T107" s="3"/>
    </row>
    <row r="108" spans="1:20" x14ac:dyDescent="0.35">
      <c r="A108" s="3"/>
      <c r="B108" s="3"/>
      <c r="C108" s="3"/>
      <c r="D108" s="3"/>
      <c r="E108" s="3"/>
      <c r="F108" s="3"/>
      <c r="G108" s="3"/>
      <c r="H108" s="3"/>
      <c r="I108" s="3"/>
      <c r="J108" s="3"/>
      <c r="K108" s="3"/>
      <c r="L108" s="3"/>
      <c r="M108" s="3"/>
      <c r="N108" s="3"/>
      <c r="O108" s="3"/>
      <c r="P108" s="3"/>
      <c r="Q108" s="3"/>
      <c r="R108" s="3"/>
      <c r="S108" s="3"/>
      <c r="T108" s="3"/>
    </row>
    <row r="109" spans="1:20" x14ac:dyDescent="0.35">
      <c r="A109" s="3"/>
      <c r="B109" s="3"/>
      <c r="C109" s="3"/>
      <c r="D109" s="3"/>
      <c r="E109" s="3"/>
      <c r="F109" s="3"/>
      <c r="G109" s="3"/>
      <c r="H109" s="3"/>
      <c r="I109" s="3"/>
      <c r="J109" s="3"/>
      <c r="K109" s="3"/>
      <c r="L109" s="3"/>
      <c r="M109" s="3"/>
      <c r="N109" s="3"/>
      <c r="O109" s="3"/>
      <c r="P109" s="3"/>
      <c r="Q109" s="3"/>
      <c r="R109" s="3"/>
      <c r="S109" s="3"/>
      <c r="T109" s="3"/>
    </row>
    <row r="110" spans="1:20" x14ac:dyDescent="0.35">
      <c r="A110" s="3"/>
      <c r="B110" s="3"/>
      <c r="C110" s="3"/>
      <c r="D110" s="3"/>
      <c r="E110" s="3"/>
      <c r="F110" s="3"/>
      <c r="G110" s="3"/>
      <c r="H110" s="3"/>
      <c r="I110" s="3"/>
      <c r="J110" s="3"/>
      <c r="K110" s="3"/>
      <c r="L110" s="3"/>
      <c r="M110" s="3"/>
      <c r="N110" s="3"/>
      <c r="O110" s="3"/>
      <c r="P110" s="3"/>
      <c r="Q110" s="3"/>
      <c r="R110" s="3"/>
      <c r="S110" s="3"/>
      <c r="T110" s="3"/>
    </row>
    <row r="111" spans="1:20" x14ac:dyDescent="0.35">
      <c r="A111" s="3"/>
      <c r="B111" s="3"/>
      <c r="C111" s="3"/>
      <c r="D111" s="3"/>
      <c r="E111" s="3"/>
      <c r="F111" s="3"/>
      <c r="G111" s="3"/>
      <c r="H111" s="3"/>
      <c r="I111" s="3"/>
      <c r="J111" s="3"/>
      <c r="K111" s="3"/>
      <c r="L111" s="3"/>
      <c r="M111" s="3"/>
      <c r="N111" s="3"/>
      <c r="O111" s="3"/>
      <c r="P111" s="3"/>
      <c r="Q111" s="3"/>
      <c r="R111" s="3"/>
      <c r="S111" s="3"/>
      <c r="T111" s="3"/>
    </row>
    <row r="112" spans="1:20" x14ac:dyDescent="0.35">
      <c r="A112" s="3"/>
      <c r="B112" s="3"/>
      <c r="C112" s="3"/>
      <c r="D112" s="3"/>
      <c r="E112" s="3"/>
      <c r="F112" s="3"/>
      <c r="G112" s="3"/>
      <c r="H112" s="3"/>
      <c r="I112" s="3"/>
      <c r="J112" s="3"/>
      <c r="K112" s="3"/>
      <c r="L112" s="3"/>
      <c r="M112" s="3"/>
      <c r="N112" s="3"/>
      <c r="O112" s="3"/>
      <c r="P112" s="3"/>
      <c r="Q112" s="3"/>
      <c r="R112" s="3"/>
      <c r="S112" s="3"/>
      <c r="T112" s="3"/>
    </row>
    <row r="113" spans="1:20" x14ac:dyDescent="0.35">
      <c r="A113" s="3"/>
      <c r="B113" s="3"/>
      <c r="C113" s="3"/>
      <c r="D113" s="3"/>
      <c r="E113" s="3"/>
      <c r="F113" s="3"/>
      <c r="G113" s="3"/>
      <c r="H113" s="3"/>
      <c r="I113" s="3"/>
      <c r="J113" s="3"/>
      <c r="K113" s="3"/>
      <c r="L113" s="3"/>
      <c r="M113" s="3"/>
      <c r="N113" s="3"/>
      <c r="O113" s="3"/>
      <c r="P113" s="3"/>
      <c r="Q113" s="3"/>
      <c r="R113" s="3"/>
      <c r="S113" s="3"/>
      <c r="T113" s="3"/>
    </row>
    <row r="114" spans="1:20" x14ac:dyDescent="0.35">
      <c r="A114" s="3"/>
      <c r="B114" s="3"/>
      <c r="C114" s="3"/>
      <c r="D114" s="3"/>
      <c r="E114" s="3"/>
      <c r="F114" s="3"/>
      <c r="G114" s="3"/>
      <c r="H114" s="3"/>
      <c r="I114" s="3"/>
      <c r="J114" s="3"/>
      <c r="K114" s="3"/>
      <c r="L114" s="3"/>
      <c r="M114" s="3"/>
      <c r="N114" s="3"/>
      <c r="O114" s="3"/>
      <c r="P114" s="3"/>
      <c r="Q114" s="3"/>
      <c r="R114" s="3"/>
      <c r="S114" s="3"/>
      <c r="T114" s="3"/>
    </row>
    <row r="115" spans="1:20" x14ac:dyDescent="0.35">
      <c r="A115" s="3"/>
      <c r="B115" s="3"/>
      <c r="C115" s="3"/>
      <c r="D115" s="3"/>
      <c r="E115" s="3"/>
      <c r="F115" s="3"/>
      <c r="G115" s="3"/>
      <c r="H115" s="3"/>
      <c r="I115" s="3"/>
      <c r="J115" s="3"/>
      <c r="K115" s="3"/>
      <c r="L115" s="3"/>
      <c r="M115" s="3"/>
      <c r="N115" s="3"/>
      <c r="O115" s="3"/>
      <c r="P115" s="3"/>
      <c r="Q115" s="3"/>
      <c r="R115" s="3"/>
      <c r="S115" s="3"/>
      <c r="T115" s="3"/>
    </row>
    <row r="116" spans="1:20" x14ac:dyDescent="0.35">
      <c r="A116" s="3"/>
      <c r="B116" s="3"/>
      <c r="C116" s="3"/>
      <c r="D116" s="3"/>
      <c r="E116" s="3"/>
      <c r="F116" s="3"/>
      <c r="G116" s="3"/>
      <c r="H116" s="3"/>
      <c r="I116" s="3"/>
      <c r="J116" s="3"/>
      <c r="K116" s="3"/>
      <c r="L116" s="3"/>
      <c r="M116" s="3"/>
      <c r="N116" s="3"/>
      <c r="O116" s="3"/>
      <c r="P116" s="3"/>
      <c r="Q116" s="3"/>
      <c r="R116" s="3"/>
      <c r="S116" s="3"/>
      <c r="T116" s="3"/>
    </row>
    <row r="117" spans="1:20" x14ac:dyDescent="0.35">
      <c r="A117" s="3"/>
      <c r="B117" s="3"/>
      <c r="C117" s="3"/>
      <c r="D117" s="3"/>
      <c r="E117" s="3"/>
      <c r="F117" s="3"/>
      <c r="G117" s="3"/>
      <c r="H117" s="3"/>
      <c r="I117" s="3"/>
      <c r="J117" s="3"/>
      <c r="K117" s="3"/>
      <c r="L117" s="3"/>
      <c r="M117" s="3"/>
      <c r="N117" s="3"/>
      <c r="O117" s="3"/>
      <c r="P117" s="3"/>
      <c r="Q117" s="3"/>
      <c r="R117" s="3"/>
      <c r="S117" s="3"/>
      <c r="T117" s="3"/>
    </row>
    <row r="118" spans="1:20" x14ac:dyDescent="0.35">
      <c r="A118" s="3"/>
      <c r="B118" s="3"/>
      <c r="C118" s="3"/>
      <c r="D118" s="3"/>
      <c r="E118" s="3"/>
      <c r="F118" s="3"/>
      <c r="G118" s="3"/>
      <c r="H118" s="3"/>
      <c r="I118" s="3"/>
      <c r="J118" s="3"/>
      <c r="K118" s="3"/>
      <c r="L118" s="3"/>
      <c r="M118" s="3"/>
      <c r="N118" s="3"/>
      <c r="O118" s="3"/>
      <c r="P118" s="3"/>
      <c r="Q118" s="3"/>
      <c r="R118" s="3"/>
      <c r="S118" s="3"/>
      <c r="T118" s="3"/>
    </row>
    <row r="119" spans="1:20" x14ac:dyDescent="0.35">
      <c r="A119" s="3"/>
      <c r="B119" s="3"/>
      <c r="C119" s="3"/>
      <c r="D119" s="3"/>
      <c r="E119" s="3"/>
      <c r="F119" s="3"/>
      <c r="G119" s="3"/>
      <c r="H119" s="3"/>
      <c r="I119" s="3"/>
      <c r="J119" s="3"/>
      <c r="K119" s="3"/>
      <c r="L119" s="3"/>
      <c r="M119" s="3"/>
      <c r="N119" s="3"/>
      <c r="O119" s="3"/>
      <c r="P119" s="3"/>
      <c r="Q119" s="3"/>
      <c r="R119" s="3"/>
      <c r="S119" s="3"/>
      <c r="T119" s="3"/>
    </row>
    <row r="120" spans="1:20" x14ac:dyDescent="0.35">
      <c r="A120" s="3"/>
      <c r="B120" s="3"/>
      <c r="C120" s="3"/>
      <c r="D120" s="3"/>
      <c r="E120" s="3"/>
      <c r="F120" s="3"/>
      <c r="G120" s="3"/>
      <c r="H120" s="3"/>
      <c r="I120" s="3"/>
      <c r="J120" s="3"/>
      <c r="K120" s="3"/>
      <c r="L120" s="3"/>
      <c r="M120" s="3"/>
      <c r="N120" s="3"/>
      <c r="O120" s="3"/>
      <c r="P120" s="3"/>
      <c r="Q120" s="3"/>
      <c r="R120" s="3"/>
      <c r="S120" s="3"/>
      <c r="T120" s="3"/>
    </row>
    <row r="121" spans="1:20" x14ac:dyDescent="0.35">
      <c r="A121" s="3"/>
      <c r="B121" s="3"/>
      <c r="C121" s="3"/>
      <c r="D121" s="3"/>
      <c r="E121" s="3"/>
      <c r="F121" s="3"/>
      <c r="G121" s="3"/>
      <c r="H121" s="3"/>
      <c r="I121" s="3"/>
      <c r="J121" s="3"/>
      <c r="K121" s="3"/>
      <c r="L121" s="3"/>
      <c r="M121" s="3"/>
      <c r="N121" s="3"/>
      <c r="O121" s="3"/>
      <c r="P121" s="3"/>
      <c r="Q121" s="3"/>
      <c r="R121" s="3"/>
      <c r="S121" s="3"/>
      <c r="T121" s="3"/>
    </row>
    <row r="122" spans="1:20" x14ac:dyDescent="0.35">
      <c r="A122" s="3"/>
      <c r="B122" s="3"/>
      <c r="C122" s="3"/>
      <c r="D122" s="3"/>
      <c r="E122" s="3"/>
      <c r="F122" s="3"/>
      <c r="G122" s="3"/>
      <c r="H122" s="3"/>
      <c r="I122" s="3"/>
      <c r="J122" s="3"/>
      <c r="K122" s="3"/>
      <c r="L122" s="3"/>
      <c r="M122" s="3"/>
      <c r="N122" s="3"/>
      <c r="O122" s="3"/>
      <c r="P122" s="3"/>
      <c r="Q122" s="3"/>
      <c r="R122" s="3"/>
      <c r="S122" s="3"/>
      <c r="T122" s="3"/>
    </row>
    <row r="123" spans="1:20" x14ac:dyDescent="0.35">
      <c r="A123" s="3"/>
      <c r="B123" s="3"/>
      <c r="C123" s="3"/>
      <c r="D123" s="3"/>
      <c r="E123" s="3"/>
      <c r="F123" s="3"/>
      <c r="G123" s="3"/>
      <c r="H123" s="3"/>
      <c r="I123" s="3"/>
      <c r="J123" s="3"/>
      <c r="K123" s="3"/>
      <c r="L123" s="3"/>
      <c r="M123" s="3"/>
      <c r="N123" s="3"/>
      <c r="O123" s="3"/>
      <c r="P123" s="3"/>
      <c r="Q123" s="3"/>
      <c r="R123" s="3"/>
      <c r="S123" s="3"/>
      <c r="T123" s="3"/>
    </row>
    <row r="124" spans="1:20" x14ac:dyDescent="0.35">
      <c r="A124" s="3"/>
      <c r="B124" s="3"/>
      <c r="C124" s="3"/>
      <c r="D124" s="3"/>
      <c r="E124" s="3"/>
      <c r="F124" s="3"/>
      <c r="G124" s="3"/>
      <c r="H124" s="3"/>
      <c r="I124" s="3"/>
      <c r="J124" s="3"/>
      <c r="K124" s="3"/>
      <c r="L124" s="3"/>
      <c r="M124" s="3"/>
      <c r="N124" s="3"/>
      <c r="O124" s="3"/>
      <c r="P124" s="3"/>
      <c r="Q124" s="3"/>
      <c r="R124" s="3"/>
      <c r="S124" s="3"/>
      <c r="T124" s="3"/>
    </row>
    <row r="125" spans="1:20" x14ac:dyDescent="0.35">
      <c r="A125" s="3"/>
      <c r="B125" s="3"/>
      <c r="C125" s="3"/>
      <c r="D125" s="3"/>
      <c r="E125" s="3"/>
      <c r="F125" s="3"/>
      <c r="G125" s="3"/>
      <c r="H125" s="3"/>
      <c r="I125" s="3"/>
      <c r="J125" s="3"/>
      <c r="K125" s="3"/>
      <c r="L125" s="3"/>
      <c r="M125" s="3"/>
      <c r="N125" s="3"/>
      <c r="O125" s="3"/>
      <c r="P125" s="3"/>
      <c r="Q125" s="3"/>
      <c r="R125" s="3"/>
      <c r="S125" s="3"/>
      <c r="T125" s="3"/>
    </row>
    <row r="126" spans="1:20" x14ac:dyDescent="0.35">
      <c r="A126" s="3"/>
      <c r="B126" s="3"/>
      <c r="C126" s="3"/>
      <c r="D126" s="3"/>
      <c r="E126" s="3"/>
      <c r="F126" s="3"/>
      <c r="G126" s="3"/>
      <c r="H126" s="3"/>
      <c r="I126" s="3"/>
      <c r="J126" s="3"/>
      <c r="K126" s="3"/>
      <c r="L126" s="3"/>
      <c r="M126" s="3"/>
      <c r="N126" s="3"/>
      <c r="O126" s="3"/>
      <c r="P126" s="3"/>
      <c r="Q126" s="3"/>
      <c r="R126" s="3"/>
      <c r="S126" s="3"/>
      <c r="T126" s="3"/>
    </row>
    <row r="127" spans="1:20" x14ac:dyDescent="0.35">
      <c r="A127" s="3"/>
      <c r="B127" s="3"/>
      <c r="C127" s="3"/>
      <c r="D127" s="3"/>
      <c r="E127" s="3"/>
      <c r="F127" s="3"/>
      <c r="G127" s="3"/>
      <c r="H127" s="3"/>
      <c r="I127" s="3"/>
      <c r="J127" s="3"/>
      <c r="K127" s="3"/>
      <c r="L127" s="3"/>
      <c r="M127" s="3"/>
      <c r="N127" s="3"/>
      <c r="O127" s="3"/>
      <c r="P127" s="3"/>
      <c r="Q127" s="3"/>
      <c r="R127" s="3"/>
      <c r="S127" s="3"/>
      <c r="T127" s="3"/>
    </row>
    <row r="128" spans="1:20" x14ac:dyDescent="0.35">
      <c r="A128" s="3"/>
      <c r="B128" s="3"/>
      <c r="C128" s="3"/>
      <c r="D128" s="3"/>
      <c r="E128" s="3"/>
      <c r="F128" s="3"/>
      <c r="G128" s="3"/>
      <c r="H128" s="3"/>
      <c r="I128" s="3"/>
      <c r="J128" s="3"/>
      <c r="K128" s="3"/>
      <c r="L128" s="3"/>
      <c r="M128" s="3"/>
      <c r="N128" s="3"/>
      <c r="O128" s="3"/>
      <c r="P128" s="3"/>
      <c r="Q128" s="3"/>
      <c r="R128" s="3"/>
      <c r="S128" s="3"/>
      <c r="T128" s="3"/>
    </row>
    <row r="129" spans="1:20" x14ac:dyDescent="0.35">
      <c r="A129" s="3"/>
      <c r="B129" s="3"/>
      <c r="C129" s="3"/>
      <c r="D129" s="3"/>
      <c r="E129" s="3"/>
      <c r="F129" s="3"/>
      <c r="G129" s="3"/>
      <c r="H129" s="3"/>
      <c r="I129" s="3"/>
      <c r="J129" s="3"/>
      <c r="K129" s="3"/>
      <c r="L129" s="3"/>
      <c r="M129" s="3"/>
      <c r="N129" s="3"/>
      <c r="O129" s="3"/>
      <c r="P129" s="3"/>
      <c r="Q129" s="3"/>
      <c r="R129" s="3"/>
      <c r="S129" s="3"/>
      <c r="T129" s="3"/>
    </row>
    <row r="130" spans="1:20" x14ac:dyDescent="0.35">
      <c r="A130" s="3"/>
      <c r="B130" s="3"/>
      <c r="C130" s="3"/>
      <c r="D130" s="3"/>
      <c r="E130" s="3"/>
      <c r="F130" s="3"/>
      <c r="G130" s="3"/>
      <c r="H130" s="3"/>
      <c r="I130" s="3"/>
      <c r="J130" s="3"/>
      <c r="K130" s="3"/>
      <c r="L130" s="3"/>
      <c r="M130" s="3"/>
      <c r="N130" s="3"/>
      <c r="O130" s="3"/>
      <c r="P130" s="3"/>
      <c r="Q130" s="3"/>
      <c r="R130" s="3"/>
      <c r="S130" s="3"/>
      <c r="T130" s="3"/>
    </row>
    <row r="131" spans="1:20" x14ac:dyDescent="0.35">
      <c r="A131" s="3"/>
      <c r="B131" s="3"/>
      <c r="C131" s="3"/>
      <c r="D131" s="3"/>
      <c r="E131" s="3"/>
      <c r="F131" s="3"/>
      <c r="G131" s="3"/>
      <c r="H131" s="3"/>
      <c r="I131" s="3"/>
      <c r="J131" s="3"/>
      <c r="K131" s="3"/>
      <c r="L131" s="3"/>
      <c r="M131" s="3"/>
      <c r="N131" s="3"/>
      <c r="O131" s="3"/>
      <c r="P131" s="3"/>
      <c r="Q131" s="3"/>
      <c r="R131" s="3"/>
      <c r="S131" s="3"/>
      <c r="T131" s="3"/>
    </row>
    <row r="132" spans="1:20" x14ac:dyDescent="0.35">
      <c r="A132" s="3"/>
      <c r="B132" s="3"/>
      <c r="C132" s="3"/>
      <c r="D132" s="3"/>
      <c r="E132" s="3"/>
      <c r="F132" s="3"/>
      <c r="G132" s="3"/>
      <c r="H132" s="3"/>
      <c r="I132" s="3"/>
      <c r="J132" s="3"/>
      <c r="K132" s="3"/>
      <c r="L132" s="3"/>
      <c r="M132" s="3"/>
      <c r="N132" s="3"/>
      <c r="O132" s="3"/>
      <c r="P132" s="3"/>
      <c r="Q132" s="3"/>
      <c r="R132" s="3"/>
      <c r="S132" s="3"/>
      <c r="T132" s="3"/>
    </row>
    <row r="133" spans="1:20" x14ac:dyDescent="0.35">
      <c r="A133" s="3"/>
      <c r="B133" s="3"/>
      <c r="C133" s="3"/>
      <c r="D133" s="3"/>
      <c r="E133" s="3"/>
      <c r="F133" s="3"/>
      <c r="G133" s="3"/>
      <c r="H133" s="3"/>
      <c r="I133" s="3"/>
      <c r="J133" s="3"/>
      <c r="K133" s="3"/>
      <c r="L133" s="3"/>
      <c r="M133" s="3"/>
      <c r="N133" s="3"/>
      <c r="O133" s="3"/>
      <c r="P133" s="3"/>
      <c r="Q133" s="3"/>
      <c r="R133" s="3"/>
      <c r="S133" s="3"/>
      <c r="T133" s="3"/>
    </row>
    <row r="134" spans="1:20" x14ac:dyDescent="0.35">
      <c r="A134" s="3"/>
      <c r="B134" s="3"/>
      <c r="C134" s="3"/>
      <c r="D134" s="3"/>
      <c r="E134" s="3"/>
      <c r="F134" s="3"/>
      <c r="G134" s="3"/>
      <c r="H134" s="3"/>
      <c r="I134" s="3"/>
      <c r="J134" s="3"/>
      <c r="K134" s="3"/>
      <c r="L134" s="3"/>
      <c r="M134" s="3"/>
      <c r="N134" s="3"/>
      <c r="O134" s="3"/>
      <c r="P134" s="3"/>
      <c r="Q134" s="3"/>
      <c r="R134" s="3"/>
      <c r="S134" s="3"/>
      <c r="T134" s="3"/>
    </row>
    <row r="135" spans="1:20" x14ac:dyDescent="0.35">
      <c r="A135" s="3"/>
      <c r="B135" s="3"/>
      <c r="C135" s="3"/>
      <c r="D135" s="3"/>
      <c r="E135" s="3"/>
      <c r="F135" s="3"/>
      <c r="G135" s="3"/>
      <c r="H135" s="3"/>
      <c r="I135" s="3"/>
      <c r="J135" s="3"/>
      <c r="K135" s="3"/>
      <c r="L135" s="3"/>
      <c r="M135" s="3"/>
      <c r="N135" s="3"/>
      <c r="O135" s="3"/>
      <c r="P135" s="3"/>
      <c r="Q135" s="3"/>
      <c r="R135" s="3"/>
      <c r="S135" s="3"/>
      <c r="T135" s="3"/>
    </row>
    <row r="136" spans="1:20" x14ac:dyDescent="0.35">
      <c r="A136" s="3"/>
      <c r="B136" s="3"/>
      <c r="C136" s="3"/>
      <c r="D136" s="3"/>
      <c r="E136" s="3"/>
      <c r="F136" s="3"/>
      <c r="G136" s="3"/>
      <c r="H136" s="3"/>
      <c r="I136" s="3"/>
      <c r="J136" s="3"/>
      <c r="K136" s="3"/>
      <c r="L136" s="3"/>
      <c r="M136" s="3"/>
      <c r="N136" s="3"/>
      <c r="O136" s="3"/>
      <c r="P136" s="3"/>
      <c r="Q136" s="3"/>
      <c r="R136" s="3"/>
      <c r="S136" s="3"/>
      <c r="T136" s="3"/>
    </row>
    <row r="137" spans="1:20" x14ac:dyDescent="0.35">
      <c r="A137" s="3"/>
      <c r="B137" s="3"/>
      <c r="C137" s="3"/>
      <c r="D137" s="3"/>
      <c r="E137" s="3"/>
      <c r="F137" s="3"/>
      <c r="G137" s="3"/>
      <c r="H137" s="3"/>
      <c r="I137" s="3"/>
      <c r="J137" s="3"/>
      <c r="K137" s="3"/>
      <c r="L137" s="3"/>
      <c r="M137" s="3"/>
      <c r="N137" s="3"/>
      <c r="O137" s="3"/>
      <c r="P137" s="3"/>
      <c r="Q137" s="3"/>
      <c r="R137" s="3"/>
      <c r="S137" s="3"/>
      <c r="T137" s="3"/>
    </row>
    <row r="138" spans="1:20" x14ac:dyDescent="0.35">
      <c r="A138" s="3"/>
      <c r="B138" s="3"/>
      <c r="C138" s="3"/>
      <c r="D138" s="3"/>
      <c r="E138" s="3"/>
      <c r="F138" s="3"/>
      <c r="G138" s="3"/>
      <c r="H138" s="3"/>
      <c r="I138" s="3"/>
      <c r="J138" s="3"/>
      <c r="K138" s="3"/>
      <c r="L138" s="3"/>
      <c r="M138" s="3"/>
      <c r="N138" s="3"/>
      <c r="O138" s="3"/>
      <c r="P138" s="3"/>
      <c r="Q138" s="3"/>
      <c r="R138" s="3"/>
      <c r="S138" s="3"/>
      <c r="T138" s="3"/>
    </row>
    <row r="139" spans="1:20" x14ac:dyDescent="0.35">
      <c r="A139" s="3"/>
      <c r="B139" s="3"/>
      <c r="C139" s="3"/>
      <c r="D139" s="3"/>
      <c r="E139" s="3"/>
      <c r="F139" s="3"/>
      <c r="G139" s="3"/>
      <c r="H139" s="3"/>
      <c r="I139" s="3"/>
      <c r="J139" s="3"/>
      <c r="K139" s="3"/>
      <c r="L139" s="3"/>
      <c r="M139" s="3"/>
      <c r="N139" s="3"/>
      <c r="O139" s="3"/>
      <c r="P139" s="3"/>
      <c r="Q139" s="3"/>
      <c r="R139" s="3"/>
      <c r="S139" s="3"/>
      <c r="T139" s="3"/>
    </row>
    <row r="140" spans="1:20" x14ac:dyDescent="0.35">
      <c r="A140" s="3"/>
      <c r="B140" s="3"/>
      <c r="C140" s="3"/>
      <c r="D140" s="3"/>
      <c r="E140" s="3"/>
      <c r="F140" s="3"/>
      <c r="G140" s="3"/>
      <c r="H140" s="3"/>
      <c r="I140" s="3"/>
      <c r="J140" s="3"/>
      <c r="K140" s="3"/>
      <c r="L140" s="3"/>
      <c r="M140" s="3"/>
      <c r="N140" s="3"/>
      <c r="O140" s="3"/>
      <c r="P140" s="3"/>
      <c r="Q140" s="3"/>
      <c r="R140" s="3"/>
      <c r="S140" s="3"/>
      <c r="T140" s="3"/>
    </row>
    <row r="141" spans="1:20" x14ac:dyDescent="0.35">
      <c r="A141" s="3"/>
      <c r="B141" s="3"/>
      <c r="C141" s="3"/>
      <c r="D141" s="3"/>
      <c r="E141" s="3"/>
      <c r="F141" s="3"/>
      <c r="G141" s="3"/>
      <c r="H141" s="3"/>
      <c r="I141" s="3"/>
      <c r="J141" s="3"/>
      <c r="K141" s="3"/>
      <c r="L141" s="3"/>
      <c r="M141" s="3"/>
      <c r="N141" s="3"/>
      <c r="O141" s="3"/>
      <c r="P141" s="3"/>
      <c r="Q141" s="3"/>
      <c r="R141" s="3"/>
      <c r="S141" s="3"/>
      <c r="T141" s="3"/>
    </row>
    <row r="142" spans="1:20" x14ac:dyDescent="0.35">
      <c r="A142" s="3"/>
      <c r="B142" s="3"/>
      <c r="C142" s="3"/>
      <c r="D142" s="3"/>
      <c r="E142" s="3"/>
      <c r="F142" s="3"/>
      <c r="G142" s="3"/>
      <c r="H142" s="3"/>
      <c r="I142" s="3"/>
      <c r="J142" s="3"/>
      <c r="K142" s="3"/>
      <c r="L142" s="3"/>
      <c r="M142" s="3"/>
      <c r="N142" s="3"/>
      <c r="O142" s="3"/>
      <c r="P142" s="3"/>
      <c r="Q142" s="3"/>
      <c r="R142" s="3"/>
      <c r="S142" s="3"/>
      <c r="T142" s="3"/>
    </row>
    <row r="143" spans="1:20" x14ac:dyDescent="0.35">
      <c r="A143" s="3"/>
      <c r="B143" s="3"/>
      <c r="C143" s="3"/>
      <c r="D143" s="3"/>
      <c r="E143" s="3"/>
      <c r="F143" s="3"/>
      <c r="G143" s="3"/>
      <c r="H143" s="3"/>
      <c r="I143" s="3"/>
      <c r="J143" s="3"/>
      <c r="K143" s="3"/>
      <c r="L143" s="3"/>
      <c r="M143" s="3"/>
      <c r="N143" s="3"/>
      <c r="O143" s="3"/>
      <c r="P143" s="3"/>
      <c r="Q143" s="3"/>
      <c r="R143" s="3"/>
      <c r="S143" s="3"/>
      <c r="T143" s="3"/>
    </row>
    <row r="144" spans="1:20" x14ac:dyDescent="0.35">
      <c r="A144" s="3"/>
      <c r="B144" s="3"/>
      <c r="C144" s="3"/>
      <c r="D144" s="3"/>
      <c r="E144" s="3"/>
      <c r="F144" s="3"/>
      <c r="G144" s="3"/>
      <c r="H144" s="3"/>
      <c r="I144" s="3"/>
      <c r="J144" s="3"/>
      <c r="K144" s="3"/>
      <c r="L144" s="3"/>
      <c r="M144" s="3"/>
      <c r="N144" s="3"/>
      <c r="O144" s="3"/>
      <c r="P144" s="3"/>
      <c r="Q144" s="3"/>
      <c r="R144" s="3"/>
      <c r="S144" s="3"/>
      <c r="T144" s="3"/>
    </row>
    <row r="145" spans="1:20" x14ac:dyDescent="0.35">
      <c r="A145" s="3"/>
      <c r="B145" s="3"/>
      <c r="C145" s="3"/>
      <c r="D145" s="3"/>
      <c r="E145" s="3"/>
      <c r="F145" s="3"/>
      <c r="G145" s="3"/>
      <c r="H145" s="3"/>
      <c r="I145" s="3"/>
      <c r="J145" s="3"/>
      <c r="K145" s="3"/>
      <c r="L145" s="3"/>
      <c r="M145" s="3"/>
      <c r="N145" s="3"/>
      <c r="O145" s="3"/>
      <c r="P145" s="3"/>
      <c r="Q145" s="3"/>
      <c r="R145" s="3"/>
      <c r="S145" s="3"/>
      <c r="T145" s="3"/>
    </row>
    <row r="146" spans="1:20" x14ac:dyDescent="0.35">
      <c r="A146" s="3"/>
      <c r="B146" s="3"/>
      <c r="C146" s="3"/>
      <c r="D146" s="3"/>
      <c r="E146" s="3"/>
      <c r="F146" s="3"/>
      <c r="G146" s="3"/>
      <c r="H146" s="3"/>
      <c r="I146" s="3"/>
      <c r="J146" s="3"/>
      <c r="K146" s="3"/>
      <c r="L146" s="3"/>
      <c r="M146" s="3"/>
      <c r="N146" s="3"/>
      <c r="O146" s="3"/>
      <c r="P146" s="3"/>
      <c r="Q146" s="3"/>
      <c r="R146" s="3"/>
      <c r="S146" s="3"/>
      <c r="T146" s="3"/>
    </row>
    <row r="147" spans="1:20" x14ac:dyDescent="0.35">
      <c r="A147" s="3"/>
      <c r="B147" s="3"/>
      <c r="C147" s="3"/>
      <c r="D147" s="3"/>
      <c r="E147" s="3"/>
      <c r="F147" s="3"/>
      <c r="G147" s="3"/>
      <c r="H147" s="3"/>
      <c r="I147" s="3"/>
      <c r="J147" s="3"/>
      <c r="K147" s="3"/>
      <c r="L147" s="3"/>
      <c r="M147" s="3"/>
      <c r="N147" s="3"/>
      <c r="O147" s="3"/>
      <c r="P147" s="3"/>
      <c r="Q147" s="3"/>
      <c r="R147" s="3"/>
      <c r="S147" s="3"/>
      <c r="T147" s="3"/>
    </row>
    <row r="148" spans="1:20" x14ac:dyDescent="0.35">
      <c r="A148" s="3"/>
      <c r="B148" s="3"/>
      <c r="C148" s="3"/>
      <c r="D148" s="3"/>
      <c r="E148" s="3"/>
      <c r="F148" s="3"/>
      <c r="G148" s="3"/>
      <c r="H148" s="3"/>
      <c r="I148" s="3"/>
      <c r="J148" s="3"/>
      <c r="K148" s="3"/>
      <c r="L148" s="3"/>
      <c r="M148" s="3"/>
      <c r="N148" s="3"/>
      <c r="O148" s="3"/>
      <c r="P148" s="3"/>
      <c r="Q148" s="3"/>
      <c r="R148" s="3"/>
      <c r="S148" s="3"/>
      <c r="T148" s="3"/>
    </row>
    <row r="149" spans="1:20" x14ac:dyDescent="0.35">
      <c r="A149" s="3"/>
      <c r="B149" s="3"/>
      <c r="C149" s="3"/>
      <c r="D149" s="3"/>
      <c r="E149" s="3"/>
      <c r="F149" s="3"/>
      <c r="G149" s="3"/>
      <c r="H149" s="3"/>
      <c r="I149" s="3"/>
      <c r="J149" s="3"/>
      <c r="K149" s="3"/>
      <c r="L149" s="3"/>
      <c r="M149" s="3"/>
      <c r="N149" s="3"/>
      <c r="O149" s="3"/>
      <c r="P149" s="3"/>
      <c r="Q149" s="3"/>
      <c r="R149" s="3"/>
      <c r="S149" s="3"/>
      <c r="T149" s="3"/>
    </row>
    <row r="150" spans="1:20" x14ac:dyDescent="0.35">
      <c r="A150" s="3"/>
      <c r="B150" s="3"/>
      <c r="C150" s="3"/>
      <c r="D150" s="3"/>
      <c r="E150" s="3"/>
      <c r="F150" s="3"/>
      <c r="G150" s="3"/>
      <c r="H150" s="3"/>
      <c r="I150" s="3"/>
      <c r="J150" s="3"/>
      <c r="K150" s="3"/>
      <c r="L150" s="3"/>
      <c r="M150" s="3"/>
      <c r="N150" s="3"/>
      <c r="O150" s="3"/>
      <c r="P150" s="3"/>
      <c r="Q150" s="3"/>
      <c r="R150" s="3"/>
      <c r="S150" s="3"/>
      <c r="T150" s="3"/>
    </row>
    <row r="151" spans="1:20" x14ac:dyDescent="0.35">
      <c r="A151" s="3"/>
      <c r="B151" s="3"/>
      <c r="C151" s="3"/>
      <c r="D151" s="3"/>
      <c r="E151" s="3"/>
      <c r="F151" s="3"/>
      <c r="G151" s="3"/>
      <c r="H151" s="3"/>
      <c r="I151" s="3"/>
      <c r="J151" s="3"/>
      <c r="K151" s="3"/>
      <c r="L151" s="3"/>
      <c r="M151" s="3"/>
      <c r="N151" s="3"/>
      <c r="O151" s="3"/>
      <c r="P151" s="3"/>
      <c r="Q151" s="3"/>
      <c r="R151" s="3"/>
      <c r="S151" s="3"/>
      <c r="T151" s="3"/>
    </row>
    <row r="152" spans="1:20" x14ac:dyDescent="0.35">
      <c r="A152" s="3"/>
      <c r="B152" s="3"/>
      <c r="C152" s="3"/>
      <c r="D152" s="3"/>
      <c r="E152" s="3"/>
      <c r="F152" s="3"/>
      <c r="G152" s="3"/>
      <c r="H152" s="3"/>
      <c r="I152" s="3"/>
      <c r="J152" s="3"/>
      <c r="K152" s="3"/>
      <c r="L152" s="3"/>
      <c r="M152" s="3"/>
      <c r="N152" s="3"/>
      <c r="O152" s="3"/>
      <c r="P152" s="3"/>
      <c r="Q152" s="3"/>
      <c r="R152" s="3"/>
      <c r="S152" s="3"/>
      <c r="T152" s="3"/>
    </row>
    <row r="153" spans="1:20" x14ac:dyDescent="0.35">
      <c r="A153" s="3"/>
      <c r="B153" s="3"/>
      <c r="C153" s="3"/>
      <c r="D153" s="3"/>
      <c r="E153" s="3"/>
      <c r="F153" s="3"/>
      <c r="G153" s="3"/>
      <c r="H153" s="3"/>
      <c r="I153" s="3"/>
      <c r="J153" s="3"/>
      <c r="K153" s="3"/>
      <c r="L153" s="3"/>
      <c r="M153" s="3"/>
      <c r="N153" s="3"/>
      <c r="O153" s="3"/>
      <c r="P153" s="3"/>
      <c r="Q153" s="3"/>
      <c r="R153" s="3"/>
      <c r="S153" s="3"/>
      <c r="T153" s="3"/>
    </row>
    <row r="154" spans="1:20" x14ac:dyDescent="0.35">
      <c r="A154" s="3"/>
      <c r="B154" s="3"/>
      <c r="C154" s="3"/>
      <c r="D154" s="3"/>
      <c r="E154" s="3"/>
      <c r="F154" s="3"/>
      <c r="G154" s="3"/>
      <c r="H154" s="3"/>
      <c r="I154" s="3"/>
      <c r="J154" s="3"/>
      <c r="K154" s="3"/>
      <c r="L154" s="3"/>
      <c r="M154" s="3"/>
      <c r="N154" s="3"/>
      <c r="O154" s="3"/>
      <c r="P154" s="3"/>
      <c r="Q154" s="3"/>
      <c r="R154" s="3"/>
      <c r="S154" s="3"/>
      <c r="T154" s="3"/>
    </row>
    <row r="155" spans="1:20" x14ac:dyDescent="0.35">
      <c r="A155" s="3"/>
      <c r="B155" s="3"/>
      <c r="C155" s="3"/>
      <c r="D155" s="3"/>
      <c r="E155" s="3"/>
      <c r="F155" s="3"/>
      <c r="G155" s="3"/>
      <c r="H155" s="3"/>
      <c r="I155" s="3"/>
      <c r="J155" s="3"/>
      <c r="K155" s="3"/>
      <c r="L155" s="3"/>
      <c r="M155" s="3"/>
      <c r="N155" s="3"/>
      <c r="O155" s="3"/>
      <c r="P155" s="3"/>
      <c r="Q155" s="3"/>
      <c r="R155" s="3"/>
      <c r="S155" s="3"/>
      <c r="T155" s="3"/>
    </row>
    <row r="156" spans="1:20" x14ac:dyDescent="0.35">
      <c r="A156" s="3"/>
      <c r="B156" s="3"/>
      <c r="C156" s="3"/>
      <c r="D156" s="3"/>
      <c r="E156" s="3"/>
      <c r="F156" s="3"/>
      <c r="G156" s="3"/>
      <c r="H156" s="3"/>
      <c r="I156" s="3"/>
      <c r="J156" s="3"/>
      <c r="K156" s="3"/>
      <c r="L156" s="3"/>
      <c r="M156" s="3"/>
      <c r="N156" s="3"/>
      <c r="O156" s="3"/>
      <c r="P156" s="3"/>
      <c r="Q156" s="3"/>
      <c r="R156" s="3"/>
      <c r="S156" s="3"/>
      <c r="T156" s="3"/>
    </row>
    <row r="157" spans="1:20" x14ac:dyDescent="0.35">
      <c r="A157" s="3"/>
      <c r="B157" s="3"/>
      <c r="C157" s="3"/>
      <c r="D157" s="3"/>
      <c r="E157" s="3"/>
      <c r="F157" s="3"/>
      <c r="G157" s="3"/>
      <c r="H157" s="3"/>
      <c r="I157" s="3"/>
      <c r="J157" s="3"/>
      <c r="K157" s="3"/>
      <c r="L157" s="3"/>
      <c r="M157" s="3"/>
      <c r="N157" s="3"/>
      <c r="O157" s="3"/>
      <c r="P157" s="3"/>
      <c r="Q157" s="3"/>
      <c r="R157" s="3"/>
      <c r="S157" s="3"/>
      <c r="T157" s="3"/>
    </row>
    <row r="158" spans="1:20" x14ac:dyDescent="0.35">
      <c r="A158" s="3"/>
      <c r="B158" s="3"/>
      <c r="C158" s="3"/>
      <c r="D158" s="3"/>
      <c r="E158" s="3"/>
      <c r="F158" s="3"/>
      <c r="G158" s="3"/>
      <c r="H158" s="3"/>
      <c r="I158" s="3"/>
      <c r="J158" s="3"/>
      <c r="K158" s="3"/>
      <c r="L158" s="3"/>
      <c r="M158" s="3"/>
      <c r="N158" s="3"/>
      <c r="O158" s="3"/>
      <c r="P158" s="3"/>
      <c r="Q158" s="3"/>
      <c r="R158" s="3"/>
      <c r="S158" s="3"/>
      <c r="T158" s="3"/>
    </row>
    <row r="159" spans="1:20" x14ac:dyDescent="0.35">
      <c r="A159" s="3"/>
      <c r="B159" s="3"/>
      <c r="C159" s="3"/>
      <c r="D159" s="3"/>
      <c r="E159" s="3"/>
      <c r="F159" s="3"/>
      <c r="G159" s="3"/>
      <c r="H159" s="3"/>
      <c r="I159" s="3"/>
      <c r="J159" s="3"/>
      <c r="K159" s="3"/>
      <c r="L159" s="3"/>
      <c r="M159" s="3"/>
      <c r="N159" s="3"/>
      <c r="O159" s="3"/>
      <c r="P159" s="3"/>
      <c r="Q159" s="3"/>
      <c r="R159" s="3"/>
      <c r="S159" s="3"/>
      <c r="T159" s="3"/>
    </row>
    <row r="160" spans="1:20" x14ac:dyDescent="0.35">
      <c r="A160" s="3"/>
      <c r="B160" s="3"/>
      <c r="C160" s="3"/>
      <c r="D160" s="3"/>
      <c r="E160" s="3"/>
      <c r="F160" s="3"/>
      <c r="G160" s="3"/>
      <c r="H160" s="3"/>
      <c r="I160" s="3"/>
      <c r="J160" s="3"/>
      <c r="K160" s="3"/>
      <c r="L160" s="3"/>
      <c r="M160" s="3"/>
      <c r="N160" s="3"/>
      <c r="O160" s="3"/>
      <c r="P160" s="3"/>
      <c r="Q160" s="3"/>
      <c r="R160" s="3"/>
      <c r="S160" s="3"/>
      <c r="T160" s="3"/>
    </row>
    <row r="161" spans="1:20" x14ac:dyDescent="0.35">
      <c r="A161" s="3"/>
      <c r="B161" s="3"/>
      <c r="C161" s="3"/>
      <c r="D161" s="3"/>
      <c r="E161" s="3"/>
      <c r="F161" s="3"/>
      <c r="G161" s="3"/>
      <c r="H161" s="3"/>
      <c r="I161" s="3"/>
      <c r="J161" s="3"/>
      <c r="K161" s="3"/>
      <c r="L161" s="3"/>
      <c r="M161" s="3"/>
      <c r="N161" s="3"/>
      <c r="O161" s="3"/>
      <c r="P161" s="3"/>
      <c r="Q161" s="3"/>
      <c r="R161" s="3"/>
      <c r="S161" s="3"/>
      <c r="T161" s="3"/>
    </row>
    <row r="162" spans="1:20" x14ac:dyDescent="0.35">
      <c r="A162" s="3"/>
      <c r="B162" s="3"/>
      <c r="C162" s="3"/>
      <c r="D162" s="3"/>
      <c r="E162" s="3"/>
      <c r="F162" s="3"/>
      <c r="G162" s="3"/>
      <c r="H162" s="3"/>
      <c r="I162" s="3"/>
      <c r="J162" s="3"/>
      <c r="K162" s="3"/>
      <c r="L162" s="3"/>
      <c r="M162" s="3"/>
      <c r="N162" s="3"/>
      <c r="O162" s="3"/>
      <c r="P162" s="3"/>
      <c r="Q162" s="3"/>
      <c r="R162" s="3"/>
      <c r="S162" s="3"/>
      <c r="T162" s="3"/>
    </row>
    <row r="163" spans="1:20" x14ac:dyDescent="0.35">
      <c r="A163" s="3"/>
      <c r="B163" s="3"/>
      <c r="C163" s="3"/>
      <c r="D163" s="3"/>
      <c r="E163" s="3"/>
      <c r="F163" s="3"/>
      <c r="G163" s="3"/>
      <c r="H163" s="3"/>
      <c r="I163" s="3"/>
      <c r="J163" s="3"/>
      <c r="K163" s="3"/>
      <c r="L163" s="3"/>
      <c r="M163" s="3"/>
      <c r="N163" s="3"/>
      <c r="O163" s="3"/>
      <c r="P163" s="3"/>
      <c r="Q163" s="3"/>
      <c r="R163" s="3"/>
      <c r="S163" s="3"/>
      <c r="T163" s="3"/>
    </row>
    <row r="164" spans="1:20" x14ac:dyDescent="0.35">
      <c r="A164" s="3"/>
      <c r="B164" s="3"/>
      <c r="C164" s="3"/>
      <c r="D164" s="3"/>
      <c r="E164" s="3"/>
      <c r="F164" s="3"/>
      <c r="G164" s="3"/>
      <c r="H164" s="3"/>
      <c r="I164" s="3"/>
      <c r="J164" s="3"/>
      <c r="K164" s="3"/>
      <c r="L164" s="3"/>
      <c r="M164" s="3"/>
      <c r="N164" s="3"/>
      <c r="O164" s="3"/>
      <c r="P164" s="3"/>
      <c r="Q164" s="3"/>
      <c r="R164" s="3"/>
      <c r="S164" s="3"/>
      <c r="T164" s="3"/>
    </row>
    <row r="165" spans="1:20" x14ac:dyDescent="0.35">
      <c r="A165" s="3"/>
      <c r="B165" s="3"/>
      <c r="C165" s="3"/>
      <c r="D165" s="3"/>
      <c r="E165" s="3"/>
      <c r="F165" s="3"/>
      <c r="G165" s="3"/>
      <c r="H165" s="3"/>
      <c r="I165" s="3"/>
      <c r="J165" s="3"/>
      <c r="K165" s="3"/>
      <c r="L165" s="3"/>
      <c r="M165" s="3"/>
      <c r="N165" s="3"/>
      <c r="O165" s="3"/>
      <c r="P165" s="3"/>
      <c r="Q165" s="3"/>
      <c r="R165" s="3"/>
      <c r="S165" s="3"/>
      <c r="T165" s="3"/>
    </row>
    <row r="166" spans="1:20" x14ac:dyDescent="0.35">
      <c r="A166" s="3"/>
      <c r="B166" s="3"/>
      <c r="C166" s="3"/>
      <c r="D166" s="3"/>
      <c r="E166" s="3"/>
      <c r="F166" s="3"/>
      <c r="G166" s="3"/>
      <c r="H166" s="3"/>
      <c r="I166" s="3"/>
      <c r="J166" s="3"/>
      <c r="K166" s="3"/>
      <c r="L166" s="3"/>
      <c r="M166" s="3"/>
      <c r="N166" s="3"/>
      <c r="O166" s="3"/>
      <c r="P166" s="3"/>
      <c r="Q166" s="3"/>
      <c r="R166" s="3"/>
      <c r="S166" s="3"/>
      <c r="T166" s="3"/>
    </row>
    <row r="167" spans="1:20" x14ac:dyDescent="0.35">
      <c r="A167" s="3"/>
      <c r="B167" s="3"/>
      <c r="C167" s="3"/>
      <c r="D167" s="3"/>
      <c r="E167" s="3"/>
      <c r="F167" s="3"/>
      <c r="G167" s="3"/>
      <c r="H167" s="3"/>
      <c r="I167" s="3"/>
      <c r="J167" s="3"/>
      <c r="K167" s="3"/>
      <c r="L167" s="3"/>
      <c r="M167" s="3"/>
      <c r="N167" s="3"/>
      <c r="O167" s="3"/>
      <c r="P167" s="3"/>
      <c r="Q167" s="3"/>
      <c r="R167" s="3"/>
      <c r="S167" s="3"/>
      <c r="T167" s="3"/>
    </row>
    <row r="168" spans="1:20" x14ac:dyDescent="0.35">
      <c r="A168" s="3"/>
      <c r="B168" s="3"/>
      <c r="C168" s="3"/>
      <c r="D168" s="3"/>
      <c r="E168" s="3"/>
      <c r="F168" s="3"/>
      <c r="G168" s="3"/>
      <c r="H168" s="3"/>
      <c r="I168" s="3"/>
      <c r="J168" s="3"/>
      <c r="K168" s="3"/>
      <c r="L168" s="3"/>
      <c r="M168" s="3"/>
      <c r="N168" s="3"/>
      <c r="O168" s="3"/>
      <c r="P168" s="3"/>
      <c r="Q168" s="3"/>
      <c r="R168" s="3"/>
      <c r="S168" s="3"/>
      <c r="T168" s="3"/>
    </row>
    <row r="169" spans="1:20" x14ac:dyDescent="0.35">
      <c r="A169" s="3"/>
      <c r="B169" s="3"/>
      <c r="C169" s="3"/>
      <c r="D169" s="3"/>
      <c r="E169" s="3"/>
      <c r="F169" s="3"/>
      <c r="G169" s="3"/>
      <c r="H169" s="3"/>
      <c r="I169" s="3"/>
      <c r="J169" s="3"/>
      <c r="K169" s="3"/>
      <c r="L169" s="3"/>
      <c r="M169" s="3"/>
      <c r="N169" s="3"/>
      <c r="O169" s="3"/>
      <c r="P169" s="3"/>
      <c r="Q169" s="3"/>
      <c r="R169" s="3"/>
      <c r="S169" s="3"/>
      <c r="T169" s="3"/>
    </row>
    <row r="170" spans="1:20" x14ac:dyDescent="0.35">
      <c r="A170" s="3"/>
      <c r="B170" s="3"/>
      <c r="C170" s="3"/>
      <c r="D170" s="3"/>
      <c r="E170" s="3"/>
      <c r="F170" s="3"/>
      <c r="G170" s="3"/>
      <c r="H170" s="3"/>
      <c r="I170" s="3"/>
      <c r="J170" s="3"/>
      <c r="K170" s="3"/>
      <c r="L170" s="3"/>
      <c r="M170" s="3"/>
      <c r="N170" s="3"/>
      <c r="O170" s="3"/>
      <c r="P170" s="3"/>
      <c r="Q170" s="3"/>
      <c r="R170" s="3"/>
      <c r="S170" s="3"/>
      <c r="T170" s="3"/>
    </row>
    <row r="171" spans="1:20" x14ac:dyDescent="0.35">
      <c r="A171" s="3"/>
      <c r="B171" s="3"/>
      <c r="C171" s="3"/>
      <c r="D171" s="3"/>
      <c r="E171" s="3"/>
      <c r="F171" s="3"/>
      <c r="G171" s="3"/>
      <c r="H171" s="3"/>
      <c r="I171" s="3"/>
      <c r="J171" s="3"/>
      <c r="K171" s="3"/>
      <c r="L171" s="3"/>
      <c r="M171" s="3"/>
      <c r="N171" s="3"/>
      <c r="O171" s="3"/>
      <c r="P171" s="3"/>
      <c r="Q171" s="3"/>
      <c r="R171" s="3"/>
      <c r="S171" s="3"/>
      <c r="T171" s="3"/>
    </row>
    <row r="172" spans="1:20" x14ac:dyDescent="0.35">
      <c r="A172" s="3"/>
      <c r="B172" s="3"/>
      <c r="C172" s="3"/>
      <c r="D172" s="3"/>
      <c r="E172" s="3"/>
      <c r="F172" s="3"/>
      <c r="G172" s="3"/>
      <c r="H172" s="3"/>
      <c r="I172" s="3"/>
      <c r="J172" s="3"/>
      <c r="K172" s="3"/>
      <c r="L172" s="3"/>
      <c r="M172" s="3"/>
      <c r="N172" s="3"/>
      <c r="O172" s="3"/>
      <c r="P172" s="3"/>
      <c r="Q172" s="3"/>
      <c r="R172" s="3"/>
      <c r="S172" s="3"/>
      <c r="T172" s="3"/>
    </row>
    <row r="173" spans="1:20" x14ac:dyDescent="0.35">
      <c r="A173" s="3"/>
      <c r="B173" s="3"/>
      <c r="C173" s="3"/>
      <c r="D173" s="3"/>
      <c r="E173" s="3"/>
      <c r="F173" s="3"/>
      <c r="G173" s="3"/>
      <c r="H173" s="3"/>
      <c r="I173" s="3"/>
      <c r="J173" s="3"/>
      <c r="K173" s="3"/>
      <c r="L173" s="3"/>
      <c r="M173" s="3"/>
      <c r="N173" s="3"/>
      <c r="O173" s="3"/>
      <c r="P173" s="3"/>
      <c r="Q173" s="3"/>
      <c r="R173" s="3"/>
      <c r="S173" s="3"/>
      <c r="T173" s="3"/>
    </row>
    <row r="174" spans="1:20" x14ac:dyDescent="0.35">
      <c r="A174" s="3"/>
      <c r="B174" s="3"/>
      <c r="C174" s="3"/>
      <c r="D174" s="3"/>
      <c r="E174" s="3"/>
      <c r="F174" s="3"/>
      <c r="G174" s="3"/>
      <c r="H174" s="3"/>
      <c r="I174" s="3"/>
      <c r="J174" s="3"/>
      <c r="K174" s="3"/>
      <c r="L174" s="3"/>
      <c r="M174" s="3"/>
      <c r="N174" s="3"/>
      <c r="O174" s="3"/>
      <c r="P174" s="3"/>
      <c r="Q174" s="3"/>
      <c r="R174" s="3"/>
      <c r="S174" s="3"/>
      <c r="T174" s="3"/>
    </row>
    <row r="175" spans="1:20" x14ac:dyDescent="0.35">
      <c r="A175" s="3"/>
      <c r="B175" s="3"/>
      <c r="C175" s="3"/>
      <c r="D175" s="3"/>
      <c r="E175" s="3"/>
      <c r="F175" s="3"/>
      <c r="G175" s="3"/>
      <c r="H175" s="3"/>
      <c r="I175" s="3"/>
      <c r="J175" s="3"/>
      <c r="K175" s="3"/>
      <c r="L175" s="3"/>
      <c r="M175" s="3"/>
      <c r="N175" s="3"/>
      <c r="O175" s="3"/>
      <c r="P175" s="3"/>
      <c r="Q175" s="3"/>
      <c r="R175" s="3"/>
      <c r="S175" s="3"/>
      <c r="T175" s="3"/>
    </row>
    <row r="176" spans="1:20" x14ac:dyDescent="0.35">
      <c r="A176" s="3"/>
      <c r="B176" s="3"/>
      <c r="C176" s="3"/>
      <c r="D176" s="3"/>
      <c r="E176" s="3"/>
      <c r="F176" s="3"/>
      <c r="G176" s="3"/>
      <c r="H176" s="3"/>
      <c r="I176" s="3"/>
      <c r="J176" s="3"/>
      <c r="K176" s="3"/>
      <c r="L176" s="3"/>
      <c r="M176" s="3"/>
      <c r="N176" s="3"/>
      <c r="O176" s="3"/>
      <c r="P176" s="3"/>
      <c r="Q176" s="3"/>
      <c r="R176" s="3"/>
      <c r="S176" s="3"/>
      <c r="T176" s="3"/>
    </row>
    <row r="177" spans="1:20" x14ac:dyDescent="0.35">
      <c r="A177" s="3"/>
      <c r="B177" s="3"/>
      <c r="C177" s="3"/>
      <c r="D177" s="3"/>
      <c r="E177" s="3"/>
      <c r="F177" s="3"/>
      <c r="G177" s="3"/>
      <c r="H177" s="3"/>
      <c r="I177" s="3"/>
      <c r="J177" s="3"/>
      <c r="K177" s="3"/>
      <c r="L177" s="3"/>
      <c r="M177" s="3"/>
      <c r="N177" s="3"/>
      <c r="O177" s="3"/>
      <c r="P177" s="3"/>
      <c r="Q177" s="3"/>
      <c r="R177" s="3"/>
      <c r="S177" s="3"/>
      <c r="T177" s="3"/>
    </row>
    <row r="178" spans="1:20" x14ac:dyDescent="0.35">
      <c r="A178" s="3"/>
      <c r="B178" s="3"/>
      <c r="C178" s="3"/>
      <c r="D178" s="3"/>
      <c r="E178" s="3"/>
      <c r="F178" s="3"/>
      <c r="G178" s="3"/>
      <c r="H178" s="3"/>
      <c r="I178" s="3"/>
      <c r="J178" s="3"/>
      <c r="K178" s="3"/>
      <c r="L178" s="3"/>
      <c r="M178" s="3"/>
      <c r="N178" s="3"/>
      <c r="O178" s="3"/>
      <c r="P178" s="3"/>
      <c r="Q178" s="3"/>
      <c r="R178" s="3"/>
      <c r="S178" s="3"/>
      <c r="T178" s="3"/>
    </row>
    <row r="179" spans="1:20" x14ac:dyDescent="0.35">
      <c r="A179" s="3"/>
      <c r="B179" s="3"/>
      <c r="C179" s="3"/>
      <c r="D179" s="3"/>
      <c r="E179" s="3"/>
      <c r="F179" s="3"/>
      <c r="G179" s="3"/>
      <c r="H179" s="3"/>
      <c r="I179" s="3"/>
      <c r="J179" s="3"/>
      <c r="K179" s="3"/>
      <c r="L179" s="3"/>
      <c r="M179" s="3"/>
      <c r="N179" s="3"/>
      <c r="O179" s="3"/>
      <c r="P179" s="3"/>
      <c r="Q179" s="3"/>
      <c r="R179" s="3"/>
      <c r="S179" s="3"/>
      <c r="T179" s="3"/>
    </row>
    <row r="180" spans="1:20" x14ac:dyDescent="0.35">
      <c r="A180" s="3"/>
      <c r="B180" s="3"/>
      <c r="C180" s="3"/>
      <c r="D180" s="3"/>
      <c r="E180" s="3"/>
      <c r="F180" s="3"/>
      <c r="G180" s="3"/>
      <c r="H180" s="3"/>
      <c r="I180" s="3"/>
      <c r="J180" s="3"/>
      <c r="K180" s="3"/>
      <c r="L180" s="3"/>
      <c r="M180" s="3"/>
      <c r="N180" s="3"/>
      <c r="O180" s="3"/>
      <c r="P180" s="3"/>
      <c r="Q180" s="3"/>
      <c r="R180" s="3"/>
      <c r="S180" s="3"/>
      <c r="T180" s="3"/>
    </row>
    <row r="181" spans="1:20" x14ac:dyDescent="0.35">
      <c r="A181" s="3"/>
      <c r="B181" s="3"/>
      <c r="C181" s="3"/>
      <c r="D181" s="3"/>
      <c r="E181" s="3"/>
      <c r="F181" s="3"/>
      <c r="G181" s="3"/>
      <c r="H181" s="3"/>
      <c r="I181" s="3"/>
      <c r="J181" s="3"/>
      <c r="K181" s="3"/>
      <c r="L181" s="3"/>
      <c r="M181" s="3"/>
      <c r="N181" s="3"/>
      <c r="O181" s="3"/>
      <c r="P181" s="3"/>
      <c r="Q181" s="3"/>
      <c r="R181" s="3"/>
      <c r="S181" s="3"/>
      <c r="T181" s="3"/>
    </row>
    <row r="182" spans="1:20" x14ac:dyDescent="0.35">
      <c r="A182" s="3"/>
      <c r="B182" s="3"/>
      <c r="C182" s="3"/>
      <c r="D182" s="3"/>
      <c r="E182" s="3"/>
      <c r="F182" s="3"/>
      <c r="G182" s="3"/>
      <c r="H182" s="3"/>
      <c r="I182" s="3"/>
      <c r="J182" s="3"/>
      <c r="K182" s="3"/>
      <c r="L182" s="3"/>
      <c r="M182" s="3"/>
      <c r="N182" s="3"/>
      <c r="O182" s="3"/>
      <c r="P182" s="3"/>
      <c r="Q182" s="3"/>
      <c r="R182" s="3"/>
      <c r="S182" s="3"/>
      <c r="T182" s="3"/>
    </row>
    <row r="183" spans="1:20" x14ac:dyDescent="0.35">
      <c r="A183" s="3"/>
      <c r="B183" s="3"/>
      <c r="C183" s="3"/>
      <c r="D183" s="3"/>
      <c r="E183" s="3"/>
      <c r="F183" s="3"/>
      <c r="G183" s="3"/>
      <c r="H183" s="3"/>
      <c r="I183" s="3"/>
      <c r="J183" s="3"/>
      <c r="K183" s="3"/>
      <c r="L183" s="3"/>
      <c r="M183" s="3"/>
      <c r="N183" s="3"/>
      <c r="O183" s="3"/>
      <c r="P183" s="3"/>
      <c r="Q183" s="3"/>
      <c r="R183" s="3"/>
      <c r="S183" s="3"/>
      <c r="T183" s="3"/>
    </row>
    <row r="184" spans="1:20" x14ac:dyDescent="0.35">
      <c r="A184" s="3"/>
      <c r="B184" s="3"/>
      <c r="C184" s="3"/>
      <c r="D184" s="3"/>
      <c r="E184" s="3"/>
      <c r="F184" s="3"/>
      <c r="G184" s="3"/>
      <c r="H184" s="3"/>
      <c r="I184" s="3"/>
      <c r="J184" s="3"/>
      <c r="K184" s="3"/>
      <c r="L184" s="3"/>
      <c r="M184" s="3"/>
      <c r="N184" s="3"/>
      <c r="O184" s="3"/>
      <c r="P184" s="3"/>
      <c r="Q184" s="3"/>
      <c r="R184" s="3"/>
      <c r="S184" s="3"/>
      <c r="T184" s="3"/>
    </row>
    <row r="185" spans="1:20" x14ac:dyDescent="0.35">
      <c r="A185" s="3"/>
      <c r="B185" s="3"/>
      <c r="C185" s="3"/>
      <c r="D185" s="3"/>
      <c r="E185" s="3"/>
      <c r="F185" s="3"/>
      <c r="G185" s="3"/>
      <c r="H185" s="3"/>
      <c r="I185" s="3"/>
      <c r="J185" s="3"/>
      <c r="K185" s="3"/>
      <c r="L185" s="3"/>
      <c r="M185" s="3"/>
      <c r="N185" s="3"/>
      <c r="O185" s="3"/>
      <c r="P185" s="3"/>
      <c r="Q185" s="3"/>
      <c r="R185" s="3"/>
      <c r="S185" s="3"/>
      <c r="T185" s="3"/>
    </row>
    <row r="186" spans="1:20" x14ac:dyDescent="0.35">
      <c r="A186" s="3"/>
      <c r="B186" s="3"/>
      <c r="C186" s="3"/>
      <c r="D186" s="3"/>
      <c r="E186" s="3"/>
      <c r="F186" s="3"/>
      <c r="G186" s="3"/>
      <c r="H186" s="3"/>
      <c r="I186" s="3"/>
      <c r="J186" s="3"/>
      <c r="K186" s="3"/>
      <c r="L186" s="3"/>
      <c r="M186" s="3"/>
      <c r="N186" s="3"/>
      <c r="O186" s="3"/>
      <c r="P186" s="3"/>
      <c r="Q186" s="3"/>
      <c r="R186" s="3"/>
      <c r="S186" s="3"/>
      <c r="T186" s="3"/>
    </row>
    <row r="187" spans="1:20" x14ac:dyDescent="0.35">
      <c r="A187" s="3"/>
      <c r="B187" s="3"/>
      <c r="C187" s="3"/>
      <c r="D187" s="3"/>
      <c r="E187" s="3"/>
      <c r="F187" s="3"/>
      <c r="G187" s="3"/>
      <c r="H187" s="3"/>
      <c r="I187" s="3"/>
      <c r="J187" s="3"/>
      <c r="K187" s="3"/>
      <c r="L187" s="3"/>
      <c r="M187" s="3"/>
      <c r="N187" s="3"/>
      <c r="O187" s="3"/>
      <c r="P187" s="3"/>
      <c r="Q187" s="3"/>
      <c r="R187" s="3"/>
      <c r="S187" s="3"/>
      <c r="T187" s="3"/>
    </row>
    <row r="188" spans="1:20" x14ac:dyDescent="0.35">
      <c r="A188" s="3"/>
      <c r="B188" s="3"/>
      <c r="C188" s="3"/>
      <c r="D188" s="3"/>
      <c r="E188" s="3"/>
      <c r="F188" s="3"/>
      <c r="G188" s="3"/>
      <c r="H188" s="3"/>
      <c r="I188" s="3"/>
      <c r="J188" s="3"/>
      <c r="K188" s="3"/>
      <c r="L188" s="3"/>
      <c r="M188" s="3"/>
      <c r="N188" s="3"/>
      <c r="O188" s="3"/>
      <c r="P188" s="3"/>
      <c r="Q188" s="3"/>
      <c r="R188" s="3"/>
      <c r="S188" s="3"/>
      <c r="T188" s="3"/>
    </row>
    <row r="189" spans="1:20" x14ac:dyDescent="0.35">
      <c r="A189" s="3"/>
      <c r="B189" s="3"/>
      <c r="C189" s="3"/>
      <c r="D189" s="3"/>
      <c r="E189" s="3"/>
      <c r="F189" s="3"/>
      <c r="G189" s="3"/>
      <c r="H189" s="3"/>
      <c r="I189" s="3"/>
      <c r="J189" s="3"/>
      <c r="K189" s="3"/>
      <c r="L189" s="3"/>
      <c r="M189" s="3"/>
      <c r="N189" s="3"/>
      <c r="O189" s="3"/>
      <c r="P189" s="3"/>
      <c r="Q189" s="3"/>
      <c r="R189" s="3"/>
      <c r="S189" s="3"/>
      <c r="T189" s="3"/>
    </row>
    <row r="190" spans="1:20" x14ac:dyDescent="0.35">
      <c r="A190" s="3"/>
      <c r="B190" s="3"/>
      <c r="C190" s="3"/>
      <c r="D190" s="3"/>
      <c r="E190" s="3"/>
      <c r="F190" s="3"/>
      <c r="G190" s="3"/>
      <c r="H190" s="3"/>
      <c r="I190" s="3"/>
      <c r="J190" s="3"/>
      <c r="K190" s="3"/>
      <c r="L190" s="3"/>
      <c r="M190" s="3"/>
      <c r="N190" s="3"/>
      <c r="O190" s="3"/>
      <c r="P190" s="3"/>
      <c r="Q190" s="3"/>
      <c r="R190" s="3"/>
      <c r="S190" s="3"/>
      <c r="T190" s="3"/>
    </row>
    <row r="191" spans="1:20" x14ac:dyDescent="0.35">
      <c r="A191" s="3"/>
      <c r="B191" s="3"/>
      <c r="C191" s="3"/>
      <c r="D191" s="3"/>
      <c r="E191" s="3"/>
      <c r="F191" s="3"/>
      <c r="G191" s="3"/>
      <c r="H191" s="3"/>
      <c r="I191" s="3"/>
      <c r="J191" s="3"/>
      <c r="K191" s="3"/>
      <c r="L191" s="3"/>
      <c r="M191" s="3"/>
      <c r="N191" s="3"/>
      <c r="O191" s="3"/>
      <c r="P191" s="3"/>
      <c r="Q191" s="3"/>
      <c r="R191" s="3"/>
      <c r="S191" s="3"/>
      <c r="T191" s="3"/>
    </row>
    <row r="192" spans="1:20" x14ac:dyDescent="0.35">
      <c r="A192" s="3"/>
      <c r="B192" s="3"/>
      <c r="C192" s="3"/>
      <c r="D192" s="3"/>
      <c r="E192" s="3"/>
      <c r="F192" s="3"/>
      <c r="G192" s="3"/>
      <c r="H192" s="3"/>
      <c r="I192" s="3"/>
      <c r="J192" s="3"/>
      <c r="K192" s="3"/>
      <c r="L192" s="3"/>
      <c r="M192" s="3"/>
      <c r="N192" s="3"/>
      <c r="O192" s="3"/>
      <c r="P192" s="3"/>
      <c r="Q192" s="3"/>
      <c r="R192" s="3"/>
      <c r="S192" s="3"/>
      <c r="T192" s="3"/>
    </row>
    <row r="193" spans="1:20" x14ac:dyDescent="0.35">
      <c r="A193" s="3"/>
      <c r="B193" s="3"/>
      <c r="C193" s="3"/>
      <c r="D193" s="3"/>
      <c r="E193" s="3"/>
      <c r="F193" s="3"/>
      <c r="G193" s="3"/>
      <c r="H193" s="3"/>
      <c r="I193" s="3"/>
      <c r="J193" s="3"/>
      <c r="K193" s="3"/>
      <c r="L193" s="3"/>
      <c r="M193" s="3"/>
      <c r="N193" s="3"/>
      <c r="O193" s="3"/>
      <c r="P193" s="3"/>
      <c r="Q193" s="3"/>
      <c r="R193" s="3"/>
      <c r="S193" s="3"/>
      <c r="T193" s="3"/>
    </row>
    <row r="194" spans="1:20" x14ac:dyDescent="0.35">
      <c r="A194" s="3"/>
      <c r="B194" s="3"/>
      <c r="C194" s="3"/>
      <c r="D194" s="3"/>
      <c r="E194" s="3"/>
      <c r="F194" s="3"/>
      <c r="G194" s="3"/>
      <c r="H194" s="3"/>
      <c r="I194" s="3"/>
      <c r="J194" s="3"/>
      <c r="K194" s="3"/>
      <c r="L194" s="3"/>
      <c r="M194" s="3"/>
      <c r="N194" s="3"/>
      <c r="O194" s="3"/>
      <c r="P194" s="3"/>
      <c r="Q194" s="3"/>
      <c r="R194" s="3"/>
      <c r="S194" s="3"/>
      <c r="T194" s="3"/>
    </row>
    <row r="195" spans="1:20" x14ac:dyDescent="0.35">
      <c r="A195" s="3"/>
      <c r="B195" s="3"/>
      <c r="C195" s="3"/>
      <c r="D195" s="3"/>
      <c r="E195" s="3"/>
      <c r="F195" s="3"/>
      <c r="G195" s="3"/>
      <c r="H195" s="3"/>
      <c r="I195" s="3"/>
      <c r="J195" s="3"/>
      <c r="K195" s="3"/>
      <c r="L195" s="3"/>
      <c r="M195" s="3"/>
      <c r="N195" s="3"/>
      <c r="O195" s="3"/>
      <c r="P195" s="3"/>
      <c r="Q195" s="3"/>
      <c r="R195" s="3"/>
      <c r="S195" s="3"/>
      <c r="T195" s="3"/>
    </row>
    <row r="196" spans="1:20" x14ac:dyDescent="0.35">
      <c r="A196" s="3"/>
      <c r="B196" s="3"/>
      <c r="C196" s="3"/>
      <c r="D196" s="3"/>
      <c r="E196" s="3"/>
      <c r="F196" s="3"/>
      <c r="G196" s="3"/>
      <c r="H196" s="3"/>
      <c r="I196" s="3"/>
      <c r="J196" s="3"/>
      <c r="K196" s="3"/>
      <c r="L196" s="3"/>
      <c r="M196" s="3"/>
      <c r="N196" s="3"/>
      <c r="O196" s="3"/>
      <c r="P196" s="3"/>
      <c r="Q196" s="3"/>
      <c r="R196" s="3"/>
      <c r="S196" s="3"/>
      <c r="T196" s="3"/>
    </row>
    <row r="197" spans="1:20" x14ac:dyDescent="0.35">
      <c r="A197" s="3"/>
      <c r="B197" s="3"/>
      <c r="C197" s="3"/>
      <c r="D197" s="3"/>
      <c r="E197" s="3"/>
      <c r="F197" s="3"/>
      <c r="G197" s="3"/>
      <c r="H197" s="3"/>
      <c r="I197" s="3"/>
      <c r="J197" s="3"/>
      <c r="K197" s="3"/>
      <c r="L197" s="3"/>
      <c r="M197" s="3"/>
      <c r="N197" s="3"/>
      <c r="O197" s="3"/>
      <c r="P197" s="3"/>
      <c r="Q197" s="3"/>
      <c r="R197" s="3"/>
      <c r="S197" s="3"/>
      <c r="T197" s="3"/>
    </row>
    <row r="198" spans="1:20" x14ac:dyDescent="0.35">
      <c r="A198" s="3"/>
      <c r="B198" s="3"/>
      <c r="C198" s="3"/>
      <c r="D198" s="3"/>
      <c r="E198" s="3"/>
      <c r="F198" s="3"/>
      <c r="G198" s="3"/>
      <c r="H198" s="3"/>
      <c r="I198" s="3"/>
      <c r="J198" s="3"/>
      <c r="K198" s="3"/>
      <c r="L198" s="3"/>
      <c r="M198" s="3"/>
      <c r="N198" s="3"/>
      <c r="O198" s="3"/>
      <c r="P198" s="3"/>
      <c r="Q198" s="3"/>
      <c r="R198" s="3"/>
      <c r="S198" s="3"/>
      <c r="T198" s="3"/>
    </row>
    <row r="199" spans="1:20" x14ac:dyDescent="0.35">
      <c r="A199" s="3"/>
      <c r="B199" s="3"/>
      <c r="C199" s="3"/>
      <c r="D199" s="3"/>
      <c r="E199" s="3"/>
      <c r="F199" s="3"/>
      <c r="G199" s="3"/>
      <c r="H199" s="3"/>
      <c r="I199" s="3"/>
      <c r="J199" s="3"/>
      <c r="K199" s="3"/>
      <c r="L199" s="3"/>
      <c r="M199" s="3"/>
      <c r="N199" s="3"/>
      <c r="O199" s="3"/>
      <c r="P199" s="3"/>
      <c r="Q199" s="3"/>
      <c r="R199" s="3"/>
      <c r="S199" s="3"/>
      <c r="T199" s="3"/>
    </row>
    <row r="200" spans="1:20" x14ac:dyDescent="0.35">
      <c r="A200" s="3"/>
      <c r="B200" s="3"/>
      <c r="C200" s="3"/>
      <c r="D200" s="3"/>
      <c r="E200" s="3"/>
      <c r="F200" s="3"/>
      <c r="G200" s="3"/>
      <c r="H200" s="3"/>
      <c r="I200" s="3"/>
      <c r="J200" s="3"/>
      <c r="K200" s="3"/>
      <c r="L200" s="3"/>
      <c r="M200" s="3"/>
      <c r="N200" s="3"/>
      <c r="O200" s="3"/>
      <c r="P200" s="3"/>
      <c r="Q200" s="3"/>
      <c r="R200" s="3"/>
      <c r="S200" s="3"/>
      <c r="T200" s="3"/>
    </row>
    <row r="201" spans="1:20" x14ac:dyDescent="0.35">
      <c r="A201" s="3"/>
      <c r="B201" s="3"/>
      <c r="C201" s="3"/>
      <c r="D201" s="3"/>
      <c r="E201" s="3"/>
      <c r="F201" s="3"/>
      <c r="G201" s="3"/>
      <c r="H201" s="3"/>
      <c r="I201" s="3"/>
      <c r="J201" s="3"/>
      <c r="K201" s="3"/>
      <c r="L201" s="3"/>
      <c r="M201" s="3"/>
      <c r="N201" s="3"/>
      <c r="O201" s="3"/>
      <c r="P201" s="3"/>
      <c r="Q201" s="3"/>
      <c r="R201" s="3"/>
      <c r="S201" s="3"/>
      <c r="T201" s="3"/>
    </row>
    <row r="202" spans="1:20" x14ac:dyDescent="0.35">
      <c r="A202" s="3"/>
      <c r="B202" s="3"/>
      <c r="C202" s="3"/>
      <c r="D202" s="3"/>
      <c r="E202" s="3"/>
      <c r="F202" s="3"/>
      <c r="G202" s="3"/>
      <c r="H202" s="3"/>
      <c r="I202" s="3"/>
      <c r="J202" s="3"/>
      <c r="K202" s="3"/>
      <c r="L202" s="3"/>
      <c r="M202" s="3"/>
      <c r="N202" s="3"/>
      <c r="O202" s="3"/>
      <c r="P202" s="3"/>
      <c r="Q202" s="3"/>
      <c r="R202" s="3"/>
      <c r="S202" s="3"/>
      <c r="T202" s="3"/>
    </row>
    <row r="203" spans="1:20" x14ac:dyDescent="0.35">
      <c r="A203" s="3"/>
      <c r="B203" s="3"/>
      <c r="C203" s="3"/>
      <c r="D203" s="3"/>
      <c r="E203" s="3"/>
      <c r="F203" s="3"/>
      <c r="G203" s="3"/>
      <c r="H203" s="3"/>
      <c r="I203" s="3"/>
      <c r="J203" s="3"/>
      <c r="K203" s="3"/>
      <c r="L203" s="3"/>
      <c r="M203" s="3"/>
      <c r="N203" s="3"/>
      <c r="O203" s="3"/>
      <c r="P203" s="3"/>
      <c r="Q203" s="3"/>
      <c r="R203" s="3"/>
      <c r="S203" s="3"/>
      <c r="T203" s="3"/>
    </row>
    <row r="204" spans="1:20" x14ac:dyDescent="0.35">
      <c r="A204" s="3"/>
      <c r="B204" s="3"/>
      <c r="C204" s="3"/>
      <c r="D204" s="3"/>
      <c r="E204" s="3"/>
      <c r="F204" s="3"/>
      <c r="G204" s="3"/>
      <c r="H204" s="3"/>
      <c r="I204" s="3"/>
      <c r="J204" s="3"/>
      <c r="K204" s="3"/>
      <c r="L204" s="3"/>
      <c r="M204" s="3"/>
      <c r="N204" s="3"/>
      <c r="O204" s="3"/>
      <c r="P204" s="3"/>
      <c r="Q204" s="3"/>
      <c r="R204" s="3"/>
      <c r="S204" s="3"/>
      <c r="T204" s="3"/>
    </row>
    <row r="205" spans="1:20" x14ac:dyDescent="0.35">
      <c r="A205" s="3"/>
      <c r="B205" s="3"/>
      <c r="C205" s="3"/>
      <c r="D205" s="3"/>
      <c r="E205" s="3"/>
      <c r="F205" s="3"/>
      <c r="G205" s="3"/>
      <c r="H205" s="3"/>
      <c r="I205" s="3"/>
      <c r="J205" s="3"/>
      <c r="K205" s="3"/>
      <c r="L205" s="3"/>
      <c r="M205" s="3"/>
      <c r="N205" s="3"/>
      <c r="O205" s="3"/>
      <c r="P205" s="3"/>
      <c r="Q205" s="3"/>
      <c r="R205" s="3"/>
      <c r="S205" s="3"/>
      <c r="T205" s="3"/>
    </row>
    <row r="206" spans="1:20" x14ac:dyDescent="0.35">
      <c r="A206" s="3"/>
      <c r="B206" s="3"/>
      <c r="C206" s="3"/>
      <c r="D206" s="3"/>
      <c r="E206" s="3"/>
      <c r="F206" s="3"/>
      <c r="G206" s="3"/>
      <c r="H206" s="3"/>
      <c r="I206" s="3"/>
      <c r="J206" s="3"/>
      <c r="K206" s="3"/>
      <c r="L206" s="3"/>
      <c r="M206" s="3"/>
      <c r="N206" s="3"/>
      <c r="O206" s="3"/>
      <c r="P206" s="3"/>
      <c r="Q206" s="3"/>
      <c r="R206" s="3"/>
      <c r="S206" s="3"/>
      <c r="T206" s="3"/>
    </row>
    <row r="207" spans="1:20" x14ac:dyDescent="0.35">
      <c r="A207" s="3"/>
      <c r="B207" s="3"/>
      <c r="C207" s="3"/>
      <c r="D207" s="3"/>
      <c r="E207" s="3"/>
      <c r="F207" s="3"/>
      <c r="G207" s="3"/>
      <c r="H207" s="3"/>
      <c r="I207" s="3"/>
      <c r="J207" s="3"/>
      <c r="K207" s="3"/>
      <c r="L207" s="3"/>
      <c r="M207" s="3"/>
      <c r="N207" s="3"/>
      <c r="O207" s="3"/>
      <c r="P207" s="3"/>
      <c r="Q207" s="3"/>
      <c r="R207" s="3"/>
      <c r="S207" s="3"/>
      <c r="T207" s="3"/>
    </row>
    <row r="208" spans="1:20" x14ac:dyDescent="0.35">
      <c r="A208" s="3"/>
      <c r="B208" s="3"/>
      <c r="C208" s="3"/>
      <c r="D208" s="3"/>
      <c r="E208" s="3"/>
      <c r="F208" s="3"/>
      <c r="G208" s="3"/>
      <c r="H208" s="3"/>
      <c r="I208" s="3"/>
      <c r="J208" s="3"/>
      <c r="K208" s="3"/>
      <c r="L208" s="3"/>
      <c r="M208" s="3"/>
      <c r="N208" s="3"/>
      <c r="O208" s="3"/>
      <c r="P208" s="3"/>
      <c r="Q208" s="3"/>
      <c r="R208" s="3"/>
      <c r="S208" s="3"/>
      <c r="T208" s="3"/>
    </row>
    <row r="209" spans="1:20" x14ac:dyDescent="0.35">
      <c r="A209" s="3"/>
      <c r="B209" s="3"/>
      <c r="C209" s="3"/>
      <c r="D209" s="3"/>
      <c r="E209" s="3"/>
      <c r="F209" s="3"/>
      <c r="G209" s="3"/>
      <c r="H209" s="3"/>
      <c r="I209" s="3"/>
      <c r="J209" s="3"/>
      <c r="K209" s="3"/>
      <c r="L209" s="3"/>
      <c r="M209" s="3"/>
      <c r="N209" s="3"/>
      <c r="O209" s="3"/>
      <c r="P209" s="3"/>
      <c r="Q209" s="3"/>
      <c r="R209" s="3"/>
      <c r="S209" s="3"/>
      <c r="T209" s="3"/>
    </row>
    <row r="210" spans="1:20" x14ac:dyDescent="0.35">
      <c r="A210" s="3"/>
      <c r="B210" s="3"/>
      <c r="C210" s="3"/>
      <c r="D210" s="3"/>
      <c r="E210" s="3"/>
      <c r="F210" s="3"/>
      <c r="G210" s="3"/>
      <c r="H210" s="3"/>
      <c r="I210" s="3"/>
      <c r="J210" s="3"/>
      <c r="K210" s="3"/>
      <c r="L210" s="3"/>
      <c r="M210" s="3"/>
      <c r="N210" s="3"/>
      <c r="O210" s="3"/>
      <c r="P210" s="3"/>
      <c r="Q210" s="3"/>
      <c r="R210" s="3"/>
      <c r="S210" s="3"/>
      <c r="T210" s="3"/>
    </row>
    <row r="211" spans="1:20" x14ac:dyDescent="0.35">
      <c r="A211" s="3"/>
      <c r="B211" s="3"/>
      <c r="C211" s="3"/>
      <c r="D211" s="3"/>
      <c r="E211" s="3"/>
      <c r="F211" s="3"/>
      <c r="G211" s="3"/>
      <c r="H211" s="3"/>
      <c r="I211" s="3"/>
      <c r="J211" s="3"/>
      <c r="K211" s="3"/>
      <c r="L211" s="3"/>
      <c r="M211" s="3"/>
      <c r="N211" s="3"/>
      <c r="O211" s="3"/>
      <c r="P211" s="3"/>
      <c r="Q211" s="3"/>
      <c r="R211" s="3"/>
      <c r="S211" s="3"/>
      <c r="T211" s="3"/>
    </row>
    <row r="212" spans="1:20" x14ac:dyDescent="0.35">
      <c r="A212" s="3"/>
      <c r="B212" s="3"/>
      <c r="C212" s="3"/>
      <c r="D212" s="3"/>
      <c r="E212" s="3"/>
      <c r="F212" s="3"/>
      <c r="G212" s="3"/>
      <c r="H212" s="3"/>
      <c r="I212" s="3"/>
      <c r="J212" s="3"/>
      <c r="K212" s="3"/>
      <c r="L212" s="3"/>
      <c r="M212" s="3"/>
      <c r="N212" s="3"/>
      <c r="O212" s="3"/>
      <c r="P212" s="3"/>
      <c r="Q212" s="3"/>
      <c r="R212" s="3"/>
      <c r="S212" s="3"/>
      <c r="T212" s="3"/>
    </row>
    <row r="213" spans="1:20" x14ac:dyDescent="0.35">
      <c r="A213" s="3"/>
      <c r="B213" s="3"/>
      <c r="C213" s="3"/>
      <c r="D213" s="3"/>
      <c r="E213" s="3"/>
      <c r="F213" s="3"/>
      <c r="G213" s="3"/>
      <c r="H213" s="3"/>
      <c r="I213" s="3"/>
      <c r="J213" s="3"/>
      <c r="K213" s="3"/>
      <c r="L213" s="3"/>
      <c r="M213" s="3"/>
      <c r="N213" s="3"/>
      <c r="O213" s="3"/>
      <c r="P213" s="3"/>
      <c r="Q213" s="3"/>
      <c r="R213" s="3"/>
      <c r="S213" s="3"/>
      <c r="T213" s="3"/>
    </row>
    <row r="214" spans="1:20" x14ac:dyDescent="0.35">
      <c r="A214" s="3"/>
      <c r="B214" s="3"/>
      <c r="C214" s="3"/>
      <c r="D214" s="3"/>
      <c r="E214" s="3"/>
      <c r="F214" s="3"/>
      <c r="G214" s="3"/>
      <c r="H214" s="3"/>
      <c r="I214" s="3"/>
      <c r="J214" s="3"/>
      <c r="K214" s="3"/>
      <c r="L214" s="3"/>
      <c r="M214" s="3"/>
      <c r="N214" s="3"/>
      <c r="O214" s="3"/>
      <c r="P214" s="3"/>
      <c r="Q214" s="3"/>
      <c r="R214" s="3"/>
      <c r="S214" s="3"/>
      <c r="T214" s="3"/>
    </row>
    <row r="215" spans="1:20" x14ac:dyDescent="0.35">
      <c r="A215" s="3"/>
      <c r="B215" s="3"/>
      <c r="C215" s="3"/>
      <c r="D215" s="3"/>
      <c r="E215" s="3"/>
      <c r="F215" s="3"/>
      <c r="G215" s="3"/>
      <c r="H215" s="3"/>
      <c r="I215" s="3"/>
      <c r="J215" s="3"/>
      <c r="K215" s="3"/>
      <c r="L215" s="3"/>
      <c r="M215" s="3"/>
      <c r="N215" s="3"/>
      <c r="O215" s="3"/>
      <c r="P215" s="3"/>
      <c r="Q215" s="3"/>
      <c r="R215" s="3"/>
      <c r="S215" s="3"/>
      <c r="T215" s="3"/>
    </row>
    <row r="216" spans="1:20" x14ac:dyDescent="0.35">
      <c r="A216" s="3"/>
      <c r="B216" s="3"/>
      <c r="C216" s="3"/>
      <c r="D216" s="3"/>
      <c r="E216" s="3"/>
      <c r="F216" s="3"/>
      <c r="G216" s="3"/>
      <c r="H216" s="3"/>
      <c r="I216" s="3"/>
      <c r="J216" s="3"/>
      <c r="K216" s="3"/>
      <c r="L216" s="3"/>
      <c r="M216" s="3"/>
      <c r="N216" s="3"/>
      <c r="O216" s="3"/>
      <c r="P216" s="3"/>
      <c r="Q216" s="3"/>
      <c r="R216" s="3"/>
      <c r="S216" s="3"/>
      <c r="T216" s="3"/>
    </row>
    <row r="217" spans="1:20" x14ac:dyDescent="0.35">
      <c r="A217" s="3"/>
      <c r="B217" s="3"/>
      <c r="C217" s="3"/>
      <c r="D217" s="3"/>
      <c r="E217" s="3"/>
      <c r="F217" s="3"/>
      <c r="G217" s="3"/>
      <c r="H217" s="3"/>
      <c r="I217" s="3"/>
      <c r="J217" s="3"/>
      <c r="K217" s="3"/>
      <c r="L217" s="3"/>
      <c r="M217" s="3"/>
      <c r="N217" s="3"/>
      <c r="O217" s="3"/>
      <c r="P217" s="3"/>
      <c r="Q217" s="3"/>
      <c r="R217" s="3"/>
      <c r="S217" s="3"/>
      <c r="T217" s="3"/>
    </row>
    <row r="218" spans="1:20" x14ac:dyDescent="0.35">
      <c r="A218" s="3"/>
      <c r="B218" s="3"/>
      <c r="C218" s="3"/>
      <c r="D218" s="3"/>
      <c r="E218" s="3"/>
      <c r="F218" s="3"/>
      <c r="G218" s="3"/>
      <c r="H218" s="3"/>
      <c r="I218" s="3"/>
      <c r="J218" s="3"/>
      <c r="K218" s="3"/>
      <c r="L218" s="3"/>
      <c r="M218" s="3"/>
      <c r="N218" s="3"/>
      <c r="O218" s="3"/>
      <c r="P218" s="3"/>
      <c r="Q218" s="3"/>
      <c r="R218" s="3"/>
      <c r="S218" s="3"/>
      <c r="T218" s="3"/>
    </row>
  </sheetData>
  <mergeCells count="5">
    <mergeCell ref="C1:D1"/>
    <mergeCell ref="F1:G1"/>
    <mergeCell ref="I1:J1"/>
    <mergeCell ref="L1:M1"/>
    <mergeCell ref="O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3D0C0-6AF1-42A6-B40F-4B49ACCBAFD4}">
  <sheetPr codeName="Sheet3"/>
  <dimension ref="B3:AC36"/>
  <sheetViews>
    <sheetView topLeftCell="A16" zoomScale="53" workbookViewId="0">
      <selection activeCell="L46" sqref="L46"/>
    </sheetView>
  </sheetViews>
  <sheetFormatPr defaultRowHeight="14.5" x14ac:dyDescent="0.35"/>
  <sheetData>
    <row r="3" spans="2:29" x14ac:dyDescent="0.35">
      <c r="B3">
        <v>0.33333333333333331</v>
      </c>
      <c r="C3">
        <v>1</v>
      </c>
    </row>
    <row r="4" spans="2:29" x14ac:dyDescent="0.35">
      <c r="B4">
        <v>0.51515151515151514</v>
      </c>
      <c r="C4">
        <v>0.61818181818181817</v>
      </c>
      <c r="AC4" t="s">
        <v>76</v>
      </c>
    </row>
    <row r="5" spans="2:29" x14ac:dyDescent="0.35">
      <c r="B5">
        <v>0.31818181818181818</v>
      </c>
      <c r="C5">
        <v>0.43636363636363634</v>
      </c>
    </row>
    <row r="6" spans="2:29" x14ac:dyDescent="0.35">
      <c r="B6">
        <v>0.34848484848484851</v>
      </c>
      <c r="C6">
        <v>0.81818181818181823</v>
      </c>
      <c r="AC6" t="s">
        <v>19</v>
      </c>
    </row>
    <row r="7" spans="2:29" x14ac:dyDescent="0.35">
      <c r="B7">
        <v>0.66666666666666663</v>
      </c>
      <c r="C7">
        <v>0.2</v>
      </c>
    </row>
    <row r="8" spans="2:29" x14ac:dyDescent="0.35">
      <c r="B8">
        <v>1</v>
      </c>
      <c r="C8">
        <v>0.38181818181818183</v>
      </c>
    </row>
    <row r="9" spans="2:29" x14ac:dyDescent="0.35">
      <c r="B9">
        <v>0.68181818181818177</v>
      </c>
      <c r="C9">
        <v>0.41818181818181815</v>
      </c>
    </row>
    <row r="10" spans="2:29" x14ac:dyDescent="0.35">
      <c r="B10">
        <v>0.51515151515151514</v>
      </c>
      <c r="C10">
        <v>0.14545454545454545</v>
      </c>
    </row>
    <row r="13" spans="2:29" x14ac:dyDescent="0.35">
      <c r="AC13" t="s">
        <v>21</v>
      </c>
    </row>
    <row r="18" spans="29:29" x14ac:dyDescent="0.35">
      <c r="AC18" t="s">
        <v>22</v>
      </c>
    </row>
    <row r="23" spans="29:29" x14ac:dyDescent="0.35">
      <c r="AC23" t="s">
        <v>35</v>
      </c>
    </row>
    <row r="28" spans="29:29" x14ac:dyDescent="0.35">
      <c r="AC28" t="s">
        <v>23</v>
      </c>
    </row>
    <row r="33" spans="29:29" x14ac:dyDescent="0.35">
      <c r="AC33" t="s">
        <v>34</v>
      </c>
    </row>
    <row r="36" spans="29:29" x14ac:dyDescent="0.35">
      <c r="AC36" t="s">
        <v>36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Main Page</vt:lpstr>
      <vt:lpstr>Iteration Data</vt:lpstr>
      <vt:lpstr>Figure Backup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Haythornthwaite</dc:creator>
  <cp:lastModifiedBy>Haythornthwaite, Matt (Uxbridge)</cp:lastModifiedBy>
  <dcterms:created xsi:type="dcterms:W3CDTF">2021-02-28T18:00:16Z</dcterms:created>
  <dcterms:modified xsi:type="dcterms:W3CDTF">2021-04-23T16:54:20Z</dcterms:modified>
</cp:coreProperties>
</file>