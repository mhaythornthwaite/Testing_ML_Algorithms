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8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hayt\Documents\Software_Developer-Python\2_Machine_Learning_ZTM_Course\Testing_ML_Algorithms\"/>
    </mc:Choice>
  </mc:AlternateContent>
  <xr:revisionPtr revIDLastSave="0" documentId="13_ncr:1_{C7105CC6-1615-43DA-B5C0-D5BB92A37F24}" xr6:coauthVersionLast="46" xr6:coauthVersionMax="46" xr10:uidLastSave="{00000000-0000-0000-0000-000000000000}"/>
  <bookViews>
    <workbookView xWindow="-110" yWindow="-110" windowWidth="19420" windowHeight="10420" xr2:uid="{0902341D-AD10-4A63-AC83-5FCE75AC7723}"/>
  </bookViews>
  <sheets>
    <sheet name="Main Page" sheetId="1" r:id="rId1"/>
    <sheet name="Iteration Data" sheetId="2" r:id="rId2"/>
    <sheet name="Sheet1" sheetId="3" r:id="rId3"/>
  </sheets>
  <externalReferences>
    <externalReference r:id="rId4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262" i="3" l="1"/>
  <c r="D261" i="3"/>
  <c r="D260" i="3"/>
  <c r="T189" i="1"/>
  <c r="T163" i="1" s="1"/>
  <c r="H189" i="1"/>
  <c r="H163" i="1" s="1"/>
  <c r="H137" i="1" s="1"/>
  <c r="H111" i="1" s="1"/>
  <c r="O189" i="1"/>
  <c r="O163" i="1" s="1"/>
  <c r="P189" i="1"/>
  <c r="P163" i="1" s="1"/>
  <c r="P137" i="1" s="1"/>
  <c r="P111" i="1" s="1"/>
  <c r="O190" i="1"/>
  <c r="O164" i="1" s="1"/>
  <c r="U190" i="1"/>
  <c r="U164" i="1" s="1"/>
  <c r="U138" i="1" s="1"/>
  <c r="U112" i="1" s="1"/>
  <c r="W190" i="1"/>
  <c r="W164" i="1" s="1"/>
  <c r="J191" i="1"/>
  <c r="J165" i="1" s="1"/>
  <c r="W191" i="1"/>
  <c r="W165" i="1" s="1"/>
  <c r="W139" i="1" s="1"/>
  <c r="W113" i="1" s="1"/>
  <c r="X191" i="1"/>
  <c r="X165" i="1" s="1"/>
  <c r="X139" i="1" s="1"/>
  <c r="X113" i="1" s="1"/>
  <c r="E192" i="1"/>
  <c r="E166" i="1" s="1"/>
  <c r="R192" i="1"/>
  <c r="R166" i="1" s="1"/>
  <c r="R140" i="1" s="1"/>
  <c r="R114" i="1" s="1"/>
  <c r="S192" i="1"/>
  <c r="S166" i="1" s="1"/>
  <c r="S140" i="1" s="1"/>
  <c r="S114" i="1" s="1"/>
  <c r="F193" i="1"/>
  <c r="F167" i="1" s="1"/>
  <c r="F141" i="1" s="1"/>
  <c r="F115" i="1" s="1"/>
  <c r="H193" i="1"/>
  <c r="H167" i="1" s="1"/>
  <c r="M193" i="1"/>
  <c r="M167" i="1" s="1"/>
  <c r="M141" i="1" s="1"/>
  <c r="M115" i="1" s="1"/>
  <c r="U193" i="1"/>
  <c r="U167" i="1" s="1"/>
  <c r="U141" i="1" s="1"/>
  <c r="U115" i="1" s="1"/>
  <c r="V193" i="1"/>
  <c r="V167" i="1" s="1"/>
  <c r="V141" i="1" s="1"/>
  <c r="V115" i="1" s="1"/>
  <c r="H194" i="1"/>
  <c r="H168" i="1" s="1"/>
  <c r="H142" i="1" s="1"/>
  <c r="H116" i="1" s="1"/>
  <c r="I194" i="1"/>
  <c r="I168" i="1" s="1"/>
  <c r="I142" i="1" s="1"/>
  <c r="I116" i="1" s="1"/>
  <c r="K194" i="1"/>
  <c r="K168" i="1" s="1"/>
  <c r="S194" i="1"/>
  <c r="S168" i="1" s="1"/>
  <c r="S142" i="1" s="1"/>
  <c r="S116" i="1" s="1"/>
  <c r="X194" i="1"/>
  <c r="X168" i="1" s="1"/>
  <c r="X142" i="1" s="1"/>
  <c r="X116" i="1" s="1"/>
  <c r="F195" i="1"/>
  <c r="F169" i="1" s="1"/>
  <c r="F143" i="1" s="1"/>
  <c r="F117" i="1" s="1"/>
  <c r="K195" i="1"/>
  <c r="K169" i="1" s="1"/>
  <c r="K143" i="1" s="1"/>
  <c r="K117" i="1" s="1"/>
  <c r="L195" i="1"/>
  <c r="L169" i="1" s="1"/>
  <c r="L143" i="1" s="1"/>
  <c r="L117" i="1" s="1"/>
  <c r="S195" i="1"/>
  <c r="S169" i="1" s="1"/>
  <c r="S143" i="1" s="1"/>
  <c r="S117" i="1" s="1"/>
  <c r="T195" i="1"/>
  <c r="T169" i="1" s="1"/>
  <c r="T143" i="1" s="1"/>
  <c r="T117" i="1" s="1"/>
  <c r="E196" i="1"/>
  <c r="E170" i="1" s="1"/>
  <c r="E144" i="1" s="1"/>
  <c r="E118" i="1" s="1"/>
  <c r="F196" i="1"/>
  <c r="F170" i="1" s="1"/>
  <c r="F144" i="1" s="1"/>
  <c r="F118" i="1" s="1"/>
  <c r="I196" i="1"/>
  <c r="I170" i="1" s="1"/>
  <c r="I144" i="1" s="1"/>
  <c r="I118" i="1" s="1"/>
  <c r="O196" i="1"/>
  <c r="O170" i="1" s="1"/>
  <c r="O144" i="1" s="1"/>
  <c r="O118" i="1" s="1"/>
  <c r="Q196" i="1"/>
  <c r="Q170" i="1" s="1"/>
  <c r="Q144" i="1" s="1"/>
  <c r="Q118" i="1" s="1"/>
  <c r="V196" i="1"/>
  <c r="V170" i="1" s="1"/>
  <c r="V144" i="1" s="1"/>
  <c r="V118" i="1" s="1"/>
  <c r="W196" i="1"/>
  <c r="W170" i="1" s="1"/>
  <c r="W144" i="1" s="1"/>
  <c r="W118" i="1" s="1"/>
  <c r="D197" i="1"/>
  <c r="D171" i="1" s="1"/>
  <c r="D145" i="1" s="1"/>
  <c r="D119" i="1" s="1"/>
  <c r="J197" i="1"/>
  <c r="J171" i="1" s="1"/>
  <c r="J145" i="1" s="1"/>
  <c r="J119" i="1" s="1"/>
  <c r="M197" i="1"/>
  <c r="M171" i="1" s="1"/>
  <c r="M145" i="1" s="1"/>
  <c r="M119" i="1" s="1"/>
  <c r="Q197" i="1"/>
  <c r="Q171" i="1" s="1"/>
  <c r="Q145" i="1" s="1"/>
  <c r="Q119" i="1" s="1"/>
  <c r="T197" i="1"/>
  <c r="T171" i="1" s="1"/>
  <c r="T145" i="1" s="1"/>
  <c r="T119" i="1" s="1"/>
  <c r="U197" i="1"/>
  <c r="U171" i="1" s="1"/>
  <c r="U145" i="1" s="1"/>
  <c r="U119" i="1" s="1"/>
  <c r="G198" i="1"/>
  <c r="G172" i="1" s="1"/>
  <c r="G146" i="1" s="1"/>
  <c r="G120" i="1" s="1"/>
  <c r="H198" i="1"/>
  <c r="H172" i="1" s="1"/>
  <c r="H146" i="1" s="1"/>
  <c r="H120" i="1" s="1"/>
  <c r="M198" i="1"/>
  <c r="M172" i="1" s="1"/>
  <c r="M146" i="1" s="1"/>
  <c r="M120" i="1" s="1"/>
  <c r="O198" i="1"/>
  <c r="O172" i="1" s="1"/>
  <c r="O146" i="1" s="1"/>
  <c r="O120" i="1" s="1"/>
  <c r="S198" i="1"/>
  <c r="S172" i="1" s="1"/>
  <c r="S146" i="1" s="1"/>
  <c r="S120" i="1" s="1"/>
  <c r="X198" i="1"/>
  <c r="X172" i="1" s="1"/>
  <c r="X146" i="1" s="1"/>
  <c r="X120" i="1" s="1"/>
  <c r="F199" i="1"/>
  <c r="F173" i="1" s="1"/>
  <c r="F147" i="1" s="1"/>
  <c r="F121" i="1" s="1"/>
  <c r="J199" i="1"/>
  <c r="J173" i="1" s="1"/>
  <c r="J147" i="1" s="1"/>
  <c r="J121" i="1" s="1"/>
  <c r="K199" i="1"/>
  <c r="K173" i="1" s="1"/>
  <c r="K147" i="1" s="1"/>
  <c r="K121" i="1" s="1"/>
  <c r="N199" i="1"/>
  <c r="N173" i="1" s="1"/>
  <c r="N147" i="1" s="1"/>
  <c r="N121" i="1" s="1"/>
  <c r="S199" i="1"/>
  <c r="S173" i="1" s="1"/>
  <c r="S147" i="1" s="1"/>
  <c r="S121" i="1" s="1"/>
  <c r="W199" i="1"/>
  <c r="W173" i="1" s="1"/>
  <c r="W147" i="1" s="1"/>
  <c r="W121" i="1" s="1"/>
  <c r="E200" i="1"/>
  <c r="E174" i="1" s="1"/>
  <c r="E148" i="1" s="1"/>
  <c r="E122" i="1" s="1"/>
  <c r="I200" i="1"/>
  <c r="I174" i="1" s="1"/>
  <c r="I148" i="1" s="1"/>
  <c r="I122" i="1" s="1"/>
  <c r="J200" i="1"/>
  <c r="J174" i="1" s="1"/>
  <c r="J148" i="1" s="1"/>
  <c r="J122" i="1" s="1"/>
  <c r="Q200" i="1"/>
  <c r="Q174" i="1" s="1"/>
  <c r="Q148" i="1" s="1"/>
  <c r="Q122" i="1" s="1"/>
  <c r="R200" i="1"/>
  <c r="R174" i="1" s="1"/>
  <c r="R148" i="1" s="1"/>
  <c r="R122" i="1" s="1"/>
  <c r="U200" i="1"/>
  <c r="U174" i="1" s="1"/>
  <c r="U148" i="1" s="1"/>
  <c r="U122" i="1" s="1"/>
  <c r="V200" i="1"/>
  <c r="V174" i="1" s="1"/>
  <c r="V148" i="1" s="1"/>
  <c r="V122" i="1" s="1"/>
  <c r="X200" i="1"/>
  <c r="X174" i="1" s="1"/>
  <c r="X148" i="1" s="1"/>
  <c r="X122" i="1" s="1"/>
  <c r="G201" i="1"/>
  <c r="G175" i="1" s="1"/>
  <c r="G149" i="1" s="1"/>
  <c r="G123" i="1" s="1"/>
  <c r="H201" i="1"/>
  <c r="H175" i="1" s="1"/>
  <c r="H149" i="1" s="1"/>
  <c r="H123" i="1" s="1"/>
  <c r="K201" i="1"/>
  <c r="K175" i="1" s="1"/>
  <c r="K149" i="1" s="1"/>
  <c r="K123" i="1" s="1"/>
  <c r="L201" i="1"/>
  <c r="L175" i="1" s="1"/>
  <c r="L149" i="1" s="1"/>
  <c r="L123" i="1" s="1"/>
  <c r="M201" i="1"/>
  <c r="M175" i="1" s="1"/>
  <c r="M149" i="1" s="1"/>
  <c r="M123" i="1" s="1"/>
  <c r="Q201" i="1"/>
  <c r="Q175" i="1" s="1"/>
  <c r="Q149" i="1" s="1"/>
  <c r="Q123" i="1" s="1"/>
  <c r="S201" i="1"/>
  <c r="S175" i="1" s="1"/>
  <c r="S149" i="1" s="1"/>
  <c r="S123" i="1" s="1"/>
  <c r="T201" i="1"/>
  <c r="T175" i="1" s="1"/>
  <c r="T149" i="1" s="1"/>
  <c r="T123" i="1" s="1"/>
  <c r="U201" i="1"/>
  <c r="U175" i="1" s="1"/>
  <c r="U149" i="1" s="1"/>
  <c r="U123" i="1" s="1"/>
  <c r="W201" i="1"/>
  <c r="W175" i="1" s="1"/>
  <c r="W149" i="1" s="1"/>
  <c r="W123" i="1" s="1"/>
  <c r="X201" i="1"/>
  <c r="X175" i="1" s="1"/>
  <c r="X149" i="1" s="1"/>
  <c r="X123" i="1" s="1"/>
  <c r="G202" i="1"/>
  <c r="G176" i="1" s="1"/>
  <c r="G150" i="1" s="1"/>
  <c r="G124" i="1" s="1"/>
  <c r="H202" i="1"/>
  <c r="H176" i="1" s="1"/>
  <c r="H150" i="1" s="1"/>
  <c r="H124" i="1" s="1"/>
  <c r="J202" i="1"/>
  <c r="J176" i="1" s="1"/>
  <c r="J150" i="1" s="1"/>
  <c r="J124" i="1" s="1"/>
  <c r="K202" i="1"/>
  <c r="K176" i="1" s="1"/>
  <c r="K150" i="1" s="1"/>
  <c r="K124" i="1" s="1"/>
  <c r="L202" i="1"/>
  <c r="L176" i="1" s="1"/>
  <c r="L150" i="1" s="1"/>
  <c r="L124" i="1" s="1"/>
  <c r="N202" i="1"/>
  <c r="N176" i="1" s="1"/>
  <c r="N150" i="1" s="1"/>
  <c r="N124" i="1" s="1"/>
  <c r="R202" i="1"/>
  <c r="R176" i="1" s="1"/>
  <c r="R150" i="1" s="1"/>
  <c r="R124" i="1" s="1"/>
  <c r="S202" i="1"/>
  <c r="S176" i="1" s="1"/>
  <c r="S150" i="1" s="1"/>
  <c r="S124" i="1" s="1"/>
  <c r="T202" i="1"/>
  <c r="T176" i="1" s="1"/>
  <c r="T150" i="1" s="1"/>
  <c r="T124" i="1" s="1"/>
  <c r="V202" i="1"/>
  <c r="V176" i="1" s="1"/>
  <c r="V150" i="1" s="1"/>
  <c r="V124" i="1" s="1"/>
  <c r="W202" i="1"/>
  <c r="W176" i="1" s="1"/>
  <c r="W150" i="1" s="1"/>
  <c r="W124" i="1" s="1"/>
  <c r="X202" i="1"/>
  <c r="X176" i="1" s="1"/>
  <c r="X150" i="1" s="1"/>
  <c r="X124" i="1" s="1"/>
  <c r="G203" i="1"/>
  <c r="G177" i="1" s="1"/>
  <c r="G151" i="1" s="1"/>
  <c r="G125" i="1" s="1"/>
  <c r="I203" i="1"/>
  <c r="I177" i="1" s="1"/>
  <c r="I151" i="1" s="1"/>
  <c r="I125" i="1" s="1"/>
  <c r="J203" i="1"/>
  <c r="J177" i="1" s="1"/>
  <c r="J151" i="1" s="1"/>
  <c r="J125" i="1" s="1"/>
  <c r="K203" i="1"/>
  <c r="K177" i="1" s="1"/>
  <c r="K151" i="1" s="1"/>
  <c r="K125" i="1" s="1"/>
  <c r="M203" i="1"/>
  <c r="M177" i="1" s="1"/>
  <c r="M151" i="1" s="1"/>
  <c r="M125" i="1" s="1"/>
  <c r="N203" i="1"/>
  <c r="N177" i="1" s="1"/>
  <c r="N151" i="1" s="1"/>
  <c r="N125" i="1" s="1"/>
  <c r="Q203" i="1"/>
  <c r="Q177" i="1" s="1"/>
  <c r="Q151" i="1" s="1"/>
  <c r="Q125" i="1" s="1"/>
  <c r="R203" i="1"/>
  <c r="R177" i="1" s="1"/>
  <c r="R151" i="1" s="1"/>
  <c r="R125" i="1" s="1"/>
  <c r="S203" i="1"/>
  <c r="S177" i="1" s="1"/>
  <c r="S151" i="1" s="1"/>
  <c r="S125" i="1" s="1"/>
  <c r="U203" i="1"/>
  <c r="U177" i="1" s="1"/>
  <c r="U151" i="1" s="1"/>
  <c r="U125" i="1" s="1"/>
  <c r="V203" i="1"/>
  <c r="V177" i="1" s="1"/>
  <c r="V151" i="1" s="1"/>
  <c r="V125" i="1" s="1"/>
  <c r="W203" i="1"/>
  <c r="W177" i="1" s="1"/>
  <c r="W151" i="1" s="1"/>
  <c r="W125" i="1" s="1"/>
  <c r="D204" i="1"/>
  <c r="D178" i="1" s="1"/>
  <c r="D152" i="1" s="1"/>
  <c r="D126" i="1" s="1"/>
  <c r="F204" i="1"/>
  <c r="F178" i="1" s="1"/>
  <c r="F152" i="1" s="1"/>
  <c r="F126" i="1" s="1"/>
  <c r="H204" i="1"/>
  <c r="H178" i="1" s="1"/>
  <c r="H152" i="1" s="1"/>
  <c r="H126" i="1" s="1"/>
  <c r="I204" i="1"/>
  <c r="I178" i="1" s="1"/>
  <c r="I152" i="1" s="1"/>
  <c r="I126" i="1" s="1"/>
  <c r="J204" i="1"/>
  <c r="J178" i="1" s="1"/>
  <c r="J152" i="1" s="1"/>
  <c r="J126" i="1" s="1"/>
  <c r="L204" i="1"/>
  <c r="L178" i="1" s="1"/>
  <c r="L152" i="1" s="1"/>
  <c r="L126" i="1" s="1"/>
  <c r="M204" i="1"/>
  <c r="M178" i="1" s="1"/>
  <c r="M152" i="1" s="1"/>
  <c r="M126" i="1" s="1"/>
  <c r="N204" i="1"/>
  <c r="N178" i="1" s="1"/>
  <c r="N152" i="1" s="1"/>
  <c r="N126" i="1" s="1"/>
  <c r="P204" i="1"/>
  <c r="P178" i="1" s="1"/>
  <c r="P152" i="1" s="1"/>
  <c r="P126" i="1" s="1"/>
  <c r="Q204" i="1"/>
  <c r="Q178" i="1" s="1"/>
  <c r="Q152" i="1" s="1"/>
  <c r="Q126" i="1" s="1"/>
  <c r="R204" i="1"/>
  <c r="R178" i="1" s="1"/>
  <c r="R152" i="1" s="1"/>
  <c r="R126" i="1" s="1"/>
  <c r="T204" i="1"/>
  <c r="T178" i="1" s="1"/>
  <c r="T152" i="1" s="1"/>
  <c r="T126" i="1" s="1"/>
  <c r="U204" i="1"/>
  <c r="U178" i="1" s="1"/>
  <c r="U152" i="1" s="1"/>
  <c r="U126" i="1" s="1"/>
  <c r="V204" i="1"/>
  <c r="V178" i="1" s="1"/>
  <c r="V152" i="1" s="1"/>
  <c r="V126" i="1" s="1"/>
  <c r="X204" i="1"/>
  <c r="X178" i="1" s="1"/>
  <c r="X152" i="1" s="1"/>
  <c r="X126" i="1" s="1"/>
  <c r="D205" i="1"/>
  <c r="D179" i="1" s="1"/>
  <c r="D153" i="1" s="1"/>
  <c r="D127" i="1" s="1"/>
  <c r="E205" i="1"/>
  <c r="E179" i="1" s="1"/>
  <c r="E153" i="1" s="1"/>
  <c r="E127" i="1" s="1"/>
  <c r="G205" i="1"/>
  <c r="G179" i="1" s="1"/>
  <c r="G153" i="1" s="1"/>
  <c r="G127" i="1" s="1"/>
  <c r="H205" i="1"/>
  <c r="H179" i="1" s="1"/>
  <c r="H153" i="1" s="1"/>
  <c r="H127" i="1" s="1"/>
  <c r="I205" i="1"/>
  <c r="I179" i="1" s="1"/>
  <c r="I153" i="1" s="1"/>
  <c r="I127" i="1" s="1"/>
  <c r="K205" i="1"/>
  <c r="K179" i="1" s="1"/>
  <c r="K153" i="1" s="1"/>
  <c r="K127" i="1" s="1"/>
  <c r="L205" i="1"/>
  <c r="L179" i="1" s="1"/>
  <c r="L153" i="1" s="1"/>
  <c r="L127" i="1" s="1"/>
  <c r="M205" i="1"/>
  <c r="M179" i="1" s="1"/>
  <c r="M153" i="1" s="1"/>
  <c r="M127" i="1" s="1"/>
  <c r="O205" i="1"/>
  <c r="O179" i="1" s="1"/>
  <c r="O153" i="1" s="1"/>
  <c r="O127" i="1" s="1"/>
  <c r="P205" i="1"/>
  <c r="P179" i="1" s="1"/>
  <c r="P153" i="1" s="1"/>
  <c r="P127" i="1" s="1"/>
  <c r="Q205" i="1"/>
  <c r="Q179" i="1" s="1"/>
  <c r="Q153" i="1" s="1"/>
  <c r="Q127" i="1" s="1"/>
  <c r="S205" i="1"/>
  <c r="S179" i="1" s="1"/>
  <c r="S153" i="1" s="1"/>
  <c r="S127" i="1" s="1"/>
  <c r="T205" i="1"/>
  <c r="T179" i="1" s="1"/>
  <c r="T153" i="1" s="1"/>
  <c r="T127" i="1" s="1"/>
  <c r="U205" i="1"/>
  <c r="U179" i="1" s="1"/>
  <c r="U153" i="1" s="1"/>
  <c r="U127" i="1" s="1"/>
  <c r="W205" i="1"/>
  <c r="W179" i="1" s="1"/>
  <c r="W153" i="1" s="1"/>
  <c r="W127" i="1" s="1"/>
  <c r="X205" i="1"/>
  <c r="X179" i="1" s="1"/>
  <c r="X153" i="1" s="1"/>
  <c r="X127" i="1" s="1"/>
  <c r="D206" i="1"/>
  <c r="D180" i="1" s="1"/>
  <c r="D154" i="1" s="1"/>
  <c r="D128" i="1" s="1"/>
  <c r="F206" i="1"/>
  <c r="F180" i="1" s="1"/>
  <c r="F154" i="1" s="1"/>
  <c r="F128" i="1" s="1"/>
  <c r="G206" i="1"/>
  <c r="G180" i="1" s="1"/>
  <c r="G154" i="1" s="1"/>
  <c r="G128" i="1" s="1"/>
  <c r="H206" i="1"/>
  <c r="H180" i="1" s="1"/>
  <c r="H154" i="1" s="1"/>
  <c r="H128" i="1" s="1"/>
  <c r="J206" i="1"/>
  <c r="J180" i="1" s="1"/>
  <c r="J154" i="1" s="1"/>
  <c r="J128" i="1" s="1"/>
  <c r="K206" i="1"/>
  <c r="K180" i="1" s="1"/>
  <c r="K154" i="1" s="1"/>
  <c r="K128" i="1" s="1"/>
  <c r="L206" i="1"/>
  <c r="L180" i="1" s="1"/>
  <c r="L154" i="1" s="1"/>
  <c r="L128" i="1" s="1"/>
  <c r="M206" i="1"/>
  <c r="M180" i="1" s="1"/>
  <c r="M154" i="1" s="1"/>
  <c r="M128" i="1" s="1"/>
  <c r="N206" i="1"/>
  <c r="N180" i="1" s="1"/>
  <c r="N154" i="1" s="1"/>
  <c r="N128" i="1" s="1"/>
  <c r="O206" i="1"/>
  <c r="O180" i="1" s="1"/>
  <c r="O154" i="1" s="1"/>
  <c r="O128" i="1" s="1"/>
  <c r="P206" i="1"/>
  <c r="P180" i="1" s="1"/>
  <c r="P154" i="1" s="1"/>
  <c r="P128" i="1" s="1"/>
  <c r="Q206" i="1"/>
  <c r="Q180" i="1" s="1"/>
  <c r="Q154" i="1" s="1"/>
  <c r="Q128" i="1" s="1"/>
  <c r="R206" i="1"/>
  <c r="R180" i="1" s="1"/>
  <c r="R154" i="1" s="1"/>
  <c r="R128" i="1" s="1"/>
  <c r="S206" i="1"/>
  <c r="S180" i="1" s="1"/>
  <c r="S154" i="1" s="1"/>
  <c r="S128" i="1" s="1"/>
  <c r="T206" i="1"/>
  <c r="T180" i="1" s="1"/>
  <c r="T154" i="1" s="1"/>
  <c r="T128" i="1" s="1"/>
  <c r="U206" i="1"/>
  <c r="U180" i="1" s="1"/>
  <c r="U154" i="1" s="1"/>
  <c r="U128" i="1" s="1"/>
  <c r="V206" i="1"/>
  <c r="V180" i="1" s="1"/>
  <c r="V154" i="1" s="1"/>
  <c r="V128" i="1" s="1"/>
  <c r="W206" i="1"/>
  <c r="W180" i="1" s="1"/>
  <c r="W154" i="1" s="1"/>
  <c r="W128" i="1" s="1"/>
  <c r="X206" i="1"/>
  <c r="X180" i="1" s="1"/>
  <c r="X154" i="1" s="1"/>
  <c r="X128" i="1" s="1"/>
  <c r="D207" i="1"/>
  <c r="D181" i="1" s="1"/>
  <c r="D155" i="1" s="1"/>
  <c r="D129" i="1" s="1"/>
  <c r="E207" i="1"/>
  <c r="E181" i="1" s="1"/>
  <c r="E155" i="1" s="1"/>
  <c r="E129" i="1" s="1"/>
  <c r="F207" i="1"/>
  <c r="F181" i="1" s="1"/>
  <c r="F155" i="1" s="1"/>
  <c r="F129" i="1" s="1"/>
  <c r="G207" i="1"/>
  <c r="G181" i="1" s="1"/>
  <c r="G155" i="1" s="1"/>
  <c r="G129" i="1" s="1"/>
  <c r="H207" i="1"/>
  <c r="H181" i="1" s="1"/>
  <c r="H155" i="1" s="1"/>
  <c r="H129" i="1" s="1"/>
  <c r="I207" i="1"/>
  <c r="I181" i="1" s="1"/>
  <c r="I155" i="1" s="1"/>
  <c r="I129" i="1" s="1"/>
  <c r="J207" i="1"/>
  <c r="J181" i="1" s="1"/>
  <c r="J155" i="1" s="1"/>
  <c r="J129" i="1" s="1"/>
  <c r="K207" i="1"/>
  <c r="K181" i="1" s="1"/>
  <c r="K155" i="1" s="1"/>
  <c r="K129" i="1" s="1"/>
  <c r="L207" i="1"/>
  <c r="L181" i="1" s="1"/>
  <c r="L155" i="1" s="1"/>
  <c r="L129" i="1" s="1"/>
  <c r="M207" i="1"/>
  <c r="M181" i="1" s="1"/>
  <c r="M155" i="1" s="1"/>
  <c r="M129" i="1" s="1"/>
  <c r="N207" i="1"/>
  <c r="N181" i="1" s="1"/>
  <c r="N155" i="1" s="1"/>
  <c r="N129" i="1" s="1"/>
  <c r="O207" i="1"/>
  <c r="O181" i="1" s="1"/>
  <c r="O155" i="1" s="1"/>
  <c r="O129" i="1" s="1"/>
  <c r="P207" i="1"/>
  <c r="P181" i="1" s="1"/>
  <c r="P155" i="1" s="1"/>
  <c r="P129" i="1" s="1"/>
  <c r="Q207" i="1"/>
  <c r="Q181" i="1" s="1"/>
  <c r="Q155" i="1" s="1"/>
  <c r="Q129" i="1" s="1"/>
  <c r="R207" i="1"/>
  <c r="R181" i="1" s="1"/>
  <c r="R155" i="1" s="1"/>
  <c r="R129" i="1" s="1"/>
  <c r="S207" i="1"/>
  <c r="S181" i="1" s="1"/>
  <c r="S155" i="1" s="1"/>
  <c r="S129" i="1" s="1"/>
  <c r="T207" i="1"/>
  <c r="T181" i="1" s="1"/>
  <c r="T155" i="1" s="1"/>
  <c r="T129" i="1" s="1"/>
  <c r="U207" i="1"/>
  <c r="U181" i="1" s="1"/>
  <c r="U155" i="1" s="1"/>
  <c r="U129" i="1" s="1"/>
  <c r="V207" i="1"/>
  <c r="V181" i="1" s="1"/>
  <c r="V155" i="1" s="1"/>
  <c r="V129" i="1" s="1"/>
  <c r="W207" i="1"/>
  <c r="W181" i="1" s="1"/>
  <c r="W155" i="1" s="1"/>
  <c r="W129" i="1" s="1"/>
  <c r="X207" i="1"/>
  <c r="X181" i="1" s="1"/>
  <c r="X155" i="1" s="1"/>
  <c r="X129" i="1" s="1"/>
  <c r="J188" i="1"/>
  <c r="J162" i="1" s="1"/>
  <c r="J136" i="1" s="1"/>
  <c r="J110" i="1" s="1"/>
  <c r="F188" i="1"/>
  <c r="F162" i="1" s="1"/>
  <c r="F136" i="1" s="1"/>
  <c r="F110" i="1" s="1"/>
  <c r="G188" i="1"/>
  <c r="G162" i="1" s="1"/>
  <c r="G136" i="1" s="1"/>
  <c r="G110" i="1" s="1"/>
  <c r="H188" i="1"/>
  <c r="H162" i="1" s="1"/>
  <c r="H136" i="1" s="1"/>
  <c r="H110" i="1" s="1"/>
  <c r="I188" i="1"/>
  <c r="I162" i="1" s="1"/>
  <c r="I136" i="1" s="1"/>
  <c r="I110" i="1" s="1"/>
  <c r="K188" i="1"/>
  <c r="K162" i="1" s="1"/>
  <c r="K136" i="1" s="1"/>
  <c r="K110" i="1" s="1"/>
  <c r="L188" i="1"/>
  <c r="L162" i="1" s="1"/>
  <c r="L136" i="1" s="1"/>
  <c r="L110" i="1" s="1"/>
  <c r="M188" i="1"/>
  <c r="M162" i="1" s="1"/>
  <c r="M136" i="1" s="1"/>
  <c r="M110" i="1" s="1"/>
  <c r="N188" i="1"/>
  <c r="N162" i="1" s="1"/>
  <c r="N136" i="1" s="1"/>
  <c r="N110" i="1" s="1"/>
  <c r="O188" i="1"/>
  <c r="O162" i="1" s="1"/>
  <c r="O136" i="1" s="1"/>
  <c r="O110" i="1" s="1"/>
  <c r="P188" i="1"/>
  <c r="P162" i="1" s="1"/>
  <c r="P136" i="1" s="1"/>
  <c r="P110" i="1" s="1"/>
  <c r="Q188" i="1"/>
  <c r="Q162" i="1" s="1"/>
  <c r="Q136" i="1" s="1"/>
  <c r="Q110" i="1" s="1"/>
  <c r="R188" i="1"/>
  <c r="R162" i="1" s="1"/>
  <c r="R136" i="1" s="1"/>
  <c r="R110" i="1" s="1"/>
  <c r="S188" i="1"/>
  <c r="S162" i="1" s="1"/>
  <c r="S136" i="1" s="1"/>
  <c r="S110" i="1" s="1"/>
  <c r="T188" i="1"/>
  <c r="T162" i="1" s="1"/>
  <c r="T136" i="1" s="1"/>
  <c r="T110" i="1" s="1"/>
  <c r="U188" i="1"/>
  <c r="U162" i="1" s="1"/>
  <c r="U136" i="1" s="1"/>
  <c r="U110" i="1" s="1"/>
  <c r="V188" i="1"/>
  <c r="V162" i="1" s="1"/>
  <c r="V136" i="1" s="1"/>
  <c r="V110" i="1" s="1"/>
  <c r="W188" i="1"/>
  <c r="W162" i="1" s="1"/>
  <c r="W136" i="1" s="1"/>
  <c r="W110" i="1" s="1"/>
  <c r="X188" i="1"/>
  <c r="X162" i="1" s="1"/>
  <c r="X136" i="1" s="1"/>
  <c r="X110" i="1" s="1"/>
  <c r="E188" i="1"/>
  <c r="E162" i="1" s="1"/>
  <c r="E136" i="1" s="1"/>
  <c r="E110" i="1" s="1"/>
  <c r="D188" i="1"/>
  <c r="D162" i="1" s="1"/>
  <c r="D136" i="1" s="1"/>
  <c r="D110" i="1" s="1"/>
  <c r="H187" i="1"/>
  <c r="H161" i="1" s="1"/>
  <c r="H135" i="1" s="1"/>
  <c r="H109" i="1" s="1"/>
  <c r="I187" i="1"/>
  <c r="I161" i="1" s="1"/>
  <c r="I135" i="1" s="1"/>
  <c r="I109" i="1" s="1"/>
  <c r="J187" i="1"/>
  <c r="J161" i="1" s="1"/>
  <c r="J135" i="1" s="1"/>
  <c r="J109" i="1" s="1"/>
  <c r="K187" i="1"/>
  <c r="K161" i="1" s="1"/>
  <c r="K135" i="1" s="1"/>
  <c r="K109" i="1" s="1"/>
  <c r="L187" i="1"/>
  <c r="L161" i="1" s="1"/>
  <c r="L135" i="1" s="1"/>
  <c r="L109" i="1" s="1"/>
  <c r="M187" i="1"/>
  <c r="M161" i="1" s="1"/>
  <c r="M135" i="1" s="1"/>
  <c r="M109" i="1" s="1"/>
  <c r="N187" i="1"/>
  <c r="N161" i="1" s="1"/>
  <c r="N135" i="1" s="1"/>
  <c r="N109" i="1" s="1"/>
  <c r="O187" i="1"/>
  <c r="O161" i="1" s="1"/>
  <c r="O135" i="1" s="1"/>
  <c r="O109" i="1" s="1"/>
  <c r="P187" i="1"/>
  <c r="P161" i="1" s="1"/>
  <c r="P135" i="1" s="1"/>
  <c r="P109" i="1" s="1"/>
  <c r="Q187" i="1"/>
  <c r="Q161" i="1" s="1"/>
  <c r="Q135" i="1" s="1"/>
  <c r="Q109" i="1" s="1"/>
  <c r="R187" i="1"/>
  <c r="R161" i="1" s="1"/>
  <c r="R135" i="1" s="1"/>
  <c r="R109" i="1" s="1"/>
  <c r="S187" i="1"/>
  <c r="S161" i="1" s="1"/>
  <c r="S135" i="1" s="1"/>
  <c r="S109" i="1" s="1"/>
  <c r="T187" i="1"/>
  <c r="T161" i="1" s="1"/>
  <c r="T135" i="1" s="1"/>
  <c r="T109" i="1" s="1"/>
  <c r="U187" i="1"/>
  <c r="U161" i="1" s="1"/>
  <c r="U135" i="1" s="1"/>
  <c r="U109" i="1" s="1"/>
  <c r="V187" i="1"/>
  <c r="V161" i="1" s="1"/>
  <c r="V135" i="1" s="1"/>
  <c r="V109" i="1" s="1"/>
  <c r="W187" i="1"/>
  <c r="W161" i="1" s="1"/>
  <c r="W135" i="1" s="1"/>
  <c r="W109" i="1" s="1"/>
  <c r="X187" i="1"/>
  <c r="X161" i="1" s="1"/>
  <c r="X135" i="1" s="1"/>
  <c r="X109" i="1" s="1"/>
  <c r="G187" i="1"/>
  <c r="G161" i="1" s="1"/>
  <c r="G135" i="1" s="1"/>
  <c r="G109" i="1" s="1"/>
  <c r="E187" i="1"/>
  <c r="E161" i="1" s="1"/>
  <c r="E135" i="1" s="1"/>
  <c r="E109" i="1" s="1"/>
  <c r="F187" i="1"/>
  <c r="F161" i="1" s="1"/>
  <c r="F135" i="1" s="1"/>
  <c r="F109" i="1" s="1"/>
  <c r="BG12" i="1"/>
  <c r="BG11" i="1"/>
  <c r="BG10" i="1"/>
  <c r="BG9" i="1"/>
  <c r="BG8" i="1"/>
  <c r="BG7" i="1"/>
  <c r="BG6" i="1"/>
  <c r="BG5" i="1"/>
  <c r="AZ12" i="1"/>
  <c r="AZ11" i="1"/>
  <c r="AZ10" i="1"/>
  <c r="AZ9" i="1"/>
  <c r="AZ8" i="1"/>
  <c r="AZ7" i="1"/>
  <c r="AZ6" i="1"/>
  <c r="AZ5" i="1"/>
  <c r="AS12" i="1"/>
  <c r="AS11" i="1"/>
  <c r="AS10" i="1"/>
  <c r="AS9" i="1"/>
  <c r="AS8" i="1"/>
  <c r="AS7" i="1"/>
  <c r="AS6" i="1"/>
  <c r="AS5" i="1"/>
  <c r="AL6" i="1"/>
  <c r="AL7" i="1"/>
  <c r="AL8" i="1"/>
  <c r="AL9" i="1"/>
  <c r="AL10" i="1"/>
  <c r="AL11" i="1"/>
  <c r="AL12" i="1"/>
  <c r="AL5" i="1"/>
  <c r="BE6" i="1"/>
  <c r="BE7" i="1"/>
  <c r="BE8" i="1"/>
  <c r="BE9" i="1"/>
  <c r="BE10" i="1"/>
  <c r="BE11" i="1"/>
  <c r="BE12" i="1"/>
  <c r="BE5" i="1"/>
  <c r="I201" i="1" l="1"/>
  <c r="I175" i="1" s="1"/>
  <c r="I149" i="1" s="1"/>
  <c r="I123" i="1" s="1"/>
  <c r="T200" i="1"/>
  <c r="T174" i="1" s="1"/>
  <c r="T148" i="1" s="1"/>
  <c r="T122" i="1" s="1"/>
  <c r="X199" i="1"/>
  <c r="X173" i="1" s="1"/>
  <c r="X147" i="1" s="1"/>
  <c r="X121" i="1" s="1"/>
  <c r="G199" i="1"/>
  <c r="G173" i="1" s="1"/>
  <c r="G147" i="1" s="1"/>
  <c r="G121" i="1" s="1"/>
  <c r="L198" i="1"/>
  <c r="L172" i="1" s="1"/>
  <c r="L146" i="1" s="1"/>
  <c r="L120" i="1" s="1"/>
  <c r="P197" i="1"/>
  <c r="P171" i="1" s="1"/>
  <c r="P145" i="1" s="1"/>
  <c r="P119" i="1" s="1"/>
  <c r="R196" i="1"/>
  <c r="R170" i="1" s="1"/>
  <c r="R144" i="1" s="1"/>
  <c r="R118" i="1" s="1"/>
  <c r="W195" i="1"/>
  <c r="W169" i="1" s="1"/>
  <c r="W143" i="1" s="1"/>
  <c r="W117" i="1" s="1"/>
  <c r="D195" i="1"/>
  <c r="D169" i="1" s="1"/>
  <c r="D143" i="1" s="1"/>
  <c r="D117" i="1" s="1"/>
  <c r="X193" i="1"/>
  <c r="X167" i="1" s="1"/>
  <c r="X141" i="1" s="1"/>
  <c r="X115" i="1" s="1"/>
  <c r="U192" i="1"/>
  <c r="U166" i="1" s="1"/>
  <c r="U140" i="1" s="1"/>
  <c r="U114" i="1" s="1"/>
  <c r="R191" i="1"/>
  <c r="R165" i="1" s="1"/>
  <c r="R139" i="1" s="1"/>
  <c r="R113" i="1" s="1"/>
  <c r="M190" i="1"/>
  <c r="M164" i="1" s="1"/>
  <c r="M138" i="1" s="1"/>
  <c r="M112" i="1" s="1"/>
  <c r="F189" i="1"/>
  <c r="F163" i="1" s="1"/>
  <c r="F137" i="1" s="1"/>
  <c r="F111" i="1" s="1"/>
  <c r="P191" i="1"/>
  <c r="P165" i="1" s="1"/>
  <c r="P139" i="1" s="1"/>
  <c r="P113" i="1" s="1"/>
  <c r="L190" i="1"/>
  <c r="L164" i="1" s="1"/>
  <c r="L138" i="1" s="1"/>
  <c r="L112" i="1" s="1"/>
  <c r="G190" i="1"/>
  <c r="G164" i="1" s="1"/>
  <c r="G138" i="1" s="1"/>
  <c r="G112" i="1" s="1"/>
  <c r="F203" i="1"/>
  <c r="F177" i="1" s="1"/>
  <c r="F151" i="1" s="1"/>
  <c r="F125" i="1" s="1"/>
  <c r="P202" i="1"/>
  <c r="P176" i="1" s="1"/>
  <c r="P150" i="1" s="1"/>
  <c r="P124" i="1" s="1"/>
  <c r="F202" i="1"/>
  <c r="F176" i="1" s="1"/>
  <c r="F150" i="1" s="1"/>
  <c r="F124" i="1" s="1"/>
  <c r="P201" i="1"/>
  <c r="P175" i="1" s="1"/>
  <c r="P149" i="1" s="1"/>
  <c r="P123" i="1" s="1"/>
  <c r="E201" i="1"/>
  <c r="E175" i="1" s="1"/>
  <c r="E149" i="1" s="1"/>
  <c r="E123" i="1" s="1"/>
  <c r="N200" i="1"/>
  <c r="N174" i="1" s="1"/>
  <c r="N148" i="1" s="1"/>
  <c r="N122" i="1" s="1"/>
  <c r="R199" i="1"/>
  <c r="R173" i="1" s="1"/>
  <c r="R147" i="1" s="1"/>
  <c r="R121" i="1" s="1"/>
  <c r="U198" i="1"/>
  <c r="U172" i="1" s="1"/>
  <c r="U146" i="1" s="1"/>
  <c r="U120" i="1" s="1"/>
  <c r="E198" i="1"/>
  <c r="E172" i="1" s="1"/>
  <c r="E146" i="1" s="1"/>
  <c r="E120" i="1" s="1"/>
  <c r="I197" i="1"/>
  <c r="I171" i="1" s="1"/>
  <c r="I145" i="1" s="1"/>
  <c r="I119" i="1" s="1"/>
  <c r="M196" i="1"/>
  <c r="M170" i="1" s="1"/>
  <c r="M144" i="1" s="1"/>
  <c r="M118" i="1" s="1"/>
  <c r="R195" i="1"/>
  <c r="R169" i="1" s="1"/>
  <c r="R143" i="1" s="1"/>
  <c r="R117" i="1" s="1"/>
  <c r="Q194" i="1"/>
  <c r="Q168" i="1" s="1"/>
  <c r="Q142" i="1" s="1"/>
  <c r="Q116" i="1" s="1"/>
  <c r="P193" i="1"/>
  <c r="P167" i="1" s="1"/>
  <c r="P141" i="1" s="1"/>
  <c r="P115" i="1" s="1"/>
  <c r="M192" i="1"/>
  <c r="M166" i="1" s="1"/>
  <c r="M140" i="1" s="1"/>
  <c r="M114" i="1" s="1"/>
  <c r="H191" i="1"/>
  <c r="H165" i="1" s="1"/>
  <c r="H139" i="1" s="1"/>
  <c r="H113" i="1" s="1"/>
  <c r="E190" i="1"/>
  <c r="E164" i="1" s="1"/>
  <c r="E138" i="1" s="1"/>
  <c r="E112" i="1" s="1"/>
  <c r="I189" i="1"/>
  <c r="I163" i="1" s="1"/>
  <c r="I137" i="1" s="1"/>
  <c r="I111" i="1" s="1"/>
  <c r="E204" i="1"/>
  <c r="E178" i="1" s="1"/>
  <c r="E152" i="1" s="1"/>
  <c r="E126" i="1" s="1"/>
  <c r="O203" i="1"/>
  <c r="O177" i="1" s="1"/>
  <c r="O151" i="1" s="1"/>
  <c r="O125" i="1" s="1"/>
  <c r="E203" i="1"/>
  <c r="E177" i="1" s="1"/>
  <c r="E151" i="1" s="1"/>
  <c r="E125" i="1" s="1"/>
  <c r="O202" i="1"/>
  <c r="O176" i="1" s="1"/>
  <c r="O150" i="1" s="1"/>
  <c r="O124" i="1" s="1"/>
  <c r="D202" i="1"/>
  <c r="D176" i="1" s="1"/>
  <c r="D150" i="1" s="1"/>
  <c r="D124" i="1" s="1"/>
  <c r="O201" i="1"/>
  <c r="O175" i="1" s="1"/>
  <c r="O149" i="1" s="1"/>
  <c r="O123" i="1" s="1"/>
  <c r="D201" i="1"/>
  <c r="D175" i="1" s="1"/>
  <c r="D149" i="1" s="1"/>
  <c r="D123" i="1" s="1"/>
  <c r="K200" i="1"/>
  <c r="K174" i="1" s="1"/>
  <c r="K148" i="1" s="1"/>
  <c r="K122" i="1" s="1"/>
  <c r="P199" i="1"/>
  <c r="P173" i="1" s="1"/>
  <c r="P147" i="1" s="1"/>
  <c r="P121" i="1" s="1"/>
  <c r="T198" i="1"/>
  <c r="T172" i="1" s="1"/>
  <c r="T146" i="1" s="1"/>
  <c r="T120" i="1" s="1"/>
  <c r="X197" i="1"/>
  <c r="X171" i="1" s="1"/>
  <c r="X145" i="1" s="1"/>
  <c r="X119" i="1" s="1"/>
  <c r="H197" i="1"/>
  <c r="H171" i="1" s="1"/>
  <c r="H145" i="1" s="1"/>
  <c r="H119" i="1" s="1"/>
  <c r="J196" i="1"/>
  <c r="J170" i="1" s="1"/>
  <c r="J144" i="1" s="1"/>
  <c r="J118" i="1" s="1"/>
  <c r="N195" i="1"/>
  <c r="N169" i="1" s="1"/>
  <c r="N143" i="1" s="1"/>
  <c r="N117" i="1" s="1"/>
  <c r="P194" i="1"/>
  <c r="P168" i="1" s="1"/>
  <c r="P142" i="1" s="1"/>
  <c r="P116" i="1" s="1"/>
  <c r="N193" i="1"/>
  <c r="N167" i="1" s="1"/>
  <c r="N141" i="1" s="1"/>
  <c r="N115" i="1" s="1"/>
  <c r="K192" i="1"/>
  <c r="K166" i="1" s="1"/>
  <c r="K140" i="1" s="1"/>
  <c r="K114" i="1" s="1"/>
  <c r="G191" i="1"/>
  <c r="G165" i="1" s="1"/>
  <c r="G139" i="1" s="1"/>
  <c r="G113" i="1" s="1"/>
  <c r="L189" i="1"/>
  <c r="L163" i="1" s="1"/>
  <c r="L137" i="1" s="1"/>
  <c r="L111" i="1" s="1"/>
  <c r="U189" i="1"/>
  <c r="U163" i="1" s="1"/>
  <c r="U137" i="1" s="1"/>
  <c r="U111" i="1" s="1"/>
  <c r="I206" i="1"/>
  <c r="I180" i="1" s="1"/>
  <c r="I154" i="1" s="1"/>
  <c r="I128" i="1" s="1"/>
  <c r="V205" i="1"/>
  <c r="V179" i="1" s="1"/>
  <c r="V153" i="1" s="1"/>
  <c r="V127" i="1" s="1"/>
  <c r="N205" i="1"/>
  <c r="N179" i="1" s="1"/>
  <c r="N153" i="1" s="1"/>
  <c r="N127" i="1" s="1"/>
  <c r="F205" i="1"/>
  <c r="F179" i="1" s="1"/>
  <c r="F153" i="1" s="1"/>
  <c r="F127" i="1" s="1"/>
  <c r="S204" i="1"/>
  <c r="S178" i="1" s="1"/>
  <c r="S152" i="1" s="1"/>
  <c r="S126" i="1" s="1"/>
  <c r="K204" i="1"/>
  <c r="K178" i="1" s="1"/>
  <c r="K152" i="1" s="1"/>
  <c r="K126" i="1" s="1"/>
  <c r="X203" i="1"/>
  <c r="X177" i="1" s="1"/>
  <c r="X151" i="1" s="1"/>
  <c r="X125" i="1" s="1"/>
  <c r="P203" i="1"/>
  <c r="P177" i="1" s="1"/>
  <c r="P151" i="1" s="1"/>
  <c r="P125" i="1" s="1"/>
  <c r="H203" i="1"/>
  <c r="H177" i="1" s="1"/>
  <c r="H151" i="1" s="1"/>
  <c r="H125" i="1" s="1"/>
  <c r="U202" i="1"/>
  <c r="U176" i="1" s="1"/>
  <c r="U150" i="1" s="1"/>
  <c r="U124" i="1" s="1"/>
  <c r="M202" i="1"/>
  <c r="M176" i="1" s="1"/>
  <c r="M150" i="1" s="1"/>
  <c r="M124" i="1" s="1"/>
  <c r="E202" i="1"/>
  <c r="E176" i="1" s="1"/>
  <c r="E150" i="1" s="1"/>
  <c r="E124" i="1" s="1"/>
  <c r="R201" i="1"/>
  <c r="R175" i="1" s="1"/>
  <c r="R149" i="1" s="1"/>
  <c r="R123" i="1" s="1"/>
  <c r="J201" i="1"/>
  <c r="J175" i="1" s="1"/>
  <c r="J149" i="1" s="1"/>
  <c r="J123" i="1" s="1"/>
  <c r="W200" i="1"/>
  <c r="W174" i="1" s="1"/>
  <c r="W148" i="1" s="1"/>
  <c r="W122" i="1" s="1"/>
  <c r="M200" i="1"/>
  <c r="M174" i="1" s="1"/>
  <c r="M148" i="1" s="1"/>
  <c r="M122" i="1" s="1"/>
  <c r="V199" i="1"/>
  <c r="V173" i="1" s="1"/>
  <c r="V147" i="1" s="1"/>
  <c r="V121" i="1" s="1"/>
  <c r="H199" i="1"/>
  <c r="H173" i="1" s="1"/>
  <c r="H147" i="1" s="1"/>
  <c r="H121" i="1" s="1"/>
  <c r="P198" i="1"/>
  <c r="P172" i="1" s="1"/>
  <c r="P146" i="1" s="1"/>
  <c r="P120" i="1" s="1"/>
  <c r="D198" i="1"/>
  <c r="D172" i="1" s="1"/>
  <c r="D146" i="1" s="1"/>
  <c r="D120" i="1" s="1"/>
  <c r="L197" i="1"/>
  <c r="L171" i="1" s="1"/>
  <c r="L145" i="1" s="1"/>
  <c r="L119" i="1" s="1"/>
  <c r="U196" i="1"/>
  <c r="U170" i="1" s="1"/>
  <c r="U144" i="1" s="1"/>
  <c r="U118" i="1" s="1"/>
  <c r="G196" i="1"/>
  <c r="G170" i="1" s="1"/>
  <c r="G144" i="1" s="1"/>
  <c r="G118" i="1" s="1"/>
  <c r="O195" i="1"/>
  <c r="O169" i="1" s="1"/>
  <c r="O143" i="1" s="1"/>
  <c r="O117" i="1" s="1"/>
  <c r="T194" i="1"/>
  <c r="T168" i="1" s="1"/>
  <c r="T142" i="1" s="1"/>
  <c r="T116" i="1" s="1"/>
  <c r="D194" i="1"/>
  <c r="D168" i="1" s="1"/>
  <c r="D142" i="1" s="1"/>
  <c r="D116" i="1" s="1"/>
  <c r="I193" i="1"/>
  <c r="I167" i="1" s="1"/>
  <c r="I141" i="1" s="1"/>
  <c r="I115" i="1" s="1"/>
  <c r="N192" i="1"/>
  <c r="N166" i="1" s="1"/>
  <c r="N140" i="1" s="1"/>
  <c r="N114" i="1" s="1"/>
  <c r="S191" i="1"/>
  <c r="S165" i="1" s="1"/>
  <c r="S139" i="1" s="1"/>
  <c r="S113" i="1" s="1"/>
  <c r="X190" i="1"/>
  <c r="X164" i="1" s="1"/>
  <c r="X138" i="1" s="1"/>
  <c r="X112" i="1" s="1"/>
  <c r="H190" i="1"/>
  <c r="H164" i="1" s="1"/>
  <c r="H138" i="1" s="1"/>
  <c r="H112" i="1" s="1"/>
  <c r="K189" i="1"/>
  <c r="K163" i="1" s="1"/>
  <c r="K137" i="1" s="1"/>
  <c r="K111" i="1" s="1"/>
  <c r="E193" i="1"/>
  <c r="E167" i="1" s="1"/>
  <c r="E141" i="1" s="1"/>
  <c r="E115" i="1" s="1"/>
  <c r="J192" i="1"/>
  <c r="J166" i="1" s="1"/>
  <c r="J140" i="1" s="1"/>
  <c r="J114" i="1" s="1"/>
  <c r="O191" i="1"/>
  <c r="O165" i="1" s="1"/>
  <c r="O139" i="1" s="1"/>
  <c r="O113" i="1" s="1"/>
  <c r="T190" i="1"/>
  <c r="T164" i="1" s="1"/>
  <c r="T138" i="1" s="1"/>
  <c r="T112" i="1" s="1"/>
  <c r="D190" i="1"/>
  <c r="D164" i="1" s="1"/>
  <c r="D138" i="1" s="1"/>
  <c r="D112" i="1" s="1"/>
  <c r="E206" i="1"/>
  <c r="E180" i="1" s="1"/>
  <c r="E154" i="1" s="1"/>
  <c r="E128" i="1" s="1"/>
  <c r="R205" i="1"/>
  <c r="R179" i="1" s="1"/>
  <c r="R153" i="1" s="1"/>
  <c r="R127" i="1" s="1"/>
  <c r="J205" i="1"/>
  <c r="J179" i="1" s="1"/>
  <c r="J153" i="1" s="1"/>
  <c r="J127" i="1" s="1"/>
  <c r="W204" i="1"/>
  <c r="W178" i="1" s="1"/>
  <c r="W152" i="1" s="1"/>
  <c r="W126" i="1" s="1"/>
  <c r="O204" i="1"/>
  <c r="O178" i="1" s="1"/>
  <c r="O152" i="1" s="1"/>
  <c r="O126" i="1" s="1"/>
  <c r="G204" i="1"/>
  <c r="G178" i="1" s="1"/>
  <c r="G152" i="1" s="1"/>
  <c r="G126" i="1" s="1"/>
  <c r="T203" i="1"/>
  <c r="T177" i="1" s="1"/>
  <c r="T151" i="1" s="1"/>
  <c r="T125" i="1" s="1"/>
  <c r="L203" i="1"/>
  <c r="L177" i="1" s="1"/>
  <c r="L151" i="1" s="1"/>
  <c r="L125" i="1" s="1"/>
  <c r="D203" i="1"/>
  <c r="D177" i="1" s="1"/>
  <c r="D151" i="1" s="1"/>
  <c r="D125" i="1" s="1"/>
  <c r="Q202" i="1"/>
  <c r="Q176" i="1" s="1"/>
  <c r="Q150" i="1" s="1"/>
  <c r="Q124" i="1" s="1"/>
  <c r="I202" i="1"/>
  <c r="I176" i="1" s="1"/>
  <c r="I150" i="1" s="1"/>
  <c r="I124" i="1" s="1"/>
  <c r="V201" i="1"/>
  <c r="V175" i="1" s="1"/>
  <c r="V149" i="1" s="1"/>
  <c r="V123" i="1" s="1"/>
  <c r="N201" i="1"/>
  <c r="N175" i="1" s="1"/>
  <c r="N149" i="1" s="1"/>
  <c r="N123" i="1" s="1"/>
  <c r="F201" i="1"/>
  <c r="F175" i="1" s="1"/>
  <c r="F149" i="1" s="1"/>
  <c r="F123" i="1" s="1"/>
  <c r="S200" i="1"/>
  <c r="S174" i="1" s="1"/>
  <c r="S148" i="1" s="1"/>
  <c r="S122" i="1" s="1"/>
  <c r="F200" i="1"/>
  <c r="F174" i="1" s="1"/>
  <c r="F148" i="1" s="1"/>
  <c r="F122" i="1" s="1"/>
  <c r="O199" i="1"/>
  <c r="O173" i="1" s="1"/>
  <c r="O147" i="1" s="1"/>
  <c r="O121" i="1" s="1"/>
  <c r="W198" i="1"/>
  <c r="W172" i="1" s="1"/>
  <c r="W146" i="1" s="1"/>
  <c r="W120" i="1" s="1"/>
  <c r="K198" i="1"/>
  <c r="K172" i="1" s="1"/>
  <c r="K146" i="1" s="1"/>
  <c r="K120" i="1" s="1"/>
  <c r="R197" i="1"/>
  <c r="R171" i="1" s="1"/>
  <c r="R145" i="1" s="1"/>
  <c r="R119" i="1" s="1"/>
  <c r="E197" i="1"/>
  <c r="E171" i="1" s="1"/>
  <c r="E145" i="1" s="1"/>
  <c r="E119" i="1" s="1"/>
  <c r="N196" i="1"/>
  <c r="N170" i="1" s="1"/>
  <c r="N144" i="1" s="1"/>
  <c r="N118" i="1" s="1"/>
  <c r="V195" i="1"/>
  <c r="V169" i="1" s="1"/>
  <c r="V143" i="1" s="1"/>
  <c r="V117" i="1" s="1"/>
  <c r="G195" i="1"/>
  <c r="G169" i="1" s="1"/>
  <c r="G143" i="1" s="1"/>
  <c r="G117" i="1" s="1"/>
  <c r="L194" i="1"/>
  <c r="L168" i="1" s="1"/>
  <c r="L142" i="1" s="1"/>
  <c r="L116" i="1" s="1"/>
  <c r="Q193" i="1"/>
  <c r="Q167" i="1" s="1"/>
  <c r="Q141" i="1" s="1"/>
  <c r="Q115" i="1" s="1"/>
  <c r="V192" i="1"/>
  <c r="V166" i="1" s="1"/>
  <c r="V140" i="1" s="1"/>
  <c r="V114" i="1" s="1"/>
  <c r="F192" i="1"/>
  <c r="F166" i="1" s="1"/>
  <c r="F140" i="1" s="1"/>
  <c r="F114" i="1" s="1"/>
  <c r="K191" i="1"/>
  <c r="K165" i="1" s="1"/>
  <c r="K139" i="1" s="1"/>
  <c r="K113" i="1" s="1"/>
  <c r="P190" i="1"/>
  <c r="P164" i="1" s="1"/>
  <c r="P138" i="1" s="1"/>
  <c r="P112" i="1" s="1"/>
  <c r="L200" i="1"/>
  <c r="L174" i="1" s="1"/>
  <c r="L148" i="1" s="1"/>
  <c r="L122" i="1" s="1"/>
  <c r="D200" i="1"/>
  <c r="D174" i="1" s="1"/>
  <c r="D148" i="1" s="1"/>
  <c r="D122" i="1" s="1"/>
  <c r="Q199" i="1"/>
  <c r="Q173" i="1" s="1"/>
  <c r="Q147" i="1" s="1"/>
  <c r="Q121" i="1" s="1"/>
  <c r="I199" i="1"/>
  <c r="I173" i="1" s="1"/>
  <c r="I147" i="1" s="1"/>
  <c r="I121" i="1" s="1"/>
  <c r="V198" i="1"/>
  <c r="V172" i="1" s="1"/>
  <c r="V146" i="1" s="1"/>
  <c r="V120" i="1" s="1"/>
  <c r="N198" i="1"/>
  <c r="N172" i="1" s="1"/>
  <c r="N146" i="1" s="1"/>
  <c r="N120" i="1" s="1"/>
  <c r="F198" i="1"/>
  <c r="F172" i="1" s="1"/>
  <c r="F146" i="1" s="1"/>
  <c r="F120" i="1" s="1"/>
  <c r="S197" i="1"/>
  <c r="S171" i="1" s="1"/>
  <c r="S145" i="1" s="1"/>
  <c r="S119" i="1" s="1"/>
  <c r="K197" i="1"/>
  <c r="K171" i="1" s="1"/>
  <c r="K145" i="1" s="1"/>
  <c r="K119" i="1" s="1"/>
  <c r="X196" i="1"/>
  <c r="X170" i="1" s="1"/>
  <c r="X144" i="1" s="1"/>
  <c r="X118" i="1" s="1"/>
  <c r="P196" i="1"/>
  <c r="P170" i="1" s="1"/>
  <c r="P144" i="1" s="1"/>
  <c r="P118" i="1" s="1"/>
  <c r="H196" i="1"/>
  <c r="H170" i="1" s="1"/>
  <c r="H144" i="1" s="1"/>
  <c r="H118" i="1" s="1"/>
  <c r="U195" i="1"/>
  <c r="U169" i="1" s="1"/>
  <c r="U143" i="1" s="1"/>
  <c r="U117" i="1" s="1"/>
  <c r="M195" i="1"/>
  <c r="M169" i="1" s="1"/>
  <c r="M143" i="1" s="1"/>
  <c r="M117" i="1" s="1"/>
  <c r="E195" i="1"/>
  <c r="E169" i="1" s="1"/>
  <c r="E143" i="1" s="1"/>
  <c r="E117" i="1" s="1"/>
  <c r="R194" i="1"/>
  <c r="R168" i="1" s="1"/>
  <c r="R142" i="1" s="1"/>
  <c r="R116" i="1" s="1"/>
  <c r="J194" i="1"/>
  <c r="J168" i="1" s="1"/>
  <c r="J142" i="1" s="1"/>
  <c r="J116" i="1" s="1"/>
  <c r="W193" i="1"/>
  <c r="W167" i="1" s="1"/>
  <c r="W141" i="1" s="1"/>
  <c r="W115" i="1" s="1"/>
  <c r="O193" i="1"/>
  <c r="O167" i="1" s="1"/>
  <c r="O141" i="1" s="1"/>
  <c r="O115" i="1" s="1"/>
  <c r="G193" i="1"/>
  <c r="G167" i="1" s="1"/>
  <c r="G141" i="1" s="1"/>
  <c r="G115" i="1" s="1"/>
  <c r="T192" i="1"/>
  <c r="T166" i="1" s="1"/>
  <c r="T140" i="1" s="1"/>
  <c r="T114" i="1" s="1"/>
  <c r="L192" i="1"/>
  <c r="L166" i="1" s="1"/>
  <c r="L140" i="1" s="1"/>
  <c r="L114" i="1" s="1"/>
  <c r="D192" i="1"/>
  <c r="D166" i="1" s="1"/>
  <c r="D140" i="1" s="1"/>
  <c r="D114" i="1" s="1"/>
  <c r="Q191" i="1"/>
  <c r="Q165" i="1" s="1"/>
  <c r="Q139" i="1" s="1"/>
  <c r="Q113" i="1" s="1"/>
  <c r="I191" i="1"/>
  <c r="I165" i="1" s="1"/>
  <c r="I139" i="1" s="1"/>
  <c r="I113" i="1" s="1"/>
  <c r="V190" i="1"/>
  <c r="V164" i="1" s="1"/>
  <c r="V138" i="1" s="1"/>
  <c r="V112" i="1" s="1"/>
  <c r="N190" i="1"/>
  <c r="N164" i="1" s="1"/>
  <c r="N138" i="1" s="1"/>
  <c r="N112" i="1" s="1"/>
  <c r="F190" i="1"/>
  <c r="F164" i="1" s="1"/>
  <c r="F138" i="1" s="1"/>
  <c r="F112" i="1" s="1"/>
  <c r="S189" i="1"/>
  <c r="S163" i="1" s="1"/>
  <c r="S137" i="1" s="1"/>
  <c r="S111" i="1" s="1"/>
  <c r="G189" i="1"/>
  <c r="G163" i="1" s="1"/>
  <c r="G137" i="1" s="1"/>
  <c r="G111" i="1" s="1"/>
  <c r="E189" i="1"/>
  <c r="E163" i="1" s="1"/>
  <c r="E137" i="1" s="1"/>
  <c r="E111" i="1" s="1"/>
  <c r="J195" i="1"/>
  <c r="J169" i="1" s="1"/>
  <c r="J143" i="1" s="1"/>
  <c r="J117" i="1" s="1"/>
  <c r="W194" i="1"/>
  <c r="W168" i="1" s="1"/>
  <c r="W142" i="1" s="1"/>
  <c r="W116" i="1" s="1"/>
  <c r="O194" i="1"/>
  <c r="O168" i="1" s="1"/>
  <c r="O142" i="1" s="1"/>
  <c r="O116" i="1" s="1"/>
  <c r="G194" i="1"/>
  <c r="G168" i="1" s="1"/>
  <c r="G142" i="1" s="1"/>
  <c r="G116" i="1" s="1"/>
  <c r="T193" i="1"/>
  <c r="T167" i="1" s="1"/>
  <c r="T141" i="1" s="1"/>
  <c r="T115" i="1" s="1"/>
  <c r="L193" i="1"/>
  <c r="L167" i="1" s="1"/>
  <c r="L141" i="1" s="1"/>
  <c r="L115" i="1" s="1"/>
  <c r="D193" i="1"/>
  <c r="D167" i="1" s="1"/>
  <c r="D141" i="1" s="1"/>
  <c r="D115" i="1" s="1"/>
  <c r="Q192" i="1"/>
  <c r="Q166" i="1" s="1"/>
  <c r="Q140" i="1" s="1"/>
  <c r="Q114" i="1" s="1"/>
  <c r="I192" i="1"/>
  <c r="I166" i="1" s="1"/>
  <c r="I140" i="1" s="1"/>
  <c r="I114" i="1" s="1"/>
  <c r="V191" i="1"/>
  <c r="V165" i="1" s="1"/>
  <c r="V139" i="1" s="1"/>
  <c r="V113" i="1" s="1"/>
  <c r="N191" i="1"/>
  <c r="N165" i="1" s="1"/>
  <c r="N139" i="1" s="1"/>
  <c r="N113" i="1" s="1"/>
  <c r="F191" i="1"/>
  <c r="F165" i="1" s="1"/>
  <c r="F139" i="1" s="1"/>
  <c r="F113" i="1" s="1"/>
  <c r="S190" i="1"/>
  <c r="S164" i="1" s="1"/>
  <c r="S138" i="1" s="1"/>
  <c r="S112" i="1" s="1"/>
  <c r="K190" i="1"/>
  <c r="K164" i="1" s="1"/>
  <c r="K138" i="1" s="1"/>
  <c r="K112" i="1" s="1"/>
  <c r="X189" i="1"/>
  <c r="X163" i="1" s="1"/>
  <c r="X137" i="1" s="1"/>
  <c r="X111" i="1" s="1"/>
  <c r="N189" i="1"/>
  <c r="N163" i="1" s="1"/>
  <c r="N137" i="1" s="1"/>
  <c r="N111" i="1" s="1"/>
  <c r="D187" i="1"/>
  <c r="D161" i="1" s="1"/>
  <c r="D135" i="1" s="1"/>
  <c r="D109" i="1" s="1"/>
  <c r="P200" i="1"/>
  <c r="P174" i="1" s="1"/>
  <c r="P148" i="1" s="1"/>
  <c r="P122" i="1" s="1"/>
  <c r="H200" i="1"/>
  <c r="H174" i="1" s="1"/>
  <c r="H148" i="1" s="1"/>
  <c r="H122" i="1" s="1"/>
  <c r="U199" i="1"/>
  <c r="U173" i="1" s="1"/>
  <c r="U147" i="1" s="1"/>
  <c r="U121" i="1" s="1"/>
  <c r="M199" i="1"/>
  <c r="M173" i="1" s="1"/>
  <c r="M147" i="1" s="1"/>
  <c r="M121" i="1" s="1"/>
  <c r="E199" i="1"/>
  <c r="E173" i="1" s="1"/>
  <c r="E147" i="1" s="1"/>
  <c r="E121" i="1" s="1"/>
  <c r="R198" i="1"/>
  <c r="R172" i="1" s="1"/>
  <c r="R146" i="1" s="1"/>
  <c r="R120" i="1" s="1"/>
  <c r="J198" i="1"/>
  <c r="J172" i="1" s="1"/>
  <c r="J146" i="1" s="1"/>
  <c r="J120" i="1" s="1"/>
  <c r="W197" i="1"/>
  <c r="W171" i="1" s="1"/>
  <c r="W145" i="1" s="1"/>
  <c r="W119" i="1" s="1"/>
  <c r="O197" i="1"/>
  <c r="O171" i="1" s="1"/>
  <c r="O145" i="1" s="1"/>
  <c r="O119" i="1" s="1"/>
  <c r="G197" i="1"/>
  <c r="G171" i="1" s="1"/>
  <c r="G145" i="1" s="1"/>
  <c r="G119" i="1" s="1"/>
  <c r="T196" i="1"/>
  <c r="T170" i="1" s="1"/>
  <c r="T144" i="1" s="1"/>
  <c r="T118" i="1" s="1"/>
  <c r="L196" i="1"/>
  <c r="L170" i="1" s="1"/>
  <c r="L144" i="1" s="1"/>
  <c r="L118" i="1" s="1"/>
  <c r="D196" i="1"/>
  <c r="D170" i="1" s="1"/>
  <c r="D144" i="1" s="1"/>
  <c r="D118" i="1" s="1"/>
  <c r="Q195" i="1"/>
  <c r="Q169" i="1" s="1"/>
  <c r="Q143" i="1" s="1"/>
  <c r="Q117" i="1" s="1"/>
  <c r="I195" i="1"/>
  <c r="I169" i="1" s="1"/>
  <c r="I143" i="1" s="1"/>
  <c r="I117" i="1" s="1"/>
  <c r="V194" i="1"/>
  <c r="V168" i="1" s="1"/>
  <c r="V142" i="1" s="1"/>
  <c r="V116" i="1" s="1"/>
  <c r="N194" i="1"/>
  <c r="N168" i="1" s="1"/>
  <c r="N142" i="1" s="1"/>
  <c r="N116" i="1" s="1"/>
  <c r="F194" i="1"/>
  <c r="F168" i="1" s="1"/>
  <c r="F142" i="1" s="1"/>
  <c r="F116" i="1" s="1"/>
  <c r="S193" i="1"/>
  <c r="S167" i="1" s="1"/>
  <c r="S141" i="1" s="1"/>
  <c r="S115" i="1" s="1"/>
  <c r="K193" i="1"/>
  <c r="K167" i="1" s="1"/>
  <c r="K141" i="1" s="1"/>
  <c r="K115" i="1" s="1"/>
  <c r="X192" i="1"/>
  <c r="X166" i="1" s="1"/>
  <c r="X140" i="1" s="1"/>
  <c r="X114" i="1" s="1"/>
  <c r="P192" i="1"/>
  <c r="P166" i="1" s="1"/>
  <c r="P140" i="1" s="1"/>
  <c r="P114" i="1" s="1"/>
  <c r="H192" i="1"/>
  <c r="H166" i="1" s="1"/>
  <c r="H140" i="1" s="1"/>
  <c r="H114" i="1" s="1"/>
  <c r="U191" i="1"/>
  <c r="U165" i="1" s="1"/>
  <c r="U139" i="1" s="1"/>
  <c r="U113" i="1" s="1"/>
  <c r="M191" i="1"/>
  <c r="M165" i="1" s="1"/>
  <c r="M139" i="1" s="1"/>
  <c r="M113" i="1" s="1"/>
  <c r="E191" i="1"/>
  <c r="E165" i="1" s="1"/>
  <c r="E139" i="1" s="1"/>
  <c r="E113" i="1" s="1"/>
  <c r="R190" i="1"/>
  <c r="R164" i="1" s="1"/>
  <c r="R138" i="1" s="1"/>
  <c r="R112" i="1" s="1"/>
  <c r="J190" i="1"/>
  <c r="J164" i="1" s="1"/>
  <c r="J138" i="1" s="1"/>
  <c r="J112" i="1" s="1"/>
  <c r="W189" i="1"/>
  <c r="W163" i="1" s="1"/>
  <c r="W137" i="1" s="1"/>
  <c r="W111" i="1" s="1"/>
  <c r="M189" i="1"/>
  <c r="M163" i="1" s="1"/>
  <c r="M137" i="1" s="1"/>
  <c r="M111" i="1" s="1"/>
  <c r="O200" i="1"/>
  <c r="O174" i="1" s="1"/>
  <c r="O148" i="1" s="1"/>
  <c r="O122" i="1" s="1"/>
  <c r="G200" i="1"/>
  <c r="G174" i="1" s="1"/>
  <c r="G148" i="1" s="1"/>
  <c r="G122" i="1" s="1"/>
  <c r="T199" i="1"/>
  <c r="T173" i="1" s="1"/>
  <c r="T147" i="1" s="1"/>
  <c r="T121" i="1" s="1"/>
  <c r="L199" i="1"/>
  <c r="L173" i="1" s="1"/>
  <c r="L147" i="1" s="1"/>
  <c r="L121" i="1" s="1"/>
  <c r="D199" i="1"/>
  <c r="D173" i="1" s="1"/>
  <c r="D147" i="1" s="1"/>
  <c r="D121" i="1" s="1"/>
  <c r="Q198" i="1"/>
  <c r="Q172" i="1" s="1"/>
  <c r="Q146" i="1" s="1"/>
  <c r="Q120" i="1" s="1"/>
  <c r="I198" i="1"/>
  <c r="I172" i="1" s="1"/>
  <c r="I146" i="1" s="1"/>
  <c r="I120" i="1" s="1"/>
  <c r="V197" i="1"/>
  <c r="V171" i="1" s="1"/>
  <c r="V145" i="1" s="1"/>
  <c r="V119" i="1" s="1"/>
  <c r="N197" i="1"/>
  <c r="N171" i="1" s="1"/>
  <c r="N145" i="1" s="1"/>
  <c r="N119" i="1" s="1"/>
  <c r="F197" i="1"/>
  <c r="F171" i="1" s="1"/>
  <c r="F145" i="1" s="1"/>
  <c r="F119" i="1" s="1"/>
  <c r="S196" i="1"/>
  <c r="S170" i="1" s="1"/>
  <c r="S144" i="1" s="1"/>
  <c r="S118" i="1" s="1"/>
  <c r="K196" i="1"/>
  <c r="K170" i="1" s="1"/>
  <c r="K144" i="1" s="1"/>
  <c r="K118" i="1" s="1"/>
  <c r="X195" i="1"/>
  <c r="X169" i="1" s="1"/>
  <c r="X143" i="1" s="1"/>
  <c r="X117" i="1" s="1"/>
  <c r="P195" i="1"/>
  <c r="P169" i="1" s="1"/>
  <c r="P143" i="1" s="1"/>
  <c r="P117" i="1" s="1"/>
  <c r="H195" i="1"/>
  <c r="H169" i="1" s="1"/>
  <c r="H143" i="1" s="1"/>
  <c r="H117" i="1" s="1"/>
  <c r="U194" i="1"/>
  <c r="U168" i="1" s="1"/>
  <c r="U142" i="1" s="1"/>
  <c r="U116" i="1" s="1"/>
  <c r="M194" i="1"/>
  <c r="M168" i="1" s="1"/>
  <c r="M142" i="1" s="1"/>
  <c r="M116" i="1" s="1"/>
  <c r="E194" i="1"/>
  <c r="E168" i="1" s="1"/>
  <c r="E142" i="1" s="1"/>
  <c r="E116" i="1" s="1"/>
  <c r="R193" i="1"/>
  <c r="R167" i="1" s="1"/>
  <c r="R141" i="1" s="1"/>
  <c r="R115" i="1" s="1"/>
  <c r="J193" i="1"/>
  <c r="J167" i="1" s="1"/>
  <c r="J141" i="1" s="1"/>
  <c r="J115" i="1" s="1"/>
  <c r="W192" i="1"/>
  <c r="W166" i="1" s="1"/>
  <c r="W140" i="1" s="1"/>
  <c r="W114" i="1" s="1"/>
  <c r="O192" i="1"/>
  <c r="O166" i="1" s="1"/>
  <c r="O140" i="1" s="1"/>
  <c r="O114" i="1" s="1"/>
  <c r="G192" i="1"/>
  <c r="G166" i="1" s="1"/>
  <c r="G140" i="1" s="1"/>
  <c r="G114" i="1" s="1"/>
  <c r="T191" i="1"/>
  <c r="T165" i="1" s="1"/>
  <c r="T139" i="1" s="1"/>
  <c r="T113" i="1" s="1"/>
  <c r="L191" i="1"/>
  <c r="L165" i="1" s="1"/>
  <c r="L139" i="1" s="1"/>
  <c r="L113" i="1" s="1"/>
  <c r="D191" i="1"/>
  <c r="D165" i="1" s="1"/>
  <c r="D139" i="1" s="1"/>
  <c r="D113" i="1" s="1"/>
  <c r="Q190" i="1"/>
  <c r="Q164" i="1" s="1"/>
  <c r="Q138" i="1" s="1"/>
  <c r="Q112" i="1" s="1"/>
  <c r="I190" i="1"/>
  <c r="I164" i="1" s="1"/>
  <c r="I138" i="1" s="1"/>
  <c r="I112" i="1" s="1"/>
  <c r="V189" i="1"/>
  <c r="V163" i="1" s="1"/>
  <c r="V137" i="1" s="1"/>
  <c r="V111" i="1" s="1"/>
  <c r="D189" i="1"/>
  <c r="D163" i="1" s="1"/>
  <c r="D137" i="1" s="1"/>
  <c r="D111" i="1" s="1"/>
  <c r="R189" i="1"/>
  <c r="R163" i="1" s="1"/>
  <c r="R137" i="1" s="1"/>
  <c r="R111" i="1" s="1"/>
  <c r="J189" i="1"/>
  <c r="J163" i="1" s="1"/>
  <c r="J137" i="1" s="1"/>
  <c r="J111" i="1" s="1"/>
  <c r="Q189" i="1"/>
  <c r="Q163" i="1" s="1"/>
  <c r="Q137" i="1" s="1"/>
  <c r="Q111" i="1" s="1"/>
  <c r="O137" i="1"/>
  <c r="O111" i="1" s="1"/>
  <c r="K142" i="1"/>
  <c r="K116" i="1" s="1"/>
  <c r="H141" i="1"/>
  <c r="H115" i="1" s="1"/>
  <c r="E140" i="1"/>
  <c r="E114" i="1" s="1"/>
  <c r="J139" i="1"/>
  <c r="J113" i="1" s="1"/>
  <c r="W138" i="1"/>
  <c r="W112" i="1" s="1"/>
  <c r="O138" i="1"/>
  <c r="O112" i="1" s="1"/>
  <c r="T137" i="1"/>
  <c r="T111" i="1" s="1"/>
  <c r="I6" i="1"/>
  <c r="I7" i="1"/>
  <c r="I8" i="1"/>
  <c r="I9" i="1"/>
  <c r="I10" i="1"/>
  <c r="I11" i="1"/>
  <c r="I12" i="1"/>
  <c r="H6" i="1"/>
  <c r="AJ6" i="1" s="1"/>
  <c r="H7" i="1"/>
  <c r="AJ7" i="1" s="1"/>
  <c r="H8" i="1"/>
  <c r="AJ8" i="1" s="1"/>
  <c r="H9" i="1"/>
  <c r="AJ9" i="1" s="1"/>
  <c r="H10" i="1"/>
  <c r="AJ10" i="1" s="1"/>
  <c r="H11" i="1"/>
  <c r="AJ11" i="1" s="1"/>
  <c r="H12" i="1"/>
  <c r="AJ12" i="1" s="1"/>
  <c r="H5" i="1"/>
  <c r="AJ5" i="1" s="1"/>
  <c r="G6" i="1"/>
  <c r="G7" i="1"/>
  <c r="G8" i="1"/>
  <c r="G9" i="1"/>
  <c r="G10" i="1"/>
  <c r="G11" i="1"/>
  <c r="G12" i="1"/>
  <c r="G5" i="1"/>
  <c r="I5" i="1"/>
  <c r="S5" i="1" l="1"/>
  <c r="U5" i="1" s="1"/>
  <c r="R5" i="1" s="1"/>
  <c r="T5" i="1" s="1"/>
  <c r="AX6" i="1"/>
  <c r="S6" i="1"/>
  <c r="U6" i="1" s="1"/>
  <c r="R6" i="1" s="1"/>
  <c r="T6" i="1" s="1"/>
  <c r="K6" i="1" s="1"/>
  <c r="AX5" i="1"/>
  <c r="AX12" i="1"/>
  <c r="S12" i="1"/>
  <c r="U12" i="1" s="1"/>
  <c r="AX7" i="1"/>
  <c r="S7" i="1"/>
  <c r="U7" i="1" s="1"/>
  <c r="AX11" i="1"/>
  <c r="S11" i="1"/>
  <c r="U11" i="1" s="1"/>
  <c r="AX10" i="1"/>
  <c r="S10" i="1"/>
  <c r="U10" i="1" s="1"/>
  <c r="AX9" i="1"/>
  <c r="S9" i="1"/>
  <c r="U9" i="1" s="1"/>
  <c r="AX8" i="1"/>
  <c r="S8" i="1"/>
  <c r="U8" i="1" s="1"/>
  <c r="AY8" i="1" l="1"/>
  <c r="AK8" i="1"/>
  <c r="R8" i="1"/>
  <c r="T8" i="1" s="1"/>
  <c r="AR8" i="1"/>
  <c r="Y8" i="1"/>
  <c r="BF8" i="1"/>
  <c r="BF7" i="1"/>
  <c r="Y7" i="1"/>
  <c r="AK7" i="1"/>
  <c r="AR7" i="1"/>
  <c r="AY7" i="1"/>
  <c r="R7" i="1"/>
  <c r="T7" i="1" s="1"/>
  <c r="AK12" i="1"/>
  <c r="BF12" i="1"/>
  <c r="R12" i="1"/>
  <c r="T12" i="1" s="1"/>
  <c r="AY12" i="1"/>
  <c r="Y12" i="1"/>
  <c r="AR12" i="1"/>
  <c r="R10" i="1"/>
  <c r="T10" i="1" s="1"/>
  <c r="Y10" i="1"/>
  <c r="AK10" i="1"/>
  <c r="AY10" i="1"/>
  <c r="BF10" i="1"/>
  <c r="AR10" i="1"/>
  <c r="AR5" i="1"/>
  <c r="AK5" i="1"/>
  <c r="BF5" i="1"/>
  <c r="AY5" i="1"/>
  <c r="Y5" i="1"/>
  <c r="AR11" i="1"/>
  <c r="BF11" i="1"/>
  <c r="AY11" i="1"/>
  <c r="AK11" i="1"/>
  <c r="R11" i="1"/>
  <c r="T11" i="1" s="1"/>
  <c r="Y11" i="1"/>
  <c r="AR6" i="1"/>
  <c r="AK6" i="1"/>
  <c r="Y6" i="1"/>
  <c r="AY6" i="1"/>
  <c r="BF6" i="1"/>
  <c r="AK9" i="1"/>
  <c r="AR9" i="1"/>
  <c r="BF9" i="1"/>
  <c r="AY9" i="1"/>
  <c r="R9" i="1"/>
  <c r="T9" i="1" s="1"/>
  <c r="Y9" i="1"/>
  <c r="AA12" i="1" l="1"/>
  <c r="BH12" i="1"/>
  <c r="BB12" i="1"/>
  <c r="BA12" i="1"/>
  <c r="K12" i="1"/>
  <c r="M12" i="1" s="1"/>
  <c r="Z12" i="1"/>
  <c r="AM12" i="1"/>
  <c r="BI12" i="1"/>
  <c r="AT12" i="1"/>
  <c r="AE12" i="1"/>
  <c r="AU12" i="1"/>
  <c r="AF12" i="1"/>
  <c r="AN12" i="1"/>
  <c r="AU6" i="1"/>
  <c r="AN6" i="1"/>
  <c r="M6" i="1"/>
  <c r="AE6" i="1"/>
  <c r="BB6" i="1"/>
  <c r="AA6" i="1"/>
  <c r="BH6" i="1"/>
  <c r="Z6" i="1"/>
  <c r="AF6" i="1"/>
  <c r="BA6" i="1"/>
  <c r="AM6" i="1"/>
  <c r="BI6" i="1"/>
  <c r="AT6" i="1"/>
  <c r="BI5" i="1"/>
  <c r="AM5" i="1"/>
  <c r="K5" i="1"/>
  <c r="M5" i="1" s="1"/>
  <c r="AT5" i="1"/>
  <c r="BB5" i="1"/>
  <c r="BA5" i="1"/>
  <c r="AU5" i="1"/>
  <c r="Z5" i="1"/>
  <c r="AN5" i="1"/>
  <c r="AF5" i="1"/>
  <c r="AE5" i="1"/>
  <c r="AA5" i="1"/>
  <c r="BH5" i="1"/>
  <c r="AF7" i="1"/>
  <c r="BA7" i="1"/>
  <c r="AE7" i="1"/>
  <c r="AM7" i="1"/>
  <c r="BI7" i="1"/>
  <c r="AT7" i="1"/>
  <c r="Z7" i="1"/>
  <c r="BB7" i="1"/>
  <c r="K7" i="1"/>
  <c r="M7" i="1" s="1"/>
  <c r="AU7" i="1"/>
  <c r="AN7" i="1"/>
  <c r="AA7" i="1"/>
  <c r="BH7" i="1"/>
  <c r="AA11" i="1"/>
  <c r="BH11" i="1"/>
  <c r="BA11" i="1"/>
  <c r="K11" i="1"/>
  <c r="M11" i="1" s="1"/>
  <c r="AM11" i="1"/>
  <c r="AN11" i="1"/>
  <c r="BI11" i="1"/>
  <c r="AT11" i="1"/>
  <c r="BB11" i="1"/>
  <c r="Z11" i="1"/>
  <c r="AU11" i="1"/>
  <c r="AF11" i="1"/>
  <c r="AE11" i="1"/>
  <c r="BI10" i="1"/>
  <c r="AT10" i="1"/>
  <c r="BB10" i="1"/>
  <c r="AN10" i="1"/>
  <c r="Z10" i="1"/>
  <c r="AU10" i="1"/>
  <c r="AF10" i="1"/>
  <c r="BH10" i="1"/>
  <c r="AE10" i="1"/>
  <c r="AA10" i="1"/>
  <c r="AM10" i="1"/>
  <c r="BA10" i="1"/>
  <c r="K10" i="1"/>
  <c r="M10" i="1" s="1"/>
  <c r="AA9" i="1"/>
  <c r="AF9" i="1"/>
  <c r="BH9" i="1"/>
  <c r="BA9" i="1"/>
  <c r="AN9" i="1"/>
  <c r="AT9" i="1"/>
  <c r="AE9" i="1"/>
  <c r="BI9" i="1"/>
  <c r="AM9" i="1"/>
  <c r="K9" i="1"/>
  <c r="M9" i="1" s="1"/>
  <c r="BB9" i="1"/>
  <c r="AU9" i="1"/>
  <c r="Z9" i="1"/>
  <c r="AF8" i="1"/>
  <c r="BA8" i="1"/>
  <c r="AM8" i="1"/>
  <c r="AE8" i="1"/>
  <c r="K8" i="1"/>
  <c r="M8" i="1" s="1"/>
  <c r="BI8" i="1"/>
  <c r="AT8" i="1"/>
  <c r="Z8" i="1"/>
  <c r="BH8" i="1"/>
  <c r="BB8" i="1"/>
  <c r="AN8" i="1"/>
  <c r="AU8" i="1"/>
  <c r="AA8" i="1"/>
  <c r="AW9" i="1" l="1"/>
  <c r="AW6" i="1"/>
  <c r="AW8" i="1"/>
  <c r="AI8" i="1"/>
  <c r="BD8" i="1"/>
  <c r="X11" i="1"/>
  <c r="AC12" i="1"/>
  <c r="AW12" i="1"/>
  <c r="X8" i="1"/>
  <c r="AI9" i="1"/>
  <c r="AC10" i="1"/>
  <c r="AC8" i="1"/>
  <c r="AP7" i="1"/>
  <c r="AW11" i="1"/>
  <c r="AC7" i="1"/>
  <c r="X12" i="1"/>
  <c r="BD6" i="1"/>
  <c r="AI12" i="1"/>
  <c r="X10" i="1"/>
  <c r="X7" i="1"/>
  <c r="X6" i="1"/>
  <c r="AP10" i="1"/>
  <c r="BD11" i="1"/>
  <c r="AW10" i="1"/>
  <c r="AC11" i="1"/>
  <c r="BD7" i="1"/>
  <c r="BD12" i="1"/>
  <c r="AC9" i="1"/>
  <c r="AP9" i="1"/>
  <c r="AP11" i="1"/>
  <c r="AC5" i="1"/>
  <c r="BD5" i="1"/>
  <c r="AI5" i="1"/>
  <c r="AP5" i="1"/>
  <c r="M14" i="1"/>
  <c r="AI10" i="1"/>
  <c r="X9" i="1"/>
  <c r="AI7" i="1"/>
  <c r="X5" i="1"/>
  <c r="AP6" i="1"/>
  <c r="AP8" i="1"/>
  <c r="BD9" i="1"/>
  <c r="BD10" i="1"/>
  <c r="AI11" i="1"/>
  <c r="AW7" i="1"/>
  <c r="AC6" i="1"/>
  <c r="AP12" i="1"/>
  <c r="AW5" i="1"/>
  <c r="AI6" i="1"/>
  <c r="Y14" i="1" l="1"/>
  <c r="AX14" i="1"/>
  <c r="BB14" i="1" s="1"/>
  <c r="AJ14" i="1"/>
  <c r="AQ14" i="1"/>
  <c r="BE14" i="1"/>
  <c r="BI14" i="1" s="1"/>
  <c r="AD14" i="1"/>
  <c r="AF14" i="1" s="1"/>
  <c r="AU14" i="1" l="1"/>
  <c r="AN14" i="1"/>
  <c r="AA14" i="1"/>
</calcChain>
</file>

<file path=xl/sharedStrings.xml><?xml version="1.0" encoding="utf-8"?>
<sst xmlns="http://schemas.openxmlformats.org/spreadsheetml/2006/main" count="149" uniqueCount="78">
  <si>
    <t>Input</t>
  </si>
  <si>
    <t>Hidden</t>
  </si>
  <si>
    <t>Output</t>
  </si>
  <si>
    <t>x1</t>
  </si>
  <si>
    <t>y</t>
  </si>
  <si>
    <t>Data</t>
  </si>
  <si>
    <t>x2</t>
  </si>
  <si>
    <t>Normalised Data</t>
  </si>
  <si>
    <t>w1</t>
  </si>
  <si>
    <t>w2</t>
  </si>
  <si>
    <t>w3</t>
  </si>
  <si>
    <t>b1</t>
  </si>
  <si>
    <t>b2</t>
  </si>
  <si>
    <t>b3</t>
  </si>
  <si>
    <t>a2</t>
  </si>
  <si>
    <t>z2</t>
  </si>
  <si>
    <t>z1</t>
  </si>
  <si>
    <t>a1</t>
  </si>
  <si>
    <t>Prediction</t>
  </si>
  <si>
    <t>dC/dw3</t>
  </si>
  <si>
    <t>da2/dz2</t>
  </si>
  <si>
    <t>Cost</t>
  </si>
  <si>
    <t>dC/db3</t>
  </si>
  <si>
    <t>dz2/db2</t>
  </si>
  <si>
    <t>C = \sum_{i=1}^{n} (a2_{i} - y_{i})^2</t>
  </si>
  <si>
    <t>.</t>
  </si>
  <si>
    <t xml:space="preserve">z2 = (a1 * w3) + b3 </t>
  </si>
  <si>
    <t>a2 = \sigma (z2)</t>
  </si>
  <si>
    <t xml:space="preserve">z1 = (x1 * w1) + b1 + (x2 * w2) + b2 </t>
  </si>
  <si>
    <t>\frac{da2}{dz2} = \sigma (z2). (1 - \sigma (z2))</t>
  </si>
  <si>
    <t>\frac{dC}{da2} = a(a2 - y)</t>
  </si>
  <si>
    <t>dz2/dw3</t>
  </si>
  <si>
    <t>\frac{dC}{dw3} = \frac{dz2}{dw3}.\frac{da2}{dz2}.\frac{dC}{da2}</t>
  </si>
  <si>
    <t>\frac{dz2}{dw3} = a1</t>
  </si>
  <si>
    <t>\frac{dC}{db3} = \frac{dz2}{db3}.\frac{da2}{dz2}.\frac{dC}{da2}</t>
  </si>
  <si>
    <t>\frac{dz2}{db3} = 1</t>
  </si>
  <si>
    <t>\frac{dC}{dw2} = \frac{dz1}{dw2}.\frac{da1}{dz1}.\frac{dz2}{da1}.\frac{da2}{dz2}.\frac{dC}{da2}</t>
  </si>
  <si>
    <t>\frac{dC}{db2} = \frac{dz1}{db2}.\frac{da1}{dz1}.\frac{dz2}{da1}.\frac{da2}{dz2}.\frac{dC}{da2}</t>
  </si>
  <si>
    <t>\frac{dC}{dw1} = \frac{dz1}{dw1}.\frac{da1}{dz1}.\frac{dz2}{da1}.\frac{da2}{dz2}.\frac{dC}{da2}</t>
  </si>
  <si>
    <t>\frac{dC}{db1} = \frac{dz1}{db1}.\frac{da1}{dz1}.\frac{dz2}{da1}.\frac{da2}{dz2}.\frac{dC}{da2}</t>
  </si>
  <si>
    <t>a1 = \sigma (z1)</t>
  </si>
  <si>
    <t>\sigma (z2) = \frac{1}{1 + e^{-z2}}</t>
  </si>
  <si>
    <t>\sigma (z1) = \frac{1}{1 + e^{-z1}}</t>
  </si>
  <si>
    <t>\frac{dz2}{da1} = w3</t>
  </si>
  <si>
    <t>\frac{da1}{dz1} = \sigma (z1). (1 - \sigma (z1))</t>
  </si>
  <si>
    <t>\frac{dz1}{dw2} = x2</t>
  </si>
  <si>
    <t>\frac{dz1}{db2} = 1</t>
  </si>
  <si>
    <t>\frac{dz1}{db1} = 1</t>
  </si>
  <si>
    <t>\frac{dz1}{dw1} = x1</t>
  </si>
  <si>
    <t>dz2/da1</t>
  </si>
  <si>
    <t>da1/dz1</t>
  </si>
  <si>
    <t>dz1/dw2</t>
  </si>
  <si>
    <t>dC/dw2</t>
  </si>
  <si>
    <t>dC/da2</t>
  </si>
  <si>
    <t>dz1/db2</t>
  </si>
  <si>
    <t>dC/db2</t>
  </si>
  <si>
    <t>dz1/dw1</t>
  </si>
  <si>
    <t>dC/dw1</t>
  </si>
  <si>
    <t>dz1/db1</t>
  </si>
  <si>
    <t>dC/db1</t>
  </si>
  <si>
    <t>Gradient:</t>
  </si>
  <si>
    <t>N.B./ Negative gradient means increase</t>
  </si>
  <si>
    <t>Learning Rate</t>
  </si>
  <si>
    <t>PREDICTION (a2)</t>
  </si>
  <si>
    <t>X1</t>
  </si>
  <si>
    <t>w3 iterations</t>
  </si>
  <si>
    <t>Weight</t>
  </si>
  <si>
    <t>Gradient</t>
  </si>
  <si>
    <t>b3 iterations</t>
  </si>
  <si>
    <t>w2 iterations</t>
  </si>
  <si>
    <t>b2 iterations</t>
  </si>
  <si>
    <t>w1 iterations</t>
  </si>
  <si>
    <t>b1 iterations</t>
  </si>
  <si>
    <t>Overall</t>
  </si>
  <si>
    <t>Bias</t>
  </si>
  <si>
    <t>Start</t>
  </si>
  <si>
    <t>End</t>
  </si>
  <si>
    <t>Step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</si>
</sst>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theme="1"/>
      </right>
      <top/>
      <bottom/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/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 style="medium">
        <color theme="1"/>
      </left>
      <right/>
      <top style="medium">
        <color theme="1"/>
      </top>
      <bottom/>
      <diagonal/>
    </border>
    <border>
      <left style="medium">
        <color theme="1"/>
      </left>
      <right/>
      <top/>
      <bottom/>
      <diagonal/>
    </border>
    <border>
      <left style="medium">
        <color theme="1"/>
      </left>
      <right/>
      <top/>
      <bottom style="medium">
        <color theme="1"/>
      </bottom>
      <diagonal/>
    </border>
  </borders>
  <cellStyleXfs count="1">
    <xf numFmtId="0" fontId="0" fillId="0" borderId="0"/>
  </cellStyleXfs>
  <cellXfs count="66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2" fontId="0" fillId="0" borderId="0" xfId="0" applyNumberFormat="1"/>
    <xf numFmtId="0" fontId="1" fillId="0" borderId="0" xfId="0" applyFont="1"/>
    <xf numFmtId="0" fontId="0" fillId="0" borderId="4" xfId="0" applyBorder="1"/>
    <xf numFmtId="0" fontId="0" fillId="0" borderId="0" xfId="0" applyBorder="1"/>
    <xf numFmtId="0" fontId="0" fillId="0" borderId="5" xfId="0" applyBorder="1"/>
    <xf numFmtId="2" fontId="0" fillId="0" borderId="4" xfId="0" applyNumberFormat="1" applyBorder="1"/>
    <xf numFmtId="2" fontId="0" fillId="0" borderId="0" xfId="0" applyNumberFormat="1" applyBorder="1"/>
    <xf numFmtId="2" fontId="0" fillId="0" borderId="5" xfId="0" applyNumberFormat="1" applyBorder="1"/>
    <xf numFmtId="2" fontId="1" fillId="0" borderId="6" xfId="0" applyNumberFormat="1" applyFont="1" applyBorder="1"/>
    <xf numFmtId="0" fontId="0" fillId="0" borderId="7" xfId="0" applyBorder="1"/>
    <xf numFmtId="2" fontId="1" fillId="0" borderId="7" xfId="0" applyNumberFormat="1" applyFont="1" applyBorder="1" applyAlignment="1">
      <alignment horizontal="center"/>
    </xf>
    <xf numFmtId="0" fontId="1" fillId="0" borderId="7" xfId="0" applyFont="1" applyBorder="1"/>
    <xf numFmtId="2" fontId="1" fillId="0" borderId="7" xfId="0" applyNumberFormat="1" applyFont="1" applyBorder="1"/>
    <xf numFmtId="0" fontId="1" fillId="0" borderId="1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0" xfId="0" applyFont="1" applyFill="1" applyBorder="1"/>
    <xf numFmtId="0" fontId="1" fillId="0" borderId="0" xfId="0" applyFont="1" applyFill="1" applyBorder="1" applyAlignment="1">
      <alignment horizontal="left" vertical="center"/>
    </xf>
    <xf numFmtId="0" fontId="0" fillId="0" borderId="9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7" xfId="0" applyBorder="1"/>
    <xf numFmtId="165" fontId="4" fillId="0" borderId="17" xfId="0" applyNumberFormat="1" applyFont="1" applyBorder="1"/>
    <xf numFmtId="165" fontId="4" fillId="0" borderId="14" xfId="0" applyNumberFormat="1" applyFont="1" applyBorder="1"/>
    <xf numFmtId="165" fontId="4" fillId="0" borderId="15" xfId="0" applyNumberFormat="1" applyFont="1" applyBorder="1"/>
    <xf numFmtId="165" fontId="4" fillId="0" borderId="18" xfId="0" applyNumberFormat="1" applyFont="1" applyBorder="1"/>
    <xf numFmtId="165" fontId="4" fillId="0" borderId="0" xfId="0" applyNumberFormat="1" applyFont="1" applyBorder="1"/>
    <xf numFmtId="165" fontId="4" fillId="0" borderId="9" xfId="0" applyNumberFormat="1" applyFont="1" applyBorder="1"/>
    <xf numFmtId="165" fontId="4" fillId="0" borderId="19" xfId="0" applyNumberFormat="1" applyFont="1" applyBorder="1"/>
    <xf numFmtId="165" fontId="4" fillId="0" borderId="12" xfId="0" applyNumberFormat="1" applyFont="1" applyBorder="1"/>
    <xf numFmtId="165" fontId="4" fillId="0" borderId="13" xfId="0" applyNumberFormat="1" applyFont="1" applyBorder="1"/>
    <xf numFmtId="2" fontId="4" fillId="0" borderId="0" xfId="0" applyNumberFormat="1" applyFont="1" applyBorder="1"/>
    <xf numFmtId="2" fontId="4" fillId="0" borderId="14" xfId="0" applyNumberFormat="1" applyFont="1" applyBorder="1"/>
    <xf numFmtId="2" fontId="4" fillId="0" borderId="17" xfId="0" applyNumberFormat="1" applyFont="1" applyBorder="1"/>
    <xf numFmtId="2" fontId="4" fillId="0" borderId="15" xfId="0" applyNumberFormat="1" applyFont="1" applyBorder="1"/>
    <xf numFmtId="2" fontId="4" fillId="0" borderId="18" xfId="0" applyNumberFormat="1" applyFont="1" applyBorder="1"/>
    <xf numFmtId="2" fontId="4" fillId="0" borderId="9" xfId="0" applyNumberFormat="1" applyFont="1" applyBorder="1"/>
    <xf numFmtId="2" fontId="4" fillId="0" borderId="19" xfId="0" applyNumberFormat="1" applyFont="1" applyBorder="1"/>
    <xf numFmtId="2" fontId="4" fillId="0" borderId="12" xfId="0" applyNumberFormat="1" applyFont="1" applyBorder="1"/>
    <xf numFmtId="2" fontId="4" fillId="0" borderId="13" xfId="0" applyNumberFormat="1" applyFont="1" applyBorder="1"/>
    <xf numFmtId="2" fontId="1" fillId="0" borderId="3" xfId="0" applyNumberFormat="1" applyFont="1" applyBorder="1"/>
    <xf numFmtId="2" fontId="1" fillId="0" borderId="8" xfId="0" applyNumberFormat="1" applyFont="1" applyBorder="1"/>
    <xf numFmtId="2" fontId="1" fillId="0" borderId="5" xfId="0" applyNumberFormat="1" applyFont="1" applyBorder="1"/>
    <xf numFmtId="0" fontId="0" fillId="0" borderId="0" xfId="0" applyAlignment="1">
      <alignment horizontal="center"/>
    </xf>
    <xf numFmtId="0" fontId="2" fillId="0" borderId="1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3" fillId="0" borderId="19" xfId="0" applyFont="1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3" fillId="0" borderId="16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0" xfId="0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600" b="1">
                <a:solidFill>
                  <a:schemeClr val="tx1"/>
                </a:solidFill>
              </a:rPr>
              <a:t>Classification</a:t>
            </a:r>
            <a:r>
              <a:rPr lang="en-GB" sz="1600" b="1" baseline="0">
                <a:solidFill>
                  <a:schemeClr val="tx1"/>
                </a:solidFill>
              </a:rPr>
              <a:t> Prediction</a:t>
            </a:r>
            <a:endParaRPr lang="en-GB" sz="1600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90"/>
      <c:rotY val="0"/>
      <c:rAngAx val="0"/>
      <c:perspective val="0"/>
    </c:view3D>
    <c:floor>
      <c:thickness val="0"/>
      <c:spPr>
        <a:noFill/>
        <a:ln w="6350" cap="flat" cmpd="sng" algn="ctr">
          <a:noFill/>
          <a:prstDash val="solid"/>
          <a:round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5.0777777777777776E-2"/>
          <c:y val="7.5009471786415191E-2"/>
          <c:w val="0.85436567206596636"/>
          <c:h val="0.81986803370068861"/>
        </c:manualLayout>
      </c:layout>
      <c:surfaceChart>
        <c:wireframe val="0"/>
        <c:ser>
          <c:idx val="0"/>
          <c:order val="0"/>
          <c:tx>
            <c:v>0</c:v>
          </c:tx>
          <c:spPr>
            <a:solidFill>
              <a:schemeClr val="accent1">
                <a:shade val="36000"/>
              </a:schemeClr>
            </a:solidFill>
            <a:ln/>
            <a:effectLst/>
            <a:sp3d prstMaterial="flat"/>
          </c:spPr>
          <c:cat>
            <c:numRef>
              <c:f>'Main Page'!$D$130:$X$130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'Main Page'!$D$109:$X$109</c:f>
              <c:numCache>
                <c:formatCode>0.00</c:formatCode>
                <c:ptCount val="21"/>
                <c:pt idx="0">
                  <c:v>2.1610660340781213E-2</c:v>
                </c:pt>
                <c:pt idx="1">
                  <c:v>2.1640263424121023E-2</c:v>
                </c:pt>
                <c:pt idx="2">
                  <c:v>2.1684041829725588E-2</c:v>
                </c:pt>
                <c:pt idx="3">
                  <c:v>2.1748822028245351E-2</c:v>
                </c:pt>
                <c:pt idx="4">
                  <c:v>2.1844763636442176E-2</c:v>
                </c:pt>
                <c:pt idx="5">
                  <c:v>2.1987040753629585E-2</c:v>
                </c:pt>
                <c:pt idx="6">
                  <c:v>2.2198434455974234E-2</c:v>
                </c:pt>
                <c:pt idx="7">
                  <c:v>2.251340253303049E-2</c:v>
                </c:pt>
                <c:pt idx="8">
                  <c:v>2.2984623357338273E-2</c:v>
                </c:pt>
                <c:pt idx="9">
                  <c:v>2.3693848961780128E-2</c:v>
                </c:pt>
                <c:pt idx="10">
                  <c:v>2.477060640982108E-2</c:v>
                </c:pt>
                <c:pt idx="11">
                  <c:v>2.6425898784538274E-2</c:v>
                </c:pt>
                <c:pt idx="12">
                  <c:v>2.9016015858298657E-2</c:v>
                </c:pt>
                <c:pt idx="13">
                  <c:v>3.316968230726771E-2</c:v>
                </c:pt>
                <c:pt idx="14">
                  <c:v>4.0053809536858227E-2</c:v>
                </c:pt>
                <c:pt idx="15">
                  <c:v>5.1949086620600174E-2</c:v>
                </c:pt>
                <c:pt idx="16">
                  <c:v>7.3500722872396063E-2</c:v>
                </c:pt>
                <c:pt idx="17">
                  <c:v>0.11421526410636007</c:v>
                </c:pt>
                <c:pt idx="18">
                  <c:v>0.1918044956291852</c:v>
                </c:pt>
                <c:pt idx="19">
                  <c:v>0.32888481776316691</c:v>
                </c:pt>
                <c:pt idx="20">
                  <c:v>0.5235216594711487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3F-4768-8448-4082E61BA44F}"/>
            </c:ext>
          </c:extLst>
        </c:ser>
        <c:ser>
          <c:idx val="1"/>
          <c:order val="1"/>
          <c:tx>
            <c:v>0.05</c:v>
          </c:tx>
          <c:spPr>
            <a:solidFill>
              <a:schemeClr val="accent1">
                <a:shade val="42000"/>
              </a:schemeClr>
            </a:solidFill>
            <a:ln/>
            <a:effectLst/>
            <a:sp3d prstMaterial="flat"/>
          </c:spPr>
          <c:cat>
            <c:numRef>
              <c:f>'Main Page'!$D$130:$X$130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'Main Page'!$D$110:$X$110</c:f>
              <c:numCache>
                <c:formatCode>0.00</c:formatCode>
                <c:ptCount val="21"/>
                <c:pt idx="0">
                  <c:v>2.1633191981211022E-2</c:v>
                </c:pt>
                <c:pt idx="1">
                  <c:v>2.1673582333798756E-2</c:v>
                </c:pt>
                <c:pt idx="2">
                  <c:v>2.1733340613238134E-2</c:v>
                </c:pt>
                <c:pt idx="3">
                  <c:v>2.1821826003031109E-2</c:v>
                </c:pt>
                <c:pt idx="4">
                  <c:v>2.1953005291228067E-2</c:v>
                </c:pt>
                <c:pt idx="5">
                  <c:v>2.2147821309829719E-2</c:v>
                </c:pt>
                <c:pt idx="6">
                  <c:v>2.2437895557517299E-2</c:v>
                </c:pt>
                <c:pt idx="7">
                  <c:v>2.287144921601331E-2</c:v>
                </c:pt>
                <c:pt idx="8">
                  <c:v>2.352305502148757E-2</c:v>
                </c:pt>
                <c:pt idx="9">
                  <c:v>2.4510299851034697E-2</c:v>
                </c:pt>
                <c:pt idx="10">
                  <c:v>2.6023522553941105E-2</c:v>
                </c:pt>
                <c:pt idx="11">
                  <c:v>2.8381536526166068E-2</c:v>
                </c:pt>
                <c:pt idx="12">
                  <c:v>3.2141509608159168E-2</c:v>
                </c:pt>
                <c:pt idx="13">
                  <c:v>3.8326514490324162E-2</c:v>
                </c:pt>
                <c:pt idx="14">
                  <c:v>4.8915614996004518E-2</c:v>
                </c:pt>
                <c:pt idx="15">
                  <c:v>6.7912837279089533E-2</c:v>
                </c:pt>
                <c:pt idx="16">
                  <c:v>0.10354681043867692</c:v>
                </c:pt>
                <c:pt idx="17">
                  <c:v>0.17166256398810448</c:v>
                </c:pt>
                <c:pt idx="18">
                  <c:v>0.29513209174998317</c:v>
                </c:pt>
                <c:pt idx="19">
                  <c:v>0.48093013305140803</c:v>
                </c:pt>
                <c:pt idx="20">
                  <c:v>0.68113787312068275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D3F-4768-8448-4082E61BA44F}"/>
            </c:ext>
          </c:extLst>
        </c:ser>
        <c:ser>
          <c:idx val="2"/>
          <c:order val="2"/>
          <c:tx>
            <c:v>0.1</c:v>
          </c:tx>
          <c:spPr>
            <a:solidFill>
              <a:schemeClr val="accent1">
                <a:shade val="49000"/>
              </a:schemeClr>
            </a:solidFill>
            <a:ln/>
            <a:effectLst/>
            <a:sp3d prstMaterial="flat"/>
          </c:spPr>
          <c:cat>
            <c:numRef>
              <c:f>'Main Page'!$D$130:$X$130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'Main Page'!$D$111:$X$111</c:f>
              <c:numCache>
                <c:formatCode>0.00</c:formatCode>
                <c:ptCount val="21"/>
                <c:pt idx="0">
                  <c:v>2.166393273112098E-2</c:v>
                </c:pt>
                <c:pt idx="1">
                  <c:v>2.1719060277733352E-2</c:v>
                </c:pt>
                <c:pt idx="2">
                  <c:v>2.1800673008349036E-2</c:v>
                </c:pt>
                <c:pt idx="3">
                  <c:v>2.1921629038259675E-2</c:v>
                </c:pt>
                <c:pt idx="4">
                  <c:v>2.2101186877942255E-2</c:v>
                </c:pt>
                <c:pt idx="5">
                  <c:v>2.2368377278878488E-2</c:v>
                </c:pt>
                <c:pt idx="6">
                  <c:v>2.2767367363752258E-2</c:v>
                </c:pt>
                <c:pt idx="7">
                  <c:v>2.3366236685676708E-2</c:v>
                </c:pt>
                <c:pt idx="8">
                  <c:v>2.4271850774775401E-2</c:v>
                </c:pt>
                <c:pt idx="9">
                  <c:v>2.5656156295082094E-2</c:v>
                </c:pt>
                <c:pt idx="10">
                  <c:v>2.7804946654632821E-2</c:v>
                </c:pt>
                <c:pt idx="11">
                  <c:v>3.1213018238666478E-2</c:v>
                </c:pt>
                <c:pt idx="12">
                  <c:v>3.6779344497516353E-2</c:v>
                </c:pt>
                <c:pt idx="13">
                  <c:v>4.6224636185721556E-2</c:v>
                </c:pt>
                <c:pt idx="14">
                  <c:v>6.3003061561044987E-2</c:v>
                </c:pt>
                <c:pt idx="15">
                  <c:v>9.4220309908473354E-2</c:v>
                </c:pt>
                <c:pt idx="16">
                  <c:v>0.15389886738425934</c:v>
                </c:pt>
                <c:pt idx="17">
                  <c:v>0.26424699926261114</c:v>
                </c:pt>
                <c:pt idx="18">
                  <c:v>0.43905214333143</c:v>
                </c:pt>
                <c:pt idx="19">
                  <c:v>0.64261446386621934</c:v>
                </c:pt>
                <c:pt idx="20">
                  <c:v>0.80392957927608377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D3F-4768-8448-4082E61BA44F}"/>
            </c:ext>
          </c:extLst>
        </c:ser>
        <c:ser>
          <c:idx val="3"/>
          <c:order val="3"/>
          <c:tx>
            <c:v>0.15</c:v>
          </c:tx>
          <c:spPr>
            <a:solidFill>
              <a:schemeClr val="accent1">
                <a:shade val="55000"/>
              </a:schemeClr>
            </a:solidFill>
            <a:ln/>
            <a:effectLst/>
            <a:sp3d prstMaterial="flat"/>
          </c:spPr>
          <c:cat>
            <c:numRef>
              <c:f>'Main Page'!$D$130:$X$130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'Main Page'!$D$112:$X$112</c:f>
              <c:numCache>
                <c:formatCode>0.00</c:formatCode>
                <c:ptCount val="21"/>
                <c:pt idx="0">
                  <c:v>2.1705887326282487E-2</c:v>
                </c:pt>
                <c:pt idx="1">
                  <c:v>2.1781164680706542E-2</c:v>
                </c:pt>
                <c:pt idx="2">
                  <c:v>2.1892701786478012E-2</c:v>
                </c:pt>
                <c:pt idx="3">
                  <c:v>2.2058213063501583E-2</c:v>
                </c:pt>
                <c:pt idx="4">
                  <c:v>2.2304361090051197E-2</c:v>
                </c:pt>
                <c:pt idx="5">
                  <c:v>2.2671621981251038E-2</c:v>
                </c:pt>
                <c:pt idx="6">
                  <c:v>2.3222195086612291E-2</c:v>
                </c:pt>
                <c:pt idx="7">
                  <c:v>2.4053303413085956E-2</c:v>
                </c:pt>
                <c:pt idx="8">
                  <c:v>2.5320492003364985E-2</c:v>
                </c:pt>
                <c:pt idx="9">
                  <c:v>2.7280397704846658E-2</c:v>
                </c:pt>
                <c:pt idx="10">
                  <c:v>3.0373330618487283E-2</c:v>
                </c:pt>
                <c:pt idx="11">
                  <c:v>3.5390984693923745E-2</c:v>
                </c:pt>
                <c:pt idx="12">
                  <c:v>4.3832548659883792E-2</c:v>
                </c:pt>
                <c:pt idx="13">
                  <c:v>5.868131924765535E-2</c:v>
                </c:pt>
                <c:pt idx="14">
                  <c:v>8.6064468261854127E-2</c:v>
                </c:pt>
                <c:pt idx="15">
                  <c:v>0.13828892873338317</c:v>
                </c:pt>
                <c:pt idx="16">
                  <c:v>0.23628202433944906</c:v>
                </c:pt>
                <c:pt idx="17">
                  <c:v>0.39857214048832584</c:v>
                </c:pt>
                <c:pt idx="18">
                  <c:v>0.6020780964998298</c:v>
                </c:pt>
                <c:pt idx="19">
                  <c:v>0.77644091200997922</c:v>
                </c:pt>
                <c:pt idx="20">
                  <c:v>0.88302409550078587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D3F-4768-8448-4082E61BA44F}"/>
            </c:ext>
          </c:extLst>
        </c:ser>
        <c:ser>
          <c:idx val="4"/>
          <c:order val="4"/>
          <c:tx>
            <c:v>0.2</c:v>
          </c:tx>
          <c:spPr>
            <a:solidFill>
              <a:schemeClr val="accent1">
                <a:shade val="61000"/>
              </a:schemeClr>
            </a:solidFill>
            <a:ln/>
            <a:effectLst/>
            <a:sp3d prstMaterial="flat"/>
          </c:spPr>
          <c:cat>
            <c:numRef>
              <c:f>'Main Page'!$D$130:$X$130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'Main Page'!$D$113:$X$113</c:f>
              <c:numCache>
                <c:formatCode>0.00</c:formatCode>
                <c:ptCount val="21"/>
                <c:pt idx="0">
                  <c:v>2.176317219186678E-2</c:v>
                </c:pt>
                <c:pt idx="1">
                  <c:v>2.1866030304211505E-2</c:v>
                </c:pt>
                <c:pt idx="2">
                  <c:v>2.2018607983862529E-2</c:v>
                </c:pt>
                <c:pt idx="3">
                  <c:v>2.2245401621924107E-2</c:v>
                </c:pt>
                <c:pt idx="4">
                  <c:v>2.2583523760133988E-2</c:v>
                </c:pt>
                <c:pt idx="5">
                  <c:v>2.3089842150806731E-2</c:v>
                </c:pt>
                <c:pt idx="6">
                  <c:v>2.3852894090436644E-2</c:v>
                </c:pt>
                <c:pt idx="7">
                  <c:v>2.5013570713248025E-2</c:v>
                </c:pt>
                <c:pt idx="8">
                  <c:v>2.6802708872066035E-2</c:v>
                </c:pt>
                <c:pt idx="9">
                  <c:v>2.9612914296317815E-2</c:v>
                </c:pt>
                <c:pt idx="10">
                  <c:v>3.4142950446874168E-2</c:v>
                </c:pt>
                <c:pt idx="11">
                  <c:v>4.1701812615210526E-2</c:v>
                </c:pt>
                <c:pt idx="12">
                  <c:v>5.4869846686576788E-2</c:v>
                </c:pt>
                <c:pt idx="13">
                  <c:v>7.8926866544594618E-2</c:v>
                </c:pt>
                <c:pt idx="14">
                  <c:v>0.12460643503224157</c:v>
                </c:pt>
                <c:pt idx="15">
                  <c:v>0.21118626290138837</c:v>
                </c:pt>
                <c:pt idx="16">
                  <c:v>0.36006919071533477</c:v>
                </c:pt>
                <c:pt idx="17">
                  <c:v>0.56014871085743312</c:v>
                </c:pt>
                <c:pt idx="18">
                  <c:v>0.74586661466685988</c:v>
                </c:pt>
                <c:pt idx="19">
                  <c:v>0.86629964854710606</c:v>
                </c:pt>
                <c:pt idx="20">
                  <c:v>0.92879273874843737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D3F-4768-8448-4082E61BA44F}"/>
            </c:ext>
          </c:extLst>
        </c:ser>
        <c:ser>
          <c:idx val="5"/>
          <c:order val="5"/>
          <c:tx>
            <c:v>0.25</c:v>
          </c:tx>
          <c:spPr>
            <a:solidFill>
              <a:schemeClr val="accent1">
                <a:shade val="68000"/>
              </a:schemeClr>
            </a:solidFill>
            <a:ln/>
            <a:effectLst/>
            <a:sp3d prstMaterial="flat"/>
          </c:spPr>
          <c:cat>
            <c:numRef>
              <c:f>'Main Page'!$D$130:$X$130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'Main Page'!$D$114:$X$114</c:f>
              <c:numCache>
                <c:formatCode>0.00</c:formatCode>
                <c:ptCount val="21"/>
                <c:pt idx="0">
                  <c:v>2.184143691279582E-2</c:v>
                </c:pt>
                <c:pt idx="1">
                  <c:v>2.1982103696818647E-2</c:v>
                </c:pt>
                <c:pt idx="2">
                  <c:v>2.2191091004693044E-2</c:v>
                </c:pt>
                <c:pt idx="3">
                  <c:v>2.2502443528796073E-2</c:v>
                </c:pt>
                <c:pt idx="4">
                  <c:v>2.2968189254532523E-2</c:v>
                </c:pt>
                <c:pt idx="5">
                  <c:v>2.366903003746559E-2</c:v>
                </c:pt>
                <c:pt idx="6">
                  <c:v>2.4732740872372139E-2</c:v>
                </c:pt>
                <c:pt idx="7">
                  <c:v>2.6367281138716191E-2</c:v>
                </c:pt>
                <c:pt idx="8">
                  <c:v>2.892339678190408E-2</c:v>
                </c:pt>
                <c:pt idx="9">
                  <c:v>3.3019179155270535E-2</c:v>
                </c:pt>
                <c:pt idx="10">
                  <c:v>3.9800075459755613E-2</c:v>
                </c:pt>
                <c:pt idx="11">
                  <c:v>5.1501640824532818E-2</c:v>
                </c:pt>
                <c:pt idx="12">
                  <c:v>7.2673258350275438E-2</c:v>
                </c:pt>
                <c:pt idx="13">
                  <c:v>0.11263282357378274</c:v>
                </c:pt>
                <c:pt idx="14">
                  <c:v>0.18883118266100962</c:v>
                </c:pt>
                <c:pt idx="15">
                  <c:v>0.32398837023300076</c:v>
                </c:pt>
                <c:pt idx="16">
                  <c:v>0.51753890372493017</c:v>
                </c:pt>
                <c:pt idx="17">
                  <c:v>0.71227674822505094</c:v>
                </c:pt>
                <c:pt idx="18">
                  <c:v>0.84708092426583703</c:v>
                </c:pt>
                <c:pt idx="19">
                  <c:v>0.91934979907333325</c:v>
                </c:pt>
                <c:pt idx="20">
                  <c:v>0.95432693457877793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D3F-4768-8448-4082E61BA44F}"/>
            </c:ext>
          </c:extLst>
        </c:ser>
        <c:ser>
          <c:idx val="6"/>
          <c:order val="6"/>
          <c:tx>
            <c:v>0.3</c:v>
          </c:tx>
          <c:spPr>
            <a:solidFill>
              <a:schemeClr val="accent1">
                <a:shade val="74000"/>
              </a:schemeClr>
            </a:solidFill>
            <a:ln/>
            <a:effectLst/>
            <a:sp3d prstMaterial="flat"/>
          </c:spPr>
          <c:cat>
            <c:numRef>
              <c:f>'Main Page'!$D$130:$X$130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'Main Page'!$D$115:$X$115</c:f>
              <c:numCache>
                <c:formatCode>0.00</c:formatCode>
                <c:ptCount val="21"/>
                <c:pt idx="0">
                  <c:v>2.1948454140144926E-2</c:v>
                </c:pt>
                <c:pt idx="1">
                  <c:v>2.2141055502043566E-2</c:v>
                </c:pt>
                <c:pt idx="2">
                  <c:v>2.2427806559810443E-2</c:v>
                </c:pt>
                <c:pt idx="3">
                  <c:v>2.2856337186431302E-2</c:v>
                </c:pt>
                <c:pt idx="4">
                  <c:v>2.3500270836339029E-2</c:v>
                </c:pt>
                <c:pt idx="5">
                  <c:v>2.4475622266763412E-2</c:v>
                </c:pt>
                <c:pt idx="6">
                  <c:v>2.5970023521600442E-2</c:v>
                </c:pt>
                <c:pt idx="7">
                  <c:v>2.829740787127091E-2</c:v>
                </c:pt>
                <c:pt idx="8">
                  <c:v>3.2005683371677397E-2</c:v>
                </c:pt>
                <c:pt idx="9">
                  <c:v>3.8099418813868829E-2</c:v>
                </c:pt>
                <c:pt idx="10">
                  <c:v>4.8519033048778859E-2</c:v>
                </c:pt>
                <c:pt idx="11">
                  <c:v>6.718630855888405E-2</c:v>
                </c:pt>
                <c:pt idx="12">
                  <c:v>0.10216340869475343</c:v>
                </c:pt>
                <c:pt idx="13">
                  <c:v>0.16903556801960193</c:v>
                </c:pt>
                <c:pt idx="14">
                  <c:v>0.29062974463493413</c:v>
                </c:pt>
                <c:pt idx="15">
                  <c:v>0.47500328795206104</c:v>
                </c:pt>
                <c:pt idx="16">
                  <c:v>0.67588165291958013</c:v>
                </c:pt>
                <c:pt idx="17">
                  <c:v>0.82513354169565811</c:v>
                </c:pt>
                <c:pt idx="18">
                  <c:v>0.90836377102255272</c:v>
                </c:pt>
                <c:pt idx="19">
                  <c:v>0.94906856147840968</c:v>
                </c:pt>
                <c:pt idx="20">
                  <c:v>0.9686883806237403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D3F-4768-8448-4082E61BA44F}"/>
            </c:ext>
          </c:extLst>
        </c:ser>
        <c:ser>
          <c:idx val="7"/>
          <c:order val="7"/>
          <c:tx>
            <c:v>0.35</c:v>
          </c:tx>
          <c:spPr>
            <a:solidFill>
              <a:schemeClr val="accent1">
                <a:shade val="80000"/>
              </a:schemeClr>
            </a:solidFill>
            <a:ln/>
            <a:effectLst/>
            <a:sp3d prstMaterial="flat"/>
          </c:spPr>
          <c:cat>
            <c:numRef>
              <c:f>'Main Page'!$D$130:$X$130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'Main Page'!$D$116:$X$116</c:f>
              <c:numCache>
                <c:formatCode>0.00</c:formatCode>
                <c:ptCount val="21"/>
                <c:pt idx="0">
                  <c:v>2.2094952476517632E-2</c:v>
                </c:pt>
                <c:pt idx="1">
                  <c:v>2.235908747702689E-2</c:v>
                </c:pt>
                <c:pt idx="2">
                  <c:v>2.2753467248760501E-2</c:v>
                </c:pt>
                <c:pt idx="3">
                  <c:v>2.334531213590128E-2</c:v>
                </c:pt>
                <c:pt idx="4">
                  <c:v>2.4240074689726273E-2</c:v>
                </c:pt>
                <c:pt idx="5">
                  <c:v>2.5607289661270537E-2</c:v>
                </c:pt>
                <c:pt idx="6">
                  <c:v>2.7728445210050922E-2</c:v>
                </c:pt>
                <c:pt idx="7">
                  <c:v>3.1090256137788604E-2</c:v>
                </c:pt>
                <c:pt idx="8">
                  <c:v>3.6575713325982646E-2</c:v>
                </c:pt>
                <c:pt idx="9">
                  <c:v>4.5872407977077874E-2</c:v>
                </c:pt>
                <c:pt idx="10">
                  <c:v>6.236404620703092E-2</c:v>
                </c:pt>
                <c:pt idx="11">
                  <c:v>9.3010806818170283E-2</c:v>
                </c:pt>
                <c:pt idx="12">
                  <c:v>0.15158731353113514</c:v>
                </c:pt>
                <c:pt idx="13">
                  <c:v>0.26015324665843448</c:v>
                </c:pt>
                <c:pt idx="14">
                  <c:v>0.43328193684521038</c:v>
                </c:pt>
                <c:pt idx="15">
                  <c:v>0.63704343124897012</c:v>
                </c:pt>
                <c:pt idx="16">
                  <c:v>0.80026345311391966</c:v>
                </c:pt>
                <c:pt idx="17">
                  <c:v>0.89560355368265465</c:v>
                </c:pt>
                <c:pt idx="18">
                  <c:v>0.94295495580369326</c:v>
                </c:pt>
                <c:pt idx="19">
                  <c:v>0.96570006119512242</c:v>
                </c:pt>
                <c:pt idx="20">
                  <c:v>0.9770158418487116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D3F-4768-8448-4082E61BA44F}"/>
            </c:ext>
          </c:extLst>
        </c:ser>
        <c:ser>
          <c:idx val="8"/>
          <c:order val="8"/>
          <c:tx>
            <c:v>0.4</c:v>
          </c:tx>
          <c:spPr>
            <a:solidFill>
              <a:schemeClr val="accent1">
                <a:shade val="87000"/>
              </a:schemeClr>
            </a:solidFill>
            <a:ln/>
            <a:effectLst/>
            <a:sp3d prstMaterial="flat"/>
          </c:spPr>
          <c:cat>
            <c:numRef>
              <c:f>'Main Page'!$D$130:$X$130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'Main Page'!$D$117:$X$117</c:f>
              <c:numCache>
                <c:formatCode>0.00</c:formatCode>
                <c:ptCount val="21"/>
                <c:pt idx="0">
                  <c:v>2.2295805691387262E-2</c:v>
                </c:pt>
                <c:pt idx="1">
                  <c:v>2.2658833352585554E-2</c:v>
                </c:pt>
                <c:pt idx="2">
                  <c:v>2.3202971328477054E-2</c:v>
                </c:pt>
                <c:pt idx="3">
                  <c:v>2.4024170671825718E-2</c:v>
                </c:pt>
                <c:pt idx="4">
                  <c:v>2.5275823194503742E-2</c:v>
                </c:pt>
                <c:pt idx="5">
                  <c:v>2.7210759501281559E-2</c:v>
                </c:pt>
                <c:pt idx="6">
                  <c:v>3.0262220642417785E-2</c:v>
                </c:pt>
                <c:pt idx="7">
                  <c:v>3.5208067809825223E-2</c:v>
                </c:pt>
                <c:pt idx="8">
                  <c:v>4.3519070927604764E-2</c:v>
                </c:pt>
                <c:pt idx="9">
                  <c:v>5.8118217171279567E-2</c:v>
                </c:pt>
                <c:pt idx="10">
                  <c:v>8.5006380251894123E-2</c:v>
                </c:pt>
                <c:pt idx="11">
                  <c:v>0.13626095929108506</c:v>
                </c:pt>
                <c:pt idx="12">
                  <c:v>0.23259538337884658</c:v>
                </c:pt>
                <c:pt idx="13">
                  <c:v>0.39304689003299209</c:v>
                </c:pt>
                <c:pt idx="14">
                  <c:v>0.59627195997242788</c:v>
                </c:pt>
                <c:pt idx="15">
                  <c:v>0.77234294420670879</c:v>
                </c:pt>
                <c:pt idx="16">
                  <c:v>0.88082180406784782</c:v>
                </c:pt>
                <c:pt idx="17">
                  <c:v>0.93583970786343662</c:v>
                </c:pt>
                <c:pt idx="18">
                  <c:v>0.96225110302685701</c:v>
                </c:pt>
                <c:pt idx="19">
                  <c:v>0.97525637602222737</c:v>
                </c:pt>
                <c:pt idx="20">
                  <c:v>0.98203335470156028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D3F-4768-8448-4082E61BA44F}"/>
            </c:ext>
          </c:extLst>
        </c:ser>
        <c:ser>
          <c:idx val="9"/>
          <c:order val="9"/>
          <c:tx>
            <c:v>0.45</c:v>
          </c:tx>
          <c:spPr>
            <a:solidFill>
              <a:schemeClr val="accent1">
                <a:shade val="93000"/>
              </a:schemeClr>
            </a:solidFill>
            <a:ln/>
            <a:effectLst/>
            <a:sp3d prstMaterial="flat"/>
          </c:spPr>
          <c:cat>
            <c:numRef>
              <c:f>'Main Page'!$D$130:$X$130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'Main Page'!$D$118:$X$118</c:f>
              <c:numCache>
                <c:formatCode>0.00</c:formatCode>
                <c:ptCount val="21"/>
                <c:pt idx="0">
                  <c:v>2.2571754982407554E-2</c:v>
                </c:pt>
                <c:pt idx="1">
                  <c:v>2.3072174925472682E-2</c:v>
                </c:pt>
                <c:pt idx="2">
                  <c:v>2.3826171694085258E-2</c:v>
                </c:pt>
                <c:pt idx="3">
                  <c:v>2.4972710596796135E-2</c:v>
                </c:pt>
                <c:pt idx="4">
                  <c:v>2.6739256327877742E-2</c:v>
                </c:pt>
                <c:pt idx="5">
                  <c:v>2.9512217425529425E-2</c:v>
                </c:pt>
                <c:pt idx="6">
                  <c:v>3.3978360051892857E-2</c:v>
                </c:pt>
                <c:pt idx="7">
                  <c:v>4.1422258604639356E-2</c:v>
                </c:pt>
                <c:pt idx="8">
                  <c:v>5.437265635181053E-2</c:v>
                </c:pt>
                <c:pt idx="9">
                  <c:v>7.8000314740939936E-2</c:v>
                </c:pt>
                <c:pt idx="10">
                  <c:v>0.12283078775074696</c:v>
                </c:pt>
                <c:pt idx="11">
                  <c:v>0.20789280841867705</c:v>
                </c:pt>
                <c:pt idx="12">
                  <c:v>0.35485976360295685</c:v>
                </c:pt>
                <c:pt idx="13">
                  <c:v>0.55420277199330115</c:v>
                </c:pt>
                <c:pt idx="14">
                  <c:v>0.74133891807616137</c:v>
                </c:pt>
                <c:pt idx="15">
                  <c:v>0.86376291197626576</c:v>
                </c:pt>
                <c:pt idx="16">
                  <c:v>0.9275545950799684</c:v>
                </c:pt>
                <c:pt idx="17">
                  <c:v>0.9582614398672249</c:v>
                </c:pt>
                <c:pt idx="18">
                  <c:v>0.97324564146961201</c:v>
                </c:pt>
                <c:pt idx="19">
                  <c:v>0.98095613401474469</c:v>
                </c:pt>
                <c:pt idx="20">
                  <c:v>0.98517407245152222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D3F-4768-8448-4082E61BA44F}"/>
            </c:ext>
          </c:extLst>
        </c:ser>
        <c:ser>
          <c:idx val="10"/>
          <c:order val="10"/>
          <c:tx>
            <c:v>0.5</c:v>
          </c:tx>
          <c:spPr>
            <a:solidFill>
              <a:schemeClr val="accent1"/>
            </a:solidFill>
            <a:ln/>
            <a:effectLst/>
            <a:sp3d prstMaterial="flat"/>
          </c:spPr>
          <c:cat>
            <c:numRef>
              <c:f>'Main Page'!$D$130:$X$130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'Main Page'!$D$119:$X$119</c:f>
              <c:numCache>
                <c:formatCode>0.00</c:formatCode>
                <c:ptCount val="21"/>
                <c:pt idx="0">
                  <c:v>2.2951947407163636E-2</c:v>
                </c:pt>
                <c:pt idx="1">
                  <c:v>2.3644507394488416E-2</c:v>
                </c:pt>
                <c:pt idx="2">
                  <c:v>2.4695340388132297E-2</c:v>
                </c:pt>
                <c:pt idx="3">
                  <c:v>2.6309412038074586E-2</c:v>
                </c:pt>
                <c:pt idx="4">
                  <c:v>2.8832023346084291E-2</c:v>
                </c:pt>
                <c:pt idx="5">
                  <c:v>3.2870837799029003E-2</c:v>
                </c:pt>
                <c:pt idx="6">
                  <c:v>3.9550282415406243E-2</c:v>
                </c:pt>
                <c:pt idx="7">
                  <c:v>5.1061751203429491E-2</c:v>
                </c:pt>
                <c:pt idx="8">
                  <c:v>7.186081821185708E-2</c:v>
                </c:pt>
                <c:pt idx="9">
                  <c:v>0.11107988134790583</c:v>
                </c:pt>
                <c:pt idx="10">
                  <c:v>0.18590815905771499</c:v>
                </c:pt>
                <c:pt idx="11">
                  <c:v>0.31914558501912599</c:v>
                </c:pt>
                <c:pt idx="12">
                  <c:v>0.51155762831297058</c:v>
                </c:pt>
                <c:pt idx="13">
                  <c:v>0.70733994138245881</c:v>
                </c:pt>
                <c:pt idx="14">
                  <c:v>0.84417533760026953</c:v>
                </c:pt>
                <c:pt idx="15">
                  <c:v>0.91790863820347124</c:v>
                </c:pt>
                <c:pt idx="16">
                  <c:v>0.95363680988299993</c:v>
                </c:pt>
                <c:pt idx="17">
                  <c:v>0.97094166793114556</c:v>
                </c:pt>
                <c:pt idx="18">
                  <c:v>0.97973740873908211</c:v>
                </c:pt>
                <c:pt idx="19">
                  <c:v>0.98448985882771978</c:v>
                </c:pt>
                <c:pt idx="20">
                  <c:v>0.98720806104995684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D3F-4768-8448-4082E61BA44F}"/>
            </c:ext>
          </c:extLst>
        </c:ser>
        <c:ser>
          <c:idx val="11"/>
          <c:order val="11"/>
          <c:tx>
            <c:v>0.55</c:v>
          </c:tx>
          <c:spPr>
            <a:solidFill>
              <a:schemeClr val="accent1">
                <a:tint val="94000"/>
              </a:schemeClr>
            </a:solidFill>
            <a:ln/>
            <a:effectLst/>
            <a:sp3d prstMaterial="flat"/>
          </c:spPr>
          <c:cat>
            <c:numRef>
              <c:f>'Main Page'!$D$130:$X$130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'Main Page'!$D$120:$X$120</c:f>
              <c:numCache>
                <c:formatCode>0.00</c:formatCode>
                <c:ptCount val="21"/>
                <c:pt idx="0">
                  <c:v>2.3477757351815707E-2</c:v>
                </c:pt>
                <c:pt idx="1">
                  <c:v>2.4441367768344928E-2</c:v>
                </c:pt>
                <c:pt idx="2">
                  <c:v>2.5917201545930999E-2</c:v>
                </c:pt>
                <c:pt idx="3">
                  <c:v>2.8214397403105041E-2</c:v>
                </c:pt>
                <c:pt idx="4">
                  <c:v>3.1871779715754056E-2</c:v>
                </c:pt>
                <c:pt idx="5">
                  <c:v>3.7875791406256201E-2</c:v>
                </c:pt>
                <c:pt idx="6">
                  <c:v>4.8129035171409845E-2</c:v>
                </c:pt>
                <c:pt idx="7">
                  <c:v>6.6472805260495607E-2</c:v>
                </c:pt>
                <c:pt idx="8">
                  <c:v>0.10080582484708206</c:v>
                </c:pt>
                <c:pt idx="9">
                  <c:v>0.16645466976697126</c:v>
                </c:pt>
                <c:pt idx="10">
                  <c:v>0.28618417132543233</c:v>
                </c:pt>
                <c:pt idx="11">
                  <c:v>0.46909253795050315</c:v>
                </c:pt>
                <c:pt idx="12">
                  <c:v>0.67057723465832453</c:v>
                </c:pt>
                <c:pt idx="13">
                  <c:v>0.82182893292070869</c:v>
                </c:pt>
                <c:pt idx="14">
                  <c:v>0.90668839189715833</c:v>
                </c:pt>
                <c:pt idx="15">
                  <c:v>0.94826666095062062</c:v>
                </c:pt>
                <c:pt idx="16">
                  <c:v>0.96829479793268358</c:v>
                </c:pt>
                <c:pt idx="17">
                  <c:v>0.97835507358404072</c:v>
                </c:pt>
                <c:pt idx="18">
                  <c:v>0.98372278750316922</c:v>
                </c:pt>
                <c:pt idx="19">
                  <c:v>0.98675941923110266</c:v>
                </c:pt>
                <c:pt idx="20">
                  <c:v>0.98856343603430141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D3F-4768-8448-4082E61BA44F}"/>
            </c:ext>
          </c:extLst>
        </c:ser>
        <c:ser>
          <c:idx val="12"/>
          <c:order val="12"/>
          <c:tx>
            <c:v>0.6</c:v>
          </c:tx>
          <c:spPr>
            <a:solidFill>
              <a:schemeClr val="accent1">
                <a:tint val="88000"/>
              </a:schemeClr>
            </a:solidFill>
            <a:ln/>
            <a:effectLst/>
            <a:sp3d prstMaterial="flat"/>
          </c:spPr>
          <c:cat>
            <c:numRef>
              <c:f>'Main Page'!$D$130:$X$130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'Main Page'!$D$121:$X$121</c:f>
              <c:numCache>
                <c:formatCode>0.00</c:formatCode>
                <c:ptCount val="21"/>
                <c:pt idx="0">
                  <c:v>2.4208683893510406E-2</c:v>
                </c:pt>
                <c:pt idx="1">
                  <c:v>2.5559036239075815E-2</c:v>
                </c:pt>
                <c:pt idx="2">
                  <c:v>2.7652949253872131E-2</c:v>
                </c:pt>
                <c:pt idx="3">
                  <c:v>3.0969207378136739E-2</c:v>
                </c:pt>
                <c:pt idx="4">
                  <c:v>3.6375141091893264E-2</c:v>
                </c:pt>
                <c:pt idx="5">
                  <c:v>4.5525927351642556E-2</c:v>
                </c:pt>
                <c:pt idx="6">
                  <c:v>6.1736326524917971E-2</c:v>
                </c:pt>
                <c:pt idx="7">
                  <c:v>9.1823811347073805E-2</c:v>
                </c:pt>
                <c:pt idx="8">
                  <c:v>0.14931741084421893</c:v>
                </c:pt>
                <c:pt idx="9">
                  <c:v>0.2561169456653527</c:v>
                </c:pt>
                <c:pt idx="10">
                  <c:v>0.42754108628909343</c:v>
                </c:pt>
                <c:pt idx="11">
                  <c:v>0.63143424477093635</c:v>
                </c:pt>
                <c:pt idx="12">
                  <c:v>0.79653729709027921</c:v>
                </c:pt>
                <c:pt idx="13">
                  <c:v>0.8936601395228394</c:v>
                </c:pt>
                <c:pt idx="14">
                  <c:v>0.94202202360707454</c:v>
                </c:pt>
                <c:pt idx="15">
                  <c:v>0.96524628706755022</c:v>
                </c:pt>
                <c:pt idx="16">
                  <c:v>0.97678308014453452</c:v>
                </c:pt>
                <c:pt idx="17">
                  <c:v>0.98286090024995187</c:v>
                </c:pt>
                <c:pt idx="18">
                  <c:v>0.98626031004508097</c:v>
                </c:pt>
                <c:pt idx="19">
                  <c:v>0.98826145168044111</c:v>
                </c:pt>
                <c:pt idx="20">
                  <c:v>0.98948761305335753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D3F-4768-8448-4082E61BA44F}"/>
            </c:ext>
          </c:extLst>
        </c:ser>
        <c:ser>
          <c:idx val="13"/>
          <c:order val="13"/>
          <c:tx>
            <c:v>0.65</c:v>
          </c:tx>
          <c:spPr>
            <a:solidFill>
              <a:schemeClr val="accent1">
                <a:tint val="81000"/>
              </a:schemeClr>
            </a:solidFill>
            <a:ln/>
            <a:effectLst/>
            <a:sp3d prstMaterial="flat"/>
          </c:spPr>
          <c:cat>
            <c:numRef>
              <c:f>'Main Page'!$D$130:$X$130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'Main Page'!$D$122:$X$122</c:f>
              <c:numCache>
                <c:formatCode>0.00</c:formatCode>
                <c:ptCount val="21"/>
                <c:pt idx="0">
                  <c:v>2.5231710471754144E-2</c:v>
                </c:pt>
                <c:pt idx="1">
                  <c:v>2.7142026920223401E-2</c:v>
                </c:pt>
                <c:pt idx="2">
                  <c:v>3.0152640576296609E-2</c:v>
                </c:pt>
                <c:pt idx="3">
                  <c:v>3.5027854772767805E-2</c:v>
                </c:pt>
                <c:pt idx="4">
                  <c:v>4.3210620508235535E-2</c:v>
                </c:pt>
                <c:pt idx="5">
                  <c:v>5.7564918163675399E-2</c:v>
                </c:pt>
                <c:pt idx="6">
                  <c:v>8.3967860459578839E-2</c:v>
                </c:pt>
                <c:pt idx="7">
                  <c:v>0.13427019594284312</c:v>
                </c:pt>
                <c:pt idx="8">
                  <c:v>0.2289649083950194</c:v>
                </c:pt>
                <c:pt idx="9">
                  <c:v>0.38756206191778769</c:v>
                </c:pt>
                <c:pt idx="10">
                  <c:v>0.59044020898316463</c:v>
                </c:pt>
                <c:pt idx="11">
                  <c:v>0.76818425244600308</c:v>
                </c:pt>
                <c:pt idx="12">
                  <c:v>0.87857480825383893</c:v>
                </c:pt>
                <c:pt idx="13">
                  <c:v>0.93475352043929905</c:v>
                </c:pt>
                <c:pt idx="14">
                  <c:v>0.96172669979559966</c:v>
                </c:pt>
                <c:pt idx="15">
                  <c:v>0.9749906847503208</c:v>
                </c:pt>
                <c:pt idx="16">
                  <c:v>0.9818902209864222</c:v>
                </c:pt>
                <c:pt idx="17">
                  <c:v>0.9857040254242283</c:v>
                </c:pt>
                <c:pt idx="18">
                  <c:v>0.98792759108597206</c:v>
                </c:pt>
                <c:pt idx="19">
                  <c:v>0.9892800612143291</c:v>
                </c:pt>
                <c:pt idx="20">
                  <c:v>0.99012924120041634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D3F-4768-8448-4082E61BA44F}"/>
            </c:ext>
          </c:extLst>
        </c:ser>
        <c:ser>
          <c:idx val="14"/>
          <c:order val="14"/>
          <c:tx>
            <c:v>0.7</c:v>
          </c:tx>
          <c:spPr>
            <a:solidFill>
              <a:schemeClr val="accent1">
                <a:tint val="75000"/>
              </a:schemeClr>
            </a:solidFill>
            <a:ln/>
            <a:effectLst/>
            <a:sp3d prstMaterial="flat"/>
          </c:spPr>
          <c:cat>
            <c:numRef>
              <c:f>'Main Page'!$D$130:$X$130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'Main Page'!$D$123:$X$123</c:f>
              <c:numCache>
                <c:formatCode>0.00</c:formatCode>
                <c:ptCount val="21"/>
                <c:pt idx="0">
                  <c:v>2.6676620725043246E-2</c:v>
                </c:pt>
                <c:pt idx="1">
                  <c:v>2.9412889295764303E-2</c:v>
                </c:pt>
                <c:pt idx="2">
                  <c:v>3.381616483854312E-2</c:v>
                </c:pt>
                <c:pt idx="3">
                  <c:v>4.1147111058076627E-2</c:v>
                </c:pt>
                <c:pt idx="4">
                  <c:v>5.3883983410012923E-2</c:v>
                </c:pt>
                <c:pt idx="5">
                  <c:v>7.7090746320076134E-2</c:v>
                </c:pt>
                <c:pt idx="6">
                  <c:v>0.12108807962338929</c:v>
                </c:pt>
                <c:pt idx="7">
                  <c:v>0.2046527836417015</c:v>
                </c:pt>
                <c:pt idx="8">
                  <c:v>0.34969911519533636</c:v>
                </c:pt>
                <c:pt idx="9">
                  <c:v>0.54824547150404856</c:v>
                </c:pt>
                <c:pt idx="10">
                  <c:v>0.7367522011889287</c:v>
                </c:pt>
                <c:pt idx="11">
                  <c:v>0.86117650569650295</c:v>
                </c:pt>
                <c:pt idx="12">
                  <c:v>0.92628977529118417</c:v>
                </c:pt>
                <c:pt idx="13">
                  <c:v>0.9576541029725707</c:v>
                </c:pt>
                <c:pt idx="14">
                  <c:v>0.9729415564543864</c:v>
                </c:pt>
                <c:pt idx="15">
                  <c:v>0.9807943766522822</c:v>
                </c:pt>
                <c:pt idx="16">
                  <c:v>0.98508280245336877</c:v>
                </c:pt>
                <c:pt idx="17">
                  <c:v>0.98755794093215565</c:v>
                </c:pt>
                <c:pt idx="18">
                  <c:v>0.98905172870133828</c:v>
                </c:pt>
                <c:pt idx="19">
                  <c:v>0.98998425857446004</c:v>
                </c:pt>
                <c:pt idx="20">
                  <c:v>0.99058093283355109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D3F-4768-8448-4082E61BA44F}"/>
            </c:ext>
          </c:extLst>
        </c:ser>
        <c:ser>
          <c:idx val="15"/>
          <c:order val="15"/>
          <c:tx>
            <c:v>0.75</c:v>
          </c:tx>
          <c:spPr>
            <a:solidFill>
              <a:schemeClr val="accent1">
                <a:tint val="69000"/>
              </a:schemeClr>
            </a:solidFill>
            <a:ln/>
            <a:effectLst/>
            <a:sp3d prstMaterial="flat"/>
          </c:spPr>
          <c:cat>
            <c:numRef>
              <c:f>'Main Page'!$D$130:$X$130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'Main Page'!$D$124:$X$124</c:f>
              <c:numCache>
                <c:formatCode>0.00</c:formatCode>
                <c:ptCount val="21"/>
                <c:pt idx="0">
                  <c:v>2.8741876724918045E-2</c:v>
                </c:pt>
                <c:pt idx="1">
                  <c:v>3.2724622743109763E-2</c:v>
                </c:pt>
                <c:pt idx="2">
                  <c:v>3.9304359961668409E-2</c:v>
                </c:pt>
                <c:pt idx="3">
                  <c:v>5.0629272592333185E-2</c:v>
                </c:pt>
                <c:pt idx="4">
                  <c:v>7.1063104954522005E-2</c:v>
                </c:pt>
                <c:pt idx="5">
                  <c:v>0.109555900158871</c:v>
                </c:pt>
                <c:pt idx="6">
                  <c:v>0.18303486481398859</c:v>
                </c:pt>
                <c:pt idx="7">
                  <c:v>0.31435705925282026</c:v>
                </c:pt>
                <c:pt idx="8">
                  <c:v>0.50557992416023056</c:v>
                </c:pt>
                <c:pt idx="9">
                  <c:v>0.70234863657730262</c:v>
                </c:pt>
                <c:pt idx="10">
                  <c:v>0.8412155275274199</c:v>
                </c:pt>
                <c:pt idx="11">
                  <c:v>0.91643660806596772</c:v>
                </c:pt>
                <c:pt idx="12">
                  <c:v>0.95293208066130664</c:v>
                </c:pt>
                <c:pt idx="13">
                  <c:v>0.97059272488584636</c:v>
                </c:pt>
                <c:pt idx="14">
                  <c:v>0.97955414343144043</c:v>
                </c:pt>
                <c:pt idx="15">
                  <c:v>0.98438763382751282</c:v>
                </c:pt>
                <c:pt idx="16">
                  <c:v>0.98714801842609179</c:v>
                </c:pt>
                <c:pt idx="17">
                  <c:v>0.98880024333969796</c:v>
                </c:pt>
                <c:pt idx="18">
                  <c:v>0.98982536570550728</c:v>
                </c:pt>
                <c:pt idx="19">
                  <c:v>0.990478391187812</c:v>
                </c:pt>
                <c:pt idx="20">
                  <c:v>0.99090228581941919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D3F-4768-8448-4082E61BA44F}"/>
            </c:ext>
          </c:extLst>
        </c:ser>
        <c:ser>
          <c:idx val="16"/>
          <c:order val="16"/>
          <c:tx>
            <c:v>0.8</c:v>
          </c:tx>
          <c:spPr>
            <a:solidFill>
              <a:schemeClr val="accent1">
                <a:tint val="62000"/>
              </a:schemeClr>
            </a:solidFill>
            <a:ln/>
            <a:effectLst/>
            <a:sp3d prstMaterial="flat"/>
          </c:spPr>
          <c:cat>
            <c:numRef>
              <c:f>'Main Page'!$D$130:$X$130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'Main Page'!$D$125:$X$125</c:f>
              <c:numCache>
                <c:formatCode>0.00</c:formatCode>
                <c:ptCount val="21"/>
                <c:pt idx="0">
                  <c:v>3.1739767621927026E-2</c:v>
                </c:pt>
                <c:pt idx="1">
                  <c:v>3.765557132347673E-2</c:v>
                </c:pt>
                <c:pt idx="2">
                  <c:v>4.7745496471980564E-2</c:v>
                </c:pt>
                <c:pt idx="3">
                  <c:v>6.5772069567637856E-2</c:v>
                </c:pt>
                <c:pt idx="4">
                  <c:v>9.9473572562368537E-2</c:v>
                </c:pt>
                <c:pt idx="5">
                  <c:v>0.16391925481480019</c:v>
                </c:pt>
                <c:pt idx="6">
                  <c:v>0.28179560359293587</c:v>
                </c:pt>
                <c:pt idx="7">
                  <c:v>0.4631998447494628</c:v>
                </c:pt>
                <c:pt idx="8">
                  <c:v>0.66522585506249876</c:v>
                </c:pt>
                <c:pt idx="9">
                  <c:v>0.81846639887368322</c:v>
                </c:pt>
                <c:pt idx="10">
                  <c:v>0.90497754810154907</c:v>
                </c:pt>
                <c:pt idx="11">
                  <c:v>0.94744762755152379</c:v>
                </c:pt>
                <c:pt idx="12">
                  <c:v>0.96789334837509311</c:v>
                </c:pt>
                <c:pt idx="13">
                  <c:v>0.97814690419650996</c:v>
                </c:pt>
                <c:pt idx="14">
                  <c:v>0.98360804122193279</c:v>
                </c:pt>
                <c:pt idx="15">
                  <c:v>0.98669267496870505</c:v>
                </c:pt>
                <c:pt idx="16">
                  <c:v>0.98852291402155867</c:v>
                </c:pt>
                <c:pt idx="17">
                  <c:v>0.98965107285855303</c:v>
                </c:pt>
                <c:pt idx="18">
                  <c:v>0.99036633650528805</c:v>
                </c:pt>
                <c:pt idx="19">
                  <c:v>0.99082907639678963</c:v>
                </c:pt>
                <c:pt idx="20">
                  <c:v>0.99113273255985124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D3F-4768-8448-4082E61BA44F}"/>
            </c:ext>
          </c:extLst>
        </c:ser>
        <c:ser>
          <c:idx val="17"/>
          <c:order val="17"/>
          <c:tx>
            <c:v>0.85</c:v>
          </c:tx>
          <c:spPr>
            <a:solidFill>
              <a:schemeClr val="accent1">
                <a:tint val="56000"/>
              </a:schemeClr>
            </a:solidFill>
            <a:ln/>
            <a:effectLst/>
            <a:sp3d prstMaterial="flat"/>
          </c:spPr>
          <c:cat>
            <c:numRef>
              <c:f>'Main Page'!$D$130:$X$130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'Main Page'!$D$126:$X$126</c:f>
              <c:numCache>
                <c:formatCode>0.00</c:formatCode>
                <c:ptCount val="21"/>
                <c:pt idx="0">
                  <c:v>3.6177574970568914E-2</c:v>
                </c:pt>
                <c:pt idx="1">
                  <c:v>4.5185086806481707E-2</c:v>
                </c:pt>
                <c:pt idx="2">
                  <c:v>6.111967982440418E-2</c:v>
                </c:pt>
                <c:pt idx="3">
                  <c:v>9.0658889559083883E-2</c:v>
                </c:pt>
                <c:pt idx="4">
                  <c:v>0.14708853162096464</c:v>
                </c:pt>
                <c:pt idx="5">
                  <c:v>0.25213802277536379</c:v>
                </c:pt>
                <c:pt idx="6">
                  <c:v>0.42183128985563062</c:v>
                </c:pt>
                <c:pt idx="7">
                  <c:v>0.62578852543013008</c:v>
                </c:pt>
                <c:pt idx="8">
                  <c:v>0.79275088902176849</c:v>
                </c:pt>
                <c:pt idx="9">
                  <c:v>0.89167635804227574</c:v>
                </c:pt>
                <c:pt idx="10">
                  <c:v>0.94106902898294853</c:v>
                </c:pt>
                <c:pt idx="11">
                  <c:v>0.96478328599726693</c:v>
                </c:pt>
                <c:pt idx="12">
                  <c:v>0.97654600100904654</c:v>
                </c:pt>
                <c:pt idx="13">
                  <c:v>0.9827318040830938</c:v>
                </c:pt>
                <c:pt idx="14">
                  <c:v>0.98618598163085835</c:v>
                </c:pt>
                <c:pt idx="15">
                  <c:v>0.98821668036056287</c:v>
                </c:pt>
                <c:pt idx="16">
                  <c:v>0.98945970481342582</c:v>
                </c:pt>
                <c:pt idx="17">
                  <c:v>0.99024380354435071</c:v>
                </c:pt>
                <c:pt idx="18">
                  <c:v>0.99074924977157786</c:v>
                </c:pt>
                <c:pt idx="19">
                  <c:v>0.99108009484315163</c:v>
                </c:pt>
                <c:pt idx="20">
                  <c:v>0.99129897263826061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D3F-4768-8448-4082E61BA44F}"/>
            </c:ext>
          </c:extLst>
        </c:ser>
        <c:ser>
          <c:idx val="18"/>
          <c:order val="18"/>
          <c:tx>
            <c:v>0.9</c:v>
          </c:tx>
          <c:spPr>
            <a:solidFill>
              <a:schemeClr val="accent1">
                <a:tint val="50000"/>
              </a:schemeClr>
            </a:solidFill>
            <a:ln/>
            <a:effectLst/>
            <a:sp3d prstMaterial="flat"/>
          </c:spPr>
          <c:cat>
            <c:numRef>
              <c:f>'Main Page'!$D$130:$X$130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'Main Page'!$D$127:$X$127</c:f>
              <c:numCache>
                <c:formatCode>0.00</c:formatCode>
                <c:ptCount val="21"/>
                <c:pt idx="0">
                  <c:v>4.2907104783323789E-2</c:v>
                </c:pt>
                <c:pt idx="1">
                  <c:v>5.7021230292755964E-2</c:v>
                </c:pt>
                <c:pt idx="2">
                  <c:v>8.2948525900459799E-2</c:v>
                </c:pt>
                <c:pt idx="3">
                  <c:v>0.13231602697180167</c:v>
                </c:pt>
                <c:pt idx="4">
                  <c:v>0.22539029173910982</c:v>
                </c:pt>
                <c:pt idx="5">
                  <c:v>0.38211899760600904</c:v>
                </c:pt>
                <c:pt idx="6">
                  <c:v>0.58458475880152039</c:v>
                </c:pt>
                <c:pt idx="7">
                  <c:v>0.76396491960833035</c:v>
                </c:pt>
                <c:pt idx="8">
                  <c:v>0.87628240137721392</c:v>
                </c:pt>
                <c:pt idx="9">
                  <c:v>0.93364390798128993</c:v>
                </c:pt>
                <c:pt idx="10">
                  <c:v>0.96119146451866333</c:v>
                </c:pt>
                <c:pt idx="11">
                  <c:v>0.97471996457558197</c:v>
                </c:pt>
                <c:pt idx="12">
                  <c:v>0.98174463490933017</c:v>
                </c:pt>
                <c:pt idx="13">
                  <c:v>0.98562109276186394</c:v>
                </c:pt>
                <c:pt idx="14">
                  <c:v>0.98787805331076806</c:v>
                </c:pt>
                <c:pt idx="15">
                  <c:v>0.98924937366629406</c:v>
                </c:pt>
                <c:pt idx="16">
                  <c:v>0.99010971516297486</c:v>
                </c:pt>
                <c:pt idx="17">
                  <c:v>0.99066216366575188</c:v>
                </c:pt>
                <c:pt idx="18">
                  <c:v>0.99102279312035413</c:v>
                </c:pt>
                <c:pt idx="19">
                  <c:v>0.99126092638750374</c:v>
                </c:pt>
                <c:pt idx="20">
                  <c:v>0.99141942553508655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D3F-4768-8448-4082E61BA44F}"/>
            </c:ext>
          </c:extLst>
        </c:ser>
        <c:ser>
          <c:idx val="19"/>
          <c:order val="19"/>
          <c:tx>
            <c:v>0.95</c:v>
          </c:tx>
          <c:spPr>
            <a:solidFill>
              <a:schemeClr val="accent1">
                <a:tint val="43000"/>
              </a:schemeClr>
            </a:solidFill>
            <a:ln/>
            <a:effectLst/>
            <a:sp3d prstMaterial="flat"/>
          </c:spPr>
          <c:cat>
            <c:numRef>
              <c:f>'Main Page'!$D$130:$X$130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'Main Page'!$D$128:$X$128</c:f>
              <c:numCache>
                <c:formatCode>0.00</c:formatCode>
                <c:ptCount val="21"/>
                <c:pt idx="0">
                  <c:v>5.3403662649066992E-2</c:v>
                </c:pt>
                <c:pt idx="1">
                  <c:v>7.6197826035799082E-2</c:v>
                </c:pt>
                <c:pt idx="2">
                  <c:v>0.1193777340550778</c:v>
                </c:pt>
                <c:pt idx="3">
                  <c:v>0.20146571777505026</c:v>
                </c:pt>
                <c:pt idx="4">
                  <c:v>0.34458818629734445</c:v>
                </c:pt>
                <c:pt idx="5">
                  <c:v>0.54227888622445486</c:v>
                </c:pt>
                <c:pt idx="6">
                  <c:v>0.7321069204545162</c:v>
                </c:pt>
                <c:pt idx="7">
                  <c:v>0.8585397578777495</c:v>
                </c:pt>
                <c:pt idx="8">
                  <c:v>0.92499771815478771</c:v>
                </c:pt>
                <c:pt idx="9">
                  <c:v>0.95703404484606613</c:v>
                </c:pt>
                <c:pt idx="10">
                  <c:v>0.97263160102578394</c:v>
                </c:pt>
                <c:pt idx="11">
                  <c:v>0.98062979044259413</c:v>
                </c:pt>
                <c:pt idx="12">
                  <c:v>0.98499008329622273</c:v>
                </c:pt>
                <c:pt idx="13">
                  <c:v>0.98750304497541763</c:v>
                </c:pt>
                <c:pt idx="14">
                  <c:v>0.98901794703335899</c:v>
                </c:pt>
                <c:pt idx="15">
                  <c:v>0.98996286709827563</c:v>
                </c:pt>
                <c:pt idx="16">
                  <c:v>0.99056710594764719</c:v>
                </c:pt>
                <c:pt idx="17">
                  <c:v>0.99096039050378126</c:v>
                </c:pt>
                <c:pt idx="18">
                  <c:v>0.99121955940060669</c:v>
                </c:pt>
                <c:pt idx="19">
                  <c:v>0.99139181828103884</c:v>
                </c:pt>
                <c:pt idx="20">
                  <c:v>0.99150698814100779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D3F-4768-8448-4082E61BA44F}"/>
            </c:ext>
          </c:extLst>
        </c:ser>
        <c:ser>
          <c:idx val="20"/>
          <c:order val="20"/>
          <c:tx>
            <c:v>1</c:v>
          </c:tx>
          <c:spPr>
            <a:solidFill>
              <a:schemeClr val="accent1">
                <a:tint val="37000"/>
              </a:schemeClr>
            </a:solidFill>
            <a:ln/>
            <a:effectLst/>
            <a:sp3d prstMaterial="flat"/>
          </c:spPr>
          <c:cat>
            <c:numRef>
              <c:f>'Main Page'!$D$130:$X$130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'Main Page'!$D$129:$X$129</c:f>
              <c:numCache>
                <c:formatCode>0.00</c:formatCode>
                <c:ptCount val="21"/>
                <c:pt idx="0">
                  <c:v>7.0279826912114124E-2</c:v>
                </c:pt>
                <c:pt idx="1">
                  <c:v>0.10806034963910176</c:v>
                </c:pt>
                <c:pt idx="2">
                  <c:v>0.18021072935477689</c:v>
                </c:pt>
                <c:pt idx="3">
                  <c:v>0.30962333603119657</c:v>
                </c:pt>
                <c:pt idx="4">
                  <c:v>0.49960787326600348</c:v>
                </c:pt>
                <c:pt idx="5">
                  <c:v>0.69730370722901425</c:v>
                </c:pt>
                <c:pt idx="6">
                  <c:v>0.83820091285499765</c:v>
                </c:pt>
                <c:pt idx="7">
                  <c:v>0.91493308752439806</c:v>
                </c:pt>
                <c:pt idx="8">
                  <c:v>0.95221241541894053</c:v>
                </c:pt>
                <c:pt idx="9">
                  <c:v>0.97023691572372051</c:v>
                </c:pt>
                <c:pt idx="10">
                  <c:v>0.97936760635052333</c:v>
                </c:pt>
                <c:pt idx="11">
                  <c:v>0.98428375441815863</c:v>
                </c:pt>
                <c:pt idx="12">
                  <c:v>0.98708708546312518</c:v>
                </c:pt>
                <c:pt idx="13">
                  <c:v>0.98876301079196594</c:v>
                </c:pt>
                <c:pt idx="14">
                  <c:v>0.98980191033623866</c:v>
                </c:pt>
                <c:pt idx="15">
                  <c:v>0.99046328580634879</c:v>
                </c:pt>
                <c:pt idx="16">
                  <c:v>0.99089240513886545</c:v>
                </c:pt>
                <c:pt idx="17">
                  <c:v>0.99117456917857261</c:v>
                </c:pt>
                <c:pt idx="18">
                  <c:v>0.99136182850090127</c:v>
                </c:pt>
                <c:pt idx="19">
                  <c:v>0.99148689766526465</c:v>
                </c:pt>
                <c:pt idx="20">
                  <c:v>0.99157079529804859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D3F-4768-8448-4082E61BA44F}"/>
            </c:ext>
          </c:extLst>
        </c:ser>
        <c:bandFmts>
          <c:bandFmt>
            <c:idx val="0"/>
            <c:spPr>
              <a:solidFill>
                <a:schemeClr val="accent1">
                  <a:shade val="32000"/>
                </a:schemeClr>
              </a:solidFill>
              <a:ln/>
              <a:effectLst/>
              <a:sp3d prstMaterial="flat"/>
            </c:spPr>
          </c:bandFmt>
          <c:bandFmt>
            <c:idx val="1"/>
            <c:spPr>
              <a:solidFill>
                <a:schemeClr val="accent1">
                  <a:shade val="35000"/>
                </a:schemeClr>
              </a:solidFill>
              <a:ln/>
              <a:effectLst/>
              <a:sp3d prstMaterial="flat"/>
            </c:spPr>
          </c:bandFmt>
          <c:bandFmt>
            <c:idx val="2"/>
            <c:spPr>
              <a:solidFill>
                <a:schemeClr val="accent1">
                  <a:shade val="38000"/>
                </a:schemeClr>
              </a:solidFill>
              <a:ln/>
              <a:effectLst/>
              <a:sp3d prstMaterial="flat"/>
            </c:spPr>
          </c:bandFmt>
          <c:bandFmt>
            <c:idx val="3"/>
            <c:spPr>
              <a:solidFill>
                <a:schemeClr val="accent1">
                  <a:shade val="40000"/>
                </a:schemeClr>
              </a:solidFill>
              <a:ln/>
              <a:effectLst/>
              <a:sp3d prstMaterial="flat"/>
            </c:spPr>
          </c:bandFmt>
          <c:bandFmt>
            <c:idx val="4"/>
            <c:spPr>
              <a:solidFill>
                <a:schemeClr val="accent1">
                  <a:shade val="43000"/>
                </a:schemeClr>
              </a:solidFill>
              <a:ln/>
              <a:effectLst/>
              <a:sp3d prstMaterial="flat"/>
            </c:spPr>
          </c:bandFmt>
          <c:bandFmt>
            <c:idx val="5"/>
            <c:spPr>
              <a:solidFill>
                <a:schemeClr val="accent1">
                  <a:shade val="46000"/>
                </a:schemeClr>
              </a:solidFill>
              <a:ln/>
              <a:effectLst/>
              <a:sp3d prstMaterial="flat"/>
            </c:spPr>
          </c:bandFmt>
          <c:bandFmt>
            <c:idx val="6"/>
            <c:spPr>
              <a:solidFill>
                <a:schemeClr val="accent1">
                  <a:shade val="48000"/>
                </a:schemeClr>
              </a:solidFill>
              <a:ln/>
              <a:effectLst/>
              <a:sp3d prstMaterial="flat"/>
            </c:spPr>
          </c:bandFmt>
          <c:bandFmt>
            <c:idx val="7"/>
            <c:spPr>
              <a:solidFill>
                <a:schemeClr val="accent1">
                  <a:shade val="51000"/>
                </a:schemeClr>
              </a:solidFill>
              <a:ln/>
              <a:effectLst/>
              <a:sp3d prstMaterial="flat"/>
            </c:spPr>
          </c:bandFmt>
          <c:bandFmt>
            <c:idx val="8"/>
            <c:spPr>
              <a:solidFill>
                <a:schemeClr val="accent1">
                  <a:shade val="54000"/>
                </a:schemeClr>
              </a:solidFill>
              <a:ln/>
              <a:effectLst/>
              <a:sp3d prstMaterial="flat"/>
            </c:spPr>
          </c:bandFmt>
          <c:bandFmt>
            <c:idx val="9"/>
            <c:spPr>
              <a:solidFill>
                <a:schemeClr val="accent1">
                  <a:shade val="56000"/>
                </a:schemeClr>
              </a:solidFill>
              <a:ln/>
              <a:effectLst/>
              <a:sp3d prstMaterial="flat"/>
            </c:spPr>
          </c:bandFmt>
          <c:bandFmt>
            <c:idx val="10"/>
            <c:spPr>
              <a:solidFill>
                <a:schemeClr val="accent1">
                  <a:shade val="59000"/>
                </a:schemeClr>
              </a:solidFill>
              <a:ln/>
              <a:effectLst/>
              <a:sp3d prstMaterial="flat"/>
            </c:spPr>
          </c:bandFmt>
          <c:bandFmt>
            <c:idx val="11"/>
            <c:spPr>
              <a:solidFill>
                <a:schemeClr val="accent1">
                  <a:shade val="62000"/>
                </a:schemeClr>
              </a:solidFill>
              <a:ln/>
              <a:effectLst/>
              <a:sp3d prstMaterial="flat"/>
            </c:spPr>
          </c:bandFmt>
          <c:bandFmt>
            <c:idx val="12"/>
            <c:spPr>
              <a:solidFill>
                <a:schemeClr val="accent1">
                  <a:shade val="65000"/>
                </a:schemeClr>
              </a:solidFill>
              <a:ln/>
              <a:effectLst/>
              <a:sp3d prstMaterial="flat"/>
            </c:spPr>
          </c:bandFmt>
          <c:bandFmt>
            <c:idx val="13"/>
            <c:spPr>
              <a:solidFill>
                <a:schemeClr val="accent1">
                  <a:shade val="67000"/>
                </a:schemeClr>
              </a:solidFill>
              <a:ln/>
              <a:effectLst/>
              <a:sp3d prstMaterial="flat"/>
            </c:spPr>
          </c:bandFmt>
          <c:bandFmt>
            <c:idx val="14"/>
            <c:spPr>
              <a:solidFill>
                <a:schemeClr val="accent1">
                  <a:shade val="70000"/>
                </a:schemeClr>
              </a:solidFill>
              <a:ln/>
              <a:effectLst/>
              <a:sp3d prstMaterial="flat"/>
            </c:spPr>
          </c:bandFmt>
          <c:bandFmt>
            <c:idx val="15"/>
            <c:spPr>
              <a:solidFill>
                <a:schemeClr val="accent1">
                  <a:shade val="73000"/>
                </a:schemeClr>
              </a:solidFill>
              <a:ln/>
              <a:effectLst/>
              <a:sp3d prstMaterial="flat"/>
            </c:spPr>
          </c:bandFmt>
          <c:bandFmt>
            <c:idx val="16"/>
            <c:spPr>
              <a:solidFill>
                <a:schemeClr val="accent1">
                  <a:shade val="75000"/>
                </a:schemeClr>
              </a:solidFill>
              <a:ln/>
              <a:effectLst/>
              <a:sp3d prstMaterial="flat"/>
            </c:spPr>
          </c:bandFmt>
          <c:bandFmt>
            <c:idx val="17"/>
            <c:spPr>
              <a:solidFill>
                <a:schemeClr val="accent1">
                  <a:shade val="78000"/>
                </a:schemeClr>
              </a:solidFill>
              <a:ln/>
              <a:effectLst/>
              <a:sp3d prstMaterial="flat"/>
            </c:spPr>
          </c:bandFmt>
          <c:bandFmt>
            <c:idx val="18"/>
            <c:spPr>
              <a:solidFill>
                <a:schemeClr val="accent1">
                  <a:shade val="81000"/>
                </a:schemeClr>
              </a:solidFill>
              <a:ln/>
              <a:effectLst/>
              <a:sp3d prstMaterial="flat"/>
            </c:spPr>
          </c:bandFmt>
          <c:bandFmt>
            <c:idx val="19"/>
            <c:spPr>
              <a:solidFill>
                <a:schemeClr val="accent1">
                  <a:shade val="83000"/>
                </a:schemeClr>
              </a:solidFill>
              <a:ln/>
              <a:effectLst/>
              <a:sp3d prstMaterial="flat"/>
            </c:spPr>
          </c:bandFmt>
          <c:bandFmt>
            <c:idx val="20"/>
            <c:spPr>
              <a:solidFill>
                <a:schemeClr val="accent1">
                  <a:shade val="86000"/>
                </a:schemeClr>
              </a:solidFill>
              <a:ln/>
              <a:effectLst/>
              <a:sp3d prstMaterial="flat"/>
            </c:spPr>
          </c:bandFmt>
          <c:bandFmt>
            <c:idx val="21"/>
            <c:spPr>
              <a:solidFill>
                <a:schemeClr val="accent1">
                  <a:shade val="89000"/>
                </a:schemeClr>
              </a:solidFill>
              <a:ln/>
              <a:effectLst/>
              <a:sp3d prstMaterial="flat"/>
            </c:spPr>
          </c:bandFmt>
          <c:bandFmt>
            <c:idx val="22"/>
            <c:spPr>
              <a:solidFill>
                <a:schemeClr val="accent1">
                  <a:shade val="91000"/>
                </a:schemeClr>
              </a:solidFill>
              <a:ln/>
              <a:effectLst/>
              <a:sp3d prstMaterial="flat"/>
            </c:spPr>
          </c:bandFmt>
          <c:bandFmt>
            <c:idx val="23"/>
            <c:spPr>
              <a:solidFill>
                <a:schemeClr val="accent1">
                  <a:shade val="94000"/>
                </a:schemeClr>
              </a:solidFill>
              <a:ln/>
              <a:effectLst/>
              <a:sp3d prstMaterial="flat"/>
            </c:spPr>
          </c:bandFmt>
          <c:bandFmt>
            <c:idx val="24"/>
            <c:spPr>
              <a:solidFill>
                <a:schemeClr val="accent1">
                  <a:shade val="97000"/>
                </a:schemeClr>
              </a:solidFill>
              <a:ln/>
              <a:effectLst/>
              <a:sp3d prstMaterial="flat"/>
            </c:spPr>
          </c:bandFmt>
          <c:bandFmt>
            <c:idx val="25"/>
            <c:spPr>
              <a:solidFill>
                <a:schemeClr val="accent1"/>
              </a:solidFill>
              <a:ln/>
              <a:effectLst/>
              <a:sp3d prstMaterial="flat"/>
            </c:spPr>
          </c:bandFmt>
          <c:bandFmt>
            <c:idx val="26"/>
            <c:spPr>
              <a:solidFill>
                <a:schemeClr val="accent1">
                  <a:tint val="98000"/>
                </a:schemeClr>
              </a:solidFill>
              <a:ln/>
              <a:effectLst/>
              <a:sp3d prstMaterial="flat"/>
            </c:spPr>
          </c:bandFmt>
          <c:bandFmt>
            <c:idx val="27"/>
            <c:spPr>
              <a:solidFill>
                <a:schemeClr val="accent1">
                  <a:tint val="95000"/>
                </a:schemeClr>
              </a:solidFill>
              <a:ln/>
              <a:effectLst/>
              <a:sp3d prstMaterial="flat"/>
            </c:spPr>
          </c:bandFmt>
          <c:bandFmt>
            <c:idx val="28"/>
            <c:spPr>
              <a:solidFill>
                <a:schemeClr val="accent1">
                  <a:tint val="92000"/>
                </a:schemeClr>
              </a:solidFill>
              <a:ln/>
              <a:effectLst/>
              <a:sp3d prstMaterial="flat"/>
            </c:spPr>
          </c:bandFmt>
          <c:bandFmt>
            <c:idx val="29"/>
            <c:spPr>
              <a:solidFill>
                <a:schemeClr val="accent1">
                  <a:tint val="90000"/>
                </a:schemeClr>
              </a:solidFill>
              <a:ln/>
              <a:effectLst/>
              <a:sp3d prstMaterial="flat"/>
            </c:spPr>
          </c:bandFmt>
          <c:bandFmt>
            <c:idx val="30"/>
            <c:spPr>
              <a:solidFill>
                <a:schemeClr val="accent1">
                  <a:tint val="87000"/>
                </a:schemeClr>
              </a:solidFill>
              <a:ln/>
              <a:effectLst/>
              <a:sp3d prstMaterial="flat"/>
            </c:spPr>
          </c:bandFmt>
          <c:bandFmt>
            <c:idx val="31"/>
            <c:spPr>
              <a:solidFill>
                <a:schemeClr val="accent1">
                  <a:tint val="84000"/>
                </a:schemeClr>
              </a:solidFill>
              <a:ln/>
              <a:effectLst/>
              <a:sp3d prstMaterial="flat"/>
            </c:spPr>
          </c:bandFmt>
          <c:bandFmt>
            <c:idx val="32"/>
            <c:spPr>
              <a:solidFill>
                <a:schemeClr val="accent1">
                  <a:tint val="82000"/>
                </a:schemeClr>
              </a:solidFill>
              <a:ln/>
              <a:effectLst/>
              <a:sp3d prstMaterial="flat"/>
            </c:spPr>
          </c:bandFmt>
          <c:bandFmt>
            <c:idx val="33"/>
            <c:spPr>
              <a:solidFill>
                <a:schemeClr val="accent1">
                  <a:tint val="79000"/>
                </a:schemeClr>
              </a:solidFill>
              <a:ln/>
              <a:effectLst/>
              <a:sp3d prstMaterial="flat"/>
            </c:spPr>
          </c:bandFmt>
          <c:bandFmt>
            <c:idx val="34"/>
            <c:spPr>
              <a:solidFill>
                <a:schemeClr val="accent1">
                  <a:tint val="76000"/>
                </a:schemeClr>
              </a:solidFill>
              <a:ln/>
              <a:effectLst/>
              <a:sp3d prstMaterial="flat"/>
            </c:spPr>
          </c:bandFmt>
          <c:bandFmt>
            <c:idx val="35"/>
            <c:spPr>
              <a:solidFill>
                <a:schemeClr val="accent1">
                  <a:tint val="74000"/>
                </a:schemeClr>
              </a:solidFill>
              <a:ln/>
              <a:effectLst/>
              <a:sp3d prstMaterial="flat"/>
            </c:spPr>
          </c:bandFmt>
          <c:bandFmt>
            <c:idx val="36"/>
            <c:spPr>
              <a:solidFill>
                <a:schemeClr val="accent1">
                  <a:tint val="71000"/>
                </a:schemeClr>
              </a:solidFill>
              <a:ln/>
              <a:effectLst/>
              <a:sp3d prstMaterial="flat"/>
            </c:spPr>
          </c:bandFmt>
          <c:bandFmt>
            <c:idx val="37"/>
            <c:spPr>
              <a:solidFill>
                <a:schemeClr val="accent1">
                  <a:tint val="68000"/>
                </a:schemeClr>
              </a:solidFill>
              <a:ln/>
              <a:effectLst/>
              <a:sp3d prstMaterial="flat"/>
            </c:spPr>
          </c:bandFmt>
          <c:bandFmt>
            <c:idx val="38"/>
            <c:spPr>
              <a:solidFill>
                <a:schemeClr val="accent1">
                  <a:tint val="65000"/>
                </a:schemeClr>
              </a:solidFill>
              <a:ln/>
              <a:effectLst/>
              <a:sp3d prstMaterial="flat"/>
            </c:spPr>
          </c:bandFmt>
          <c:bandFmt>
            <c:idx val="39"/>
            <c:spPr>
              <a:solidFill>
                <a:schemeClr val="accent1">
                  <a:tint val="63000"/>
                </a:schemeClr>
              </a:solidFill>
              <a:ln/>
              <a:effectLst/>
              <a:sp3d prstMaterial="flat"/>
            </c:spPr>
          </c:bandFmt>
          <c:bandFmt>
            <c:idx val="40"/>
            <c:spPr>
              <a:solidFill>
                <a:schemeClr val="accent1">
                  <a:tint val="60000"/>
                </a:schemeClr>
              </a:solidFill>
              <a:ln/>
              <a:effectLst/>
              <a:sp3d prstMaterial="flat"/>
            </c:spPr>
          </c:bandFmt>
          <c:bandFmt>
            <c:idx val="41"/>
            <c:spPr>
              <a:solidFill>
                <a:schemeClr val="accent1">
                  <a:tint val="57000"/>
                </a:schemeClr>
              </a:solidFill>
              <a:ln/>
              <a:effectLst/>
              <a:sp3d prstMaterial="flat"/>
            </c:spPr>
          </c:bandFmt>
          <c:bandFmt>
            <c:idx val="42"/>
            <c:spPr>
              <a:solidFill>
                <a:schemeClr val="accent1">
                  <a:tint val="55000"/>
                </a:schemeClr>
              </a:solidFill>
              <a:ln/>
              <a:effectLst/>
              <a:sp3d prstMaterial="flat"/>
            </c:spPr>
          </c:bandFmt>
          <c:bandFmt>
            <c:idx val="43"/>
            <c:spPr>
              <a:solidFill>
                <a:schemeClr val="accent1">
                  <a:tint val="52000"/>
                </a:schemeClr>
              </a:solidFill>
              <a:ln/>
              <a:effectLst/>
              <a:sp3d prstMaterial="flat"/>
            </c:spPr>
          </c:bandFmt>
          <c:bandFmt>
            <c:idx val="44"/>
            <c:spPr>
              <a:solidFill>
                <a:schemeClr val="accent1">
                  <a:tint val="49000"/>
                </a:schemeClr>
              </a:solidFill>
              <a:ln/>
              <a:effectLst/>
              <a:sp3d prstMaterial="flat"/>
            </c:spPr>
          </c:bandFmt>
          <c:bandFmt>
            <c:idx val="45"/>
            <c:spPr>
              <a:solidFill>
                <a:schemeClr val="accent1">
                  <a:tint val="47000"/>
                </a:schemeClr>
              </a:solidFill>
              <a:ln/>
              <a:effectLst/>
              <a:sp3d prstMaterial="flat"/>
            </c:spPr>
          </c:bandFmt>
          <c:bandFmt>
            <c:idx val="46"/>
            <c:spPr>
              <a:solidFill>
                <a:schemeClr val="accent1">
                  <a:tint val="44000"/>
                </a:schemeClr>
              </a:solidFill>
              <a:ln/>
              <a:effectLst/>
              <a:sp3d prstMaterial="flat"/>
            </c:spPr>
          </c:bandFmt>
          <c:bandFmt>
            <c:idx val="47"/>
            <c:spPr>
              <a:solidFill>
                <a:schemeClr val="accent1">
                  <a:tint val="41000"/>
                </a:schemeClr>
              </a:solidFill>
              <a:ln/>
              <a:effectLst/>
              <a:sp3d prstMaterial="flat"/>
            </c:spPr>
          </c:bandFmt>
          <c:bandFmt>
            <c:idx val="48"/>
            <c:spPr>
              <a:solidFill>
                <a:schemeClr val="accent1">
                  <a:tint val="39000"/>
                </a:schemeClr>
              </a:solidFill>
              <a:ln/>
              <a:effectLst/>
              <a:sp3d prstMaterial="flat"/>
            </c:spPr>
          </c:bandFmt>
          <c:bandFmt>
            <c:idx val="49"/>
            <c:spPr>
              <a:solidFill>
                <a:schemeClr val="accent1">
                  <a:tint val="36000"/>
                </a:schemeClr>
              </a:solidFill>
              <a:ln/>
              <a:effectLst/>
              <a:sp3d prstMaterial="flat"/>
            </c:spPr>
          </c:bandFmt>
        </c:bandFmts>
        <c:axId val="259242624"/>
        <c:axId val="259231808"/>
        <c:axId val="146158400"/>
      </c:surfaceChart>
      <c:catAx>
        <c:axId val="2592426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600"/>
                  <a:t>x1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9231808"/>
        <c:crosses val="autoZero"/>
        <c:auto val="1"/>
        <c:lblAlgn val="ctr"/>
        <c:lblOffset val="100"/>
        <c:noMultiLvlLbl val="0"/>
      </c:catAx>
      <c:valAx>
        <c:axId val="259231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one"/>
        <c:spPr>
          <a:noFill/>
          <a:ln w="6350" cap="flat" cmpd="sng" algn="ctr">
            <a:noFill/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9242624"/>
        <c:crosses val="autoZero"/>
        <c:crossBetween val="midCat"/>
        <c:majorUnit val="2.0000000000000004E-2"/>
      </c:valAx>
      <c:serAx>
        <c:axId val="146158400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600"/>
                  <a:t>x2 </a:t>
                </a:r>
              </a:p>
            </c:rich>
          </c:tx>
          <c:layout>
            <c:manualLayout>
              <c:xMode val="edge"/>
              <c:yMode val="edge"/>
              <c:x val="0.90299194626750301"/>
              <c:y val="0.4482324094020686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9231808"/>
        <c:crosses val="autoZero"/>
      </c:ser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25"/>
      <c:rotY val="3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5.1686639660913157E-2"/>
          <c:y val="9.6625275438948457E-2"/>
          <c:w val="0.85228397592545235"/>
          <c:h val="0.78334631809254918"/>
        </c:manualLayout>
      </c:layout>
      <c:surface3DChart>
        <c:wireframe val="0"/>
        <c:ser>
          <c:idx val="0"/>
          <c:order val="0"/>
          <c:spPr>
            <a:solidFill>
              <a:schemeClr val="accent4">
                <a:tint val="37000"/>
              </a:schemeClr>
            </a:solidFill>
            <a:ln/>
            <a:effectLst/>
            <a:sp3d prstMaterial="flat"/>
          </c:spPr>
          <c:val>
            <c:numRef>
              <c:f>'Main Page'!$D$109:$X$109</c:f>
              <c:numCache>
                <c:formatCode>0.00</c:formatCode>
                <c:ptCount val="21"/>
                <c:pt idx="0">
                  <c:v>2.1610660340781213E-2</c:v>
                </c:pt>
                <c:pt idx="1">
                  <c:v>2.1640263424121023E-2</c:v>
                </c:pt>
                <c:pt idx="2">
                  <c:v>2.1684041829725588E-2</c:v>
                </c:pt>
                <c:pt idx="3">
                  <c:v>2.1748822028245351E-2</c:v>
                </c:pt>
                <c:pt idx="4">
                  <c:v>2.1844763636442176E-2</c:v>
                </c:pt>
                <c:pt idx="5">
                  <c:v>2.1987040753629585E-2</c:v>
                </c:pt>
                <c:pt idx="6">
                  <c:v>2.2198434455974234E-2</c:v>
                </c:pt>
                <c:pt idx="7">
                  <c:v>2.251340253303049E-2</c:v>
                </c:pt>
                <c:pt idx="8">
                  <c:v>2.2984623357338273E-2</c:v>
                </c:pt>
                <c:pt idx="9">
                  <c:v>2.3693848961780128E-2</c:v>
                </c:pt>
                <c:pt idx="10">
                  <c:v>2.477060640982108E-2</c:v>
                </c:pt>
                <c:pt idx="11">
                  <c:v>2.6425898784538274E-2</c:v>
                </c:pt>
                <c:pt idx="12">
                  <c:v>2.9016015858298657E-2</c:v>
                </c:pt>
                <c:pt idx="13">
                  <c:v>3.316968230726771E-2</c:v>
                </c:pt>
                <c:pt idx="14">
                  <c:v>4.0053809536858227E-2</c:v>
                </c:pt>
                <c:pt idx="15">
                  <c:v>5.1949086620600174E-2</c:v>
                </c:pt>
                <c:pt idx="16">
                  <c:v>7.3500722872396063E-2</c:v>
                </c:pt>
                <c:pt idx="17">
                  <c:v>0.11421526410636007</c:v>
                </c:pt>
                <c:pt idx="18">
                  <c:v>0.1918044956291852</c:v>
                </c:pt>
                <c:pt idx="19">
                  <c:v>0.32888481776316691</c:v>
                </c:pt>
                <c:pt idx="20">
                  <c:v>0.5235216594711487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59-44E6-8147-7424CDB1CF7D}"/>
            </c:ext>
          </c:extLst>
        </c:ser>
        <c:ser>
          <c:idx val="1"/>
          <c:order val="1"/>
          <c:spPr>
            <a:solidFill>
              <a:schemeClr val="accent4">
                <a:tint val="43000"/>
              </a:schemeClr>
            </a:solidFill>
            <a:ln/>
            <a:effectLst/>
            <a:sp3d prstMaterial="flat"/>
          </c:spPr>
          <c:val>
            <c:numRef>
              <c:f>'Main Page'!$D$110:$X$110</c:f>
              <c:numCache>
                <c:formatCode>0.00</c:formatCode>
                <c:ptCount val="21"/>
                <c:pt idx="0">
                  <c:v>2.1633191981211022E-2</c:v>
                </c:pt>
                <c:pt idx="1">
                  <c:v>2.1673582333798756E-2</c:v>
                </c:pt>
                <c:pt idx="2">
                  <c:v>2.1733340613238134E-2</c:v>
                </c:pt>
                <c:pt idx="3">
                  <c:v>2.1821826003031109E-2</c:v>
                </c:pt>
                <c:pt idx="4">
                  <c:v>2.1953005291228067E-2</c:v>
                </c:pt>
                <c:pt idx="5">
                  <c:v>2.2147821309829719E-2</c:v>
                </c:pt>
                <c:pt idx="6">
                  <c:v>2.2437895557517299E-2</c:v>
                </c:pt>
                <c:pt idx="7">
                  <c:v>2.287144921601331E-2</c:v>
                </c:pt>
                <c:pt idx="8">
                  <c:v>2.352305502148757E-2</c:v>
                </c:pt>
                <c:pt idx="9">
                  <c:v>2.4510299851034697E-2</c:v>
                </c:pt>
                <c:pt idx="10">
                  <c:v>2.6023522553941105E-2</c:v>
                </c:pt>
                <c:pt idx="11">
                  <c:v>2.8381536526166068E-2</c:v>
                </c:pt>
                <c:pt idx="12">
                  <c:v>3.2141509608159168E-2</c:v>
                </c:pt>
                <c:pt idx="13">
                  <c:v>3.8326514490324162E-2</c:v>
                </c:pt>
                <c:pt idx="14">
                  <c:v>4.8915614996004518E-2</c:v>
                </c:pt>
                <c:pt idx="15">
                  <c:v>6.7912837279089533E-2</c:v>
                </c:pt>
                <c:pt idx="16">
                  <c:v>0.10354681043867692</c:v>
                </c:pt>
                <c:pt idx="17">
                  <c:v>0.17166256398810448</c:v>
                </c:pt>
                <c:pt idx="18">
                  <c:v>0.29513209174998317</c:v>
                </c:pt>
                <c:pt idx="19">
                  <c:v>0.48093013305140803</c:v>
                </c:pt>
                <c:pt idx="20">
                  <c:v>0.68113787312068275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59-44E6-8147-7424CDB1CF7D}"/>
            </c:ext>
          </c:extLst>
        </c:ser>
        <c:ser>
          <c:idx val="2"/>
          <c:order val="2"/>
          <c:spPr>
            <a:solidFill>
              <a:schemeClr val="accent4">
                <a:tint val="50000"/>
              </a:schemeClr>
            </a:solidFill>
            <a:ln/>
            <a:effectLst/>
            <a:sp3d prstMaterial="flat"/>
          </c:spPr>
          <c:val>
            <c:numRef>
              <c:f>'Main Page'!$D$111:$X$111</c:f>
              <c:numCache>
                <c:formatCode>0.00</c:formatCode>
                <c:ptCount val="21"/>
                <c:pt idx="0">
                  <c:v>2.166393273112098E-2</c:v>
                </c:pt>
                <c:pt idx="1">
                  <c:v>2.1719060277733352E-2</c:v>
                </c:pt>
                <c:pt idx="2">
                  <c:v>2.1800673008349036E-2</c:v>
                </c:pt>
                <c:pt idx="3">
                  <c:v>2.1921629038259675E-2</c:v>
                </c:pt>
                <c:pt idx="4">
                  <c:v>2.2101186877942255E-2</c:v>
                </c:pt>
                <c:pt idx="5">
                  <c:v>2.2368377278878488E-2</c:v>
                </c:pt>
                <c:pt idx="6">
                  <c:v>2.2767367363752258E-2</c:v>
                </c:pt>
                <c:pt idx="7">
                  <c:v>2.3366236685676708E-2</c:v>
                </c:pt>
                <c:pt idx="8">
                  <c:v>2.4271850774775401E-2</c:v>
                </c:pt>
                <c:pt idx="9">
                  <c:v>2.5656156295082094E-2</c:v>
                </c:pt>
                <c:pt idx="10">
                  <c:v>2.7804946654632821E-2</c:v>
                </c:pt>
                <c:pt idx="11">
                  <c:v>3.1213018238666478E-2</c:v>
                </c:pt>
                <c:pt idx="12">
                  <c:v>3.6779344497516353E-2</c:v>
                </c:pt>
                <c:pt idx="13">
                  <c:v>4.6224636185721556E-2</c:v>
                </c:pt>
                <c:pt idx="14">
                  <c:v>6.3003061561044987E-2</c:v>
                </c:pt>
                <c:pt idx="15">
                  <c:v>9.4220309908473354E-2</c:v>
                </c:pt>
                <c:pt idx="16">
                  <c:v>0.15389886738425934</c:v>
                </c:pt>
                <c:pt idx="17">
                  <c:v>0.26424699926261114</c:v>
                </c:pt>
                <c:pt idx="18">
                  <c:v>0.43905214333143</c:v>
                </c:pt>
                <c:pt idx="19">
                  <c:v>0.64261446386621934</c:v>
                </c:pt>
                <c:pt idx="20">
                  <c:v>0.80392957927608377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59-44E6-8147-7424CDB1CF7D}"/>
            </c:ext>
          </c:extLst>
        </c:ser>
        <c:ser>
          <c:idx val="3"/>
          <c:order val="3"/>
          <c:spPr>
            <a:solidFill>
              <a:schemeClr val="accent4">
                <a:tint val="56000"/>
              </a:schemeClr>
            </a:solidFill>
            <a:ln/>
            <a:effectLst/>
            <a:sp3d prstMaterial="flat"/>
          </c:spPr>
          <c:val>
            <c:numRef>
              <c:f>'Main Page'!$D$112:$X$112</c:f>
              <c:numCache>
                <c:formatCode>0.00</c:formatCode>
                <c:ptCount val="21"/>
                <c:pt idx="0">
                  <c:v>2.1705887326282487E-2</c:v>
                </c:pt>
                <c:pt idx="1">
                  <c:v>2.1781164680706542E-2</c:v>
                </c:pt>
                <c:pt idx="2">
                  <c:v>2.1892701786478012E-2</c:v>
                </c:pt>
                <c:pt idx="3">
                  <c:v>2.2058213063501583E-2</c:v>
                </c:pt>
                <c:pt idx="4">
                  <c:v>2.2304361090051197E-2</c:v>
                </c:pt>
                <c:pt idx="5">
                  <c:v>2.2671621981251038E-2</c:v>
                </c:pt>
                <c:pt idx="6">
                  <c:v>2.3222195086612291E-2</c:v>
                </c:pt>
                <c:pt idx="7">
                  <c:v>2.4053303413085956E-2</c:v>
                </c:pt>
                <c:pt idx="8">
                  <c:v>2.5320492003364985E-2</c:v>
                </c:pt>
                <c:pt idx="9">
                  <c:v>2.7280397704846658E-2</c:v>
                </c:pt>
                <c:pt idx="10">
                  <c:v>3.0373330618487283E-2</c:v>
                </c:pt>
                <c:pt idx="11">
                  <c:v>3.5390984693923745E-2</c:v>
                </c:pt>
                <c:pt idx="12">
                  <c:v>4.3832548659883792E-2</c:v>
                </c:pt>
                <c:pt idx="13">
                  <c:v>5.868131924765535E-2</c:v>
                </c:pt>
                <c:pt idx="14">
                  <c:v>8.6064468261854127E-2</c:v>
                </c:pt>
                <c:pt idx="15">
                  <c:v>0.13828892873338317</c:v>
                </c:pt>
                <c:pt idx="16">
                  <c:v>0.23628202433944906</c:v>
                </c:pt>
                <c:pt idx="17">
                  <c:v>0.39857214048832584</c:v>
                </c:pt>
                <c:pt idx="18">
                  <c:v>0.6020780964998298</c:v>
                </c:pt>
                <c:pt idx="19">
                  <c:v>0.77644091200997922</c:v>
                </c:pt>
                <c:pt idx="20">
                  <c:v>0.88302409550078587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59-44E6-8147-7424CDB1CF7D}"/>
            </c:ext>
          </c:extLst>
        </c:ser>
        <c:ser>
          <c:idx val="4"/>
          <c:order val="4"/>
          <c:spPr>
            <a:solidFill>
              <a:schemeClr val="accent4">
                <a:tint val="62000"/>
              </a:schemeClr>
            </a:solidFill>
            <a:ln/>
            <a:effectLst/>
            <a:sp3d prstMaterial="flat"/>
          </c:spPr>
          <c:val>
            <c:numRef>
              <c:f>'Main Page'!$D$113:$X$113</c:f>
              <c:numCache>
                <c:formatCode>0.00</c:formatCode>
                <c:ptCount val="21"/>
                <c:pt idx="0">
                  <c:v>2.176317219186678E-2</c:v>
                </c:pt>
                <c:pt idx="1">
                  <c:v>2.1866030304211505E-2</c:v>
                </c:pt>
                <c:pt idx="2">
                  <c:v>2.2018607983862529E-2</c:v>
                </c:pt>
                <c:pt idx="3">
                  <c:v>2.2245401621924107E-2</c:v>
                </c:pt>
                <c:pt idx="4">
                  <c:v>2.2583523760133988E-2</c:v>
                </c:pt>
                <c:pt idx="5">
                  <c:v>2.3089842150806731E-2</c:v>
                </c:pt>
                <c:pt idx="6">
                  <c:v>2.3852894090436644E-2</c:v>
                </c:pt>
                <c:pt idx="7">
                  <c:v>2.5013570713248025E-2</c:v>
                </c:pt>
                <c:pt idx="8">
                  <c:v>2.6802708872066035E-2</c:v>
                </c:pt>
                <c:pt idx="9">
                  <c:v>2.9612914296317815E-2</c:v>
                </c:pt>
                <c:pt idx="10">
                  <c:v>3.4142950446874168E-2</c:v>
                </c:pt>
                <c:pt idx="11">
                  <c:v>4.1701812615210526E-2</c:v>
                </c:pt>
                <c:pt idx="12">
                  <c:v>5.4869846686576788E-2</c:v>
                </c:pt>
                <c:pt idx="13">
                  <c:v>7.8926866544594618E-2</c:v>
                </c:pt>
                <c:pt idx="14">
                  <c:v>0.12460643503224157</c:v>
                </c:pt>
                <c:pt idx="15">
                  <c:v>0.21118626290138837</c:v>
                </c:pt>
                <c:pt idx="16">
                  <c:v>0.36006919071533477</c:v>
                </c:pt>
                <c:pt idx="17">
                  <c:v>0.56014871085743312</c:v>
                </c:pt>
                <c:pt idx="18">
                  <c:v>0.74586661466685988</c:v>
                </c:pt>
                <c:pt idx="19">
                  <c:v>0.86629964854710606</c:v>
                </c:pt>
                <c:pt idx="20">
                  <c:v>0.92879273874843737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59-44E6-8147-7424CDB1CF7D}"/>
            </c:ext>
          </c:extLst>
        </c:ser>
        <c:ser>
          <c:idx val="5"/>
          <c:order val="5"/>
          <c:spPr>
            <a:solidFill>
              <a:schemeClr val="accent4">
                <a:tint val="69000"/>
              </a:schemeClr>
            </a:solidFill>
            <a:ln/>
            <a:effectLst/>
            <a:sp3d prstMaterial="flat"/>
          </c:spPr>
          <c:val>
            <c:numRef>
              <c:f>'Main Page'!$D$114:$X$114</c:f>
              <c:numCache>
                <c:formatCode>0.00</c:formatCode>
                <c:ptCount val="21"/>
                <c:pt idx="0">
                  <c:v>2.184143691279582E-2</c:v>
                </c:pt>
                <c:pt idx="1">
                  <c:v>2.1982103696818647E-2</c:v>
                </c:pt>
                <c:pt idx="2">
                  <c:v>2.2191091004693044E-2</c:v>
                </c:pt>
                <c:pt idx="3">
                  <c:v>2.2502443528796073E-2</c:v>
                </c:pt>
                <c:pt idx="4">
                  <c:v>2.2968189254532523E-2</c:v>
                </c:pt>
                <c:pt idx="5">
                  <c:v>2.366903003746559E-2</c:v>
                </c:pt>
                <c:pt idx="6">
                  <c:v>2.4732740872372139E-2</c:v>
                </c:pt>
                <c:pt idx="7">
                  <c:v>2.6367281138716191E-2</c:v>
                </c:pt>
                <c:pt idx="8">
                  <c:v>2.892339678190408E-2</c:v>
                </c:pt>
                <c:pt idx="9">
                  <c:v>3.3019179155270535E-2</c:v>
                </c:pt>
                <c:pt idx="10">
                  <c:v>3.9800075459755613E-2</c:v>
                </c:pt>
                <c:pt idx="11">
                  <c:v>5.1501640824532818E-2</c:v>
                </c:pt>
                <c:pt idx="12">
                  <c:v>7.2673258350275438E-2</c:v>
                </c:pt>
                <c:pt idx="13">
                  <c:v>0.11263282357378274</c:v>
                </c:pt>
                <c:pt idx="14">
                  <c:v>0.18883118266100962</c:v>
                </c:pt>
                <c:pt idx="15">
                  <c:v>0.32398837023300076</c:v>
                </c:pt>
                <c:pt idx="16">
                  <c:v>0.51753890372493017</c:v>
                </c:pt>
                <c:pt idx="17">
                  <c:v>0.71227674822505094</c:v>
                </c:pt>
                <c:pt idx="18">
                  <c:v>0.84708092426583703</c:v>
                </c:pt>
                <c:pt idx="19">
                  <c:v>0.91934979907333325</c:v>
                </c:pt>
                <c:pt idx="20">
                  <c:v>0.95432693457877793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F59-44E6-8147-7424CDB1CF7D}"/>
            </c:ext>
          </c:extLst>
        </c:ser>
        <c:ser>
          <c:idx val="6"/>
          <c:order val="6"/>
          <c:spPr>
            <a:solidFill>
              <a:schemeClr val="accent4">
                <a:tint val="75000"/>
              </a:schemeClr>
            </a:solidFill>
            <a:ln/>
            <a:effectLst/>
            <a:sp3d prstMaterial="flat"/>
          </c:spPr>
          <c:val>
            <c:numRef>
              <c:f>'Main Page'!$D$115:$X$115</c:f>
              <c:numCache>
                <c:formatCode>0.00</c:formatCode>
                <c:ptCount val="21"/>
                <c:pt idx="0">
                  <c:v>2.1948454140144926E-2</c:v>
                </c:pt>
                <c:pt idx="1">
                  <c:v>2.2141055502043566E-2</c:v>
                </c:pt>
                <c:pt idx="2">
                  <c:v>2.2427806559810443E-2</c:v>
                </c:pt>
                <c:pt idx="3">
                  <c:v>2.2856337186431302E-2</c:v>
                </c:pt>
                <c:pt idx="4">
                  <c:v>2.3500270836339029E-2</c:v>
                </c:pt>
                <c:pt idx="5">
                  <c:v>2.4475622266763412E-2</c:v>
                </c:pt>
                <c:pt idx="6">
                  <c:v>2.5970023521600442E-2</c:v>
                </c:pt>
                <c:pt idx="7">
                  <c:v>2.829740787127091E-2</c:v>
                </c:pt>
                <c:pt idx="8">
                  <c:v>3.2005683371677397E-2</c:v>
                </c:pt>
                <c:pt idx="9">
                  <c:v>3.8099418813868829E-2</c:v>
                </c:pt>
                <c:pt idx="10">
                  <c:v>4.8519033048778859E-2</c:v>
                </c:pt>
                <c:pt idx="11">
                  <c:v>6.718630855888405E-2</c:v>
                </c:pt>
                <c:pt idx="12">
                  <c:v>0.10216340869475343</c:v>
                </c:pt>
                <c:pt idx="13">
                  <c:v>0.16903556801960193</c:v>
                </c:pt>
                <c:pt idx="14">
                  <c:v>0.29062974463493413</c:v>
                </c:pt>
                <c:pt idx="15">
                  <c:v>0.47500328795206104</c:v>
                </c:pt>
                <c:pt idx="16">
                  <c:v>0.67588165291958013</c:v>
                </c:pt>
                <c:pt idx="17">
                  <c:v>0.82513354169565811</c:v>
                </c:pt>
                <c:pt idx="18">
                  <c:v>0.90836377102255272</c:v>
                </c:pt>
                <c:pt idx="19">
                  <c:v>0.94906856147840968</c:v>
                </c:pt>
                <c:pt idx="20">
                  <c:v>0.9686883806237403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F59-44E6-8147-7424CDB1CF7D}"/>
            </c:ext>
          </c:extLst>
        </c:ser>
        <c:ser>
          <c:idx val="7"/>
          <c:order val="7"/>
          <c:spPr>
            <a:solidFill>
              <a:schemeClr val="accent4">
                <a:tint val="81000"/>
              </a:schemeClr>
            </a:solidFill>
            <a:ln/>
            <a:effectLst/>
            <a:sp3d prstMaterial="flat"/>
          </c:spPr>
          <c:val>
            <c:numRef>
              <c:f>'Main Page'!$D$116:$X$116</c:f>
              <c:numCache>
                <c:formatCode>0.00</c:formatCode>
                <c:ptCount val="21"/>
                <c:pt idx="0">
                  <c:v>2.2094952476517632E-2</c:v>
                </c:pt>
                <c:pt idx="1">
                  <c:v>2.235908747702689E-2</c:v>
                </c:pt>
                <c:pt idx="2">
                  <c:v>2.2753467248760501E-2</c:v>
                </c:pt>
                <c:pt idx="3">
                  <c:v>2.334531213590128E-2</c:v>
                </c:pt>
                <c:pt idx="4">
                  <c:v>2.4240074689726273E-2</c:v>
                </c:pt>
                <c:pt idx="5">
                  <c:v>2.5607289661270537E-2</c:v>
                </c:pt>
                <c:pt idx="6">
                  <c:v>2.7728445210050922E-2</c:v>
                </c:pt>
                <c:pt idx="7">
                  <c:v>3.1090256137788604E-2</c:v>
                </c:pt>
                <c:pt idx="8">
                  <c:v>3.6575713325982646E-2</c:v>
                </c:pt>
                <c:pt idx="9">
                  <c:v>4.5872407977077874E-2</c:v>
                </c:pt>
                <c:pt idx="10">
                  <c:v>6.236404620703092E-2</c:v>
                </c:pt>
                <c:pt idx="11">
                  <c:v>9.3010806818170283E-2</c:v>
                </c:pt>
                <c:pt idx="12">
                  <c:v>0.15158731353113514</c:v>
                </c:pt>
                <c:pt idx="13">
                  <c:v>0.26015324665843448</c:v>
                </c:pt>
                <c:pt idx="14">
                  <c:v>0.43328193684521038</c:v>
                </c:pt>
                <c:pt idx="15">
                  <c:v>0.63704343124897012</c:v>
                </c:pt>
                <c:pt idx="16">
                  <c:v>0.80026345311391966</c:v>
                </c:pt>
                <c:pt idx="17">
                  <c:v>0.89560355368265465</c:v>
                </c:pt>
                <c:pt idx="18">
                  <c:v>0.94295495580369326</c:v>
                </c:pt>
                <c:pt idx="19">
                  <c:v>0.96570006119512242</c:v>
                </c:pt>
                <c:pt idx="20">
                  <c:v>0.9770158418487116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F59-44E6-8147-7424CDB1CF7D}"/>
            </c:ext>
          </c:extLst>
        </c:ser>
        <c:ser>
          <c:idx val="8"/>
          <c:order val="8"/>
          <c:spPr>
            <a:solidFill>
              <a:schemeClr val="accent4">
                <a:tint val="88000"/>
              </a:schemeClr>
            </a:solidFill>
            <a:ln/>
            <a:effectLst/>
            <a:sp3d prstMaterial="flat"/>
          </c:spPr>
          <c:val>
            <c:numRef>
              <c:f>'Main Page'!$D$117:$X$117</c:f>
              <c:numCache>
                <c:formatCode>0.00</c:formatCode>
                <c:ptCount val="21"/>
                <c:pt idx="0">
                  <c:v>2.2295805691387262E-2</c:v>
                </c:pt>
                <c:pt idx="1">
                  <c:v>2.2658833352585554E-2</c:v>
                </c:pt>
                <c:pt idx="2">
                  <c:v>2.3202971328477054E-2</c:v>
                </c:pt>
                <c:pt idx="3">
                  <c:v>2.4024170671825718E-2</c:v>
                </c:pt>
                <c:pt idx="4">
                  <c:v>2.5275823194503742E-2</c:v>
                </c:pt>
                <c:pt idx="5">
                  <c:v>2.7210759501281559E-2</c:v>
                </c:pt>
                <c:pt idx="6">
                  <c:v>3.0262220642417785E-2</c:v>
                </c:pt>
                <c:pt idx="7">
                  <c:v>3.5208067809825223E-2</c:v>
                </c:pt>
                <c:pt idx="8">
                  <c:v>4.3519070927604764E-2</c:v>
                </c:pt>
                <c:pt idx="9">
                  <c:v>5.8118217171279567E-2</c:v>
                </c:pt>
                <c:pt idx="10">
                  <c:v>8.5006380251894123E-2</c:v>
                </c:pt>
                <c:pt idx="11">
                  <c:v>0.13626095929108506</c:v>
                </c:pt>
                <c:pt idx="12">
                  <c:v>0.23259538337884658</c:v>
                </c:pt>
                <c:pt idx="13">
                  <c:v>0.39304689003299209</c:v>
                </c:pt>
                <c:pt idx="14">
                  <c:v>0.59627195997242788</c:v>
                </c:pt>
                <c:pt idx="15">
                  <c:v>0.77234294420670879</c:v>
                </c:pt>
                <c:pt idx="16">
                  <c:v>0.88082180406784782</c:v>
                </c:pt>
                <c:pt idx="17">
                  <c:v>0.93583970786343662</c:v>
                </c:pt>
                <c:pt idx="18">
                  <c:v>0.96225110302685701</c:v>
                </c:pt>
                <c:pt idx="19">
                  <c:v>0.97525637602222737</c:v>
                </c:pt>
                <c:pt idx="20">
                  <c:v>0.98203335470156028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F59-44E6-8147-7424CDB1CF7D}"/>
            </c:ext>
          </c:extLst>
        </c:ser>
        <c:ser>
          <c:idx val="9"/>
          <c:order val="9"/>
          <c:spPr>
            <a:solidFill>
              <a:schemeClr val="accent4">
                <a:tint val="94000"/>
              </a:schemeClr>
            </a:solidFill>
            <a:ln/>
            <a:effectLst/>
            <a:sp3d prstMaterial="flat"/>
          </c:spPr>
          <c:val>
            <c:numRef>
              <c:f>'Main Page'!$D$118:$X$118</c:f>
              <c:numCache>
                <c:formatCode>0.00</c:formatCode>
                <c:ptCount val="21"/>
                <c:pt idx="0">
                  <c:v>2.2571754982407554E-2</c:v>
                </c:pt>
                <c:pt idx="1">
                  <c:v>2.3072174925472682E-2</c:v>
                </c:pt>
                <c:pt idx="2">
                  <c:v>2.3826171694085258E-2</c:v>
                </c:pt>
                <c:pt idx="3">
                  <c:v>2.4972710596796135E-2</c:v>
                </c:pt>
                <c:pt idx="4">
                  <c:v>2.6739256327877742E-2</c:v>
                </c:pt>
                <c:pt idx="5">
                  <c:v>2.9512217425529425E-2</c:v>
                </c:pt>
                <c:pt idx="6">
                  <c:v>3.3978360051892857E-2</c:v>
                </c:pt>
                <c:pt idx="7">
                  <c:v>4.1422258604639356E-2</c:v>
                </c:pt>
                <c:pt idx="8">
                  <c:v>5.437265635181053E-2</c:v>
                </c:pt>
                <c:pt idx="9">
                  <c:v>7.8000314740939936E-2</c:v>
                </c:pt>
                <c:pt idx="10">
                  <c:v>0.12283078775074696</c:v>
                </c:pt>
                <c:pt idx="11">
                  <c:v>0.20789280841867705</c:v>
                </c:pt>
                <c:pt idx="12">
                  <c:v>0.35485976360295685</c:v>
                </c:pt>
                <c:pt idx="13">
                  <c:v>0.55420277199330115</c:v>
                </c:pt>
                <c:pt idx="14">
                  <c:v>0.74133891807616137</c:v>
                </c:pt>
                <c:pt idx="15">
                  <c:v>0.86376291197626576</c:v>
                </c:pt>
                <c:pt idx="16">
                  <c:v>0.9275545950799684</c:v>
                </c:pt>
                <c:pt idx="17">
                  <c:v>0.9582614398672249</c:v>
                </c:pt>
                <c:pt idx="18">
                  <c:v>0.97324564146961201</c:v>
                </c:pt>
                <c:pt idx="19">
                  <c:v>0.98095613401474469</c:v>
                </c:pt>
                <c:pt idx="20">
                  <c:v>0.98517407245152222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F59-44E6-8147-7424CDB1CF7D}"/>
            </c:ext>
          </c:extLst>
        </c:ser>
        <c:ser>
          <c:idx val="10"/>
          <c:order val="10"/>
          <c:spPr>
            <a:solidFill>
              <a:schemeClr val="accent4"/>
            </a:solidFill>
            <a:ln/>
            <a:effectLst/>
            <a:sp3d prstMaterial="flat"/>
          </c:spPr>
          <c:val>
            <c:numRef>
              <c:f>'Main Page'!$D$119:$X$119</c:f>
              <c:numCache>
                <c:formatCode>0.00</c:formatCode>
                <c:ptCount val="21"/>
                <c:pt idx="0">
                  <c:v>2.2951947407163636E-2</c:v>
                </c:pt>
                <c:pt idx="1">
                  <c:v>2.3644507394488416E-2</c:v>
                </c:pt>
                <c:pt idx="2">
                  <c:v>2.4695340388132297E-2</c:v>
                </c:pt>
                <c:pt idx="3">
                  <c:v>2.6309412038074586E-2</c:v>
                </c:pt>
                <c:pt idx="4">
                  <c:v>2.8832023346084291E-2</c:v>
                </c:pt>
                <c:pt idx="5">
                  <c:v>3.2870837799029003E-2</c:v>
                </c:pt>
                <c:pt idx="6">
                  <c:v>3.9550282415406243E-2</c:v>
                </c:pt>
                <c:pt idx="7">
                  <c:v>5.1061751203429491E-2</c:v>
                </c:pt>
                <c:pt idx="8">
                  <c:v>7.186081821185708E-2</c:v>
                </c:pt>
                <c:pt idx="9">
                  <c:v>0.11107988134790583</c:v>
                </c:pt>
                <c:pt idx="10">
                  <c:v>0.18590815905771499</c:v>
                </c:pt>
                <c:pt idx="11">
                  <c:v>0.31914558501912599</c:v>
                </c:pt>
                <c:pt idx="12">
                  <c:v>0.51155762831297058</c:v>
                </c:pt>
                <c:pt idx="13">
                  <c:v>0.70733994138245881</c:v>
                </c:pt>
                <c:pt idx="14">
                  <c:v>0.84417533760026953</c:v>
                </c:pt>
                <c:pt idx="15">
                  <c:v>0.91790863820347124</c:v>
                </c:pt>
                <c:pt idx="16">
                  <c:v>0.95363680988299993</c:v>
                </c:pt>
                <c:pt idx="17">
                  <c:v>0.97094166793114556</c:v>
                </c:pt>
                <c:pt idx="18">
                  <c:v>0.97973740873908211</c:v>
                </c:pt>
                <c:pt idx="19">
                  <c:v>0.98448985882771978</c:v>
                </c:pt>
                <c:pt idx="20">
                  <c:v>0.98720806104995684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F59-44E6-8147-7424CDB1CF7D}"/>
            </c:ext>
          </c:extLst>
        </c:ser>
        <c:ser>
          <c:idx val="11"/>
          <c:order val="11"/>
          <c:spPr>
            <a:solidFill>
              <a:schemeClr val="accent4">
                <a:shade val="93000"/>
              </a:schemeClr>
            </a:solidFill>
            <a:ln/>
            <a:effectLst/>
            <a:sp3d prstMaterial="flat"/>
          </c:spPr>
          <c:val>
            <c:numRef>
              <c:f>'Main Page'!$D$120:$X$120</c:f>
              <c:numCache>
                <c:formatCode>0.00</c:formatCode>
                <c:ptCount val="21"/>
                <c:pt idx="0">
                  <c:v>2.3477757351815707E-2</c:v>
                </c:pt>
                <c:pt idx="1">
                  <c:v>2.4441367768344928E-2</c:v>
                </c:pt>
                <c:pt idx="2">
                  <c:v>2.5917201545930999E-2</c:v>
                </c:pt>
                <c:pt idx="3">
                  <c:v>2.8214397403105041E-2</c:v>
                </c:pt>
                <c:pt idx="4">
                  <c:v>3.1871779715754056E-2</c:v>
                </c:pt>
                <c:pt idx="5">
                  <c:v>3.7875791406256201E-2</c:v>
                </c:pt>
                <c:pt idx="6">
                  <c:v>4.8129035171409845E-2</c:v>
                </c:pt>
                <c:pt idx="7">
                  <c:v>6.6472805260495607E-2</c:v>
                </c:pt>
                <c:pt idx="8">
                  <c:v>0.10080582484708206</c:v>
                </c:pt>
                <c:pt idx="9">
                  <c:v>0.16645466976697126</c:v>
                </c:pt>
                <c:pt idx="10">
                  <c:v>0.28618417132543233</c:v>
                </c:pt>
                <c:pt idx="11">
                  <c:v>0.46909253795050315</c:v>
                </c:pt>
                <c:pt idx="12">
                  <c:v>0.67057723465832453</c:v>
                </c:pt>
                <c:pt idx="13">
                  <c:v>0.82182893292070869</c:v>
                </c:pt>
                <c:pt idx="14">
                  <c:v>0.90668839189715833</c:v>
                </c:pt>
                <c:pt idx="15">
                  <c:v>0.94826666095062062</c:v>
                </c:pt>
                <c:pt idx="16">
                  <c:v>0.96829479793268358</c:v>
                </c:pt>
                <c:pt idx="17">
                  <c:v>0.97835507358404072</c:v>
                </c:pt>
                <c:pt idx="18">
                  <c:v>0.98372278750316922</c:v>
                </c:pt>
                <c:pt idx="19">
                  <c:v>0.98675941923110266</c:v>
                </c:pt>
                <c:pt idx="20">
                  <c:v>0.98856343603430141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F59-44E6-8147-7424CDB1CF7D}"/>
            </c:ext>
          </c:extLst>
        </c:ser>
        <c:ser>
          <c:idx val="12"/>
          <c:order val="12"/>
          <c:spPr>
            <a:solidFill>
              <a:schemeClr val="accent4">
                <a:shade val="87000"/>
              </a:schemeClr>
            </a:solidFill>
            <a:ln/>
            <a:effectLst/>
            <a:sp3d prstMaterial="flat"/>
          </c:spPr>
          <c:val>
            <c:numRef>
              <c:f>'Main Page'!$D$121:$X$121</c:f>
              <c:numCache>
                <c:formatCode>0.00</c:formatCode>
                <c:ptCount val="21"/>
                <c:pt idx="0">
                  <c:v>2.4208683893510406E-2</c:v>
                </c:pt>
                <c:pt idx="1">
                  <c:v>2.5559036239075815E-2</c:v>
                </c:pt>
                <c:pt idx="2">
                  <c:v>2.7652949253872131E-2</c:v>
                </c:pt>
                <c:pt idx="3">
                  <c:v>3.0969207378136739E-2</c:v>
                </c:pt>
                <c:pt idx="4">
                  <c:v>3.6375141091893264E-2</c:v>
                </c:pt>
                <c:pt idx="5">
                  <c:v>4.5525927351642556E-2</c:v>
                </c:pt>
                <c:pt idx="6">
                  <c:v>6.1736326524917971E-2</c:v>
                </c:pt>
                <c:pt idx="7">
                  <c:v>9.1823811347073805E-2</c:v>
                </c:pt>
                <c:pt idx="8">
                  <c:v>0.14931741084421893</c:v>
                </c:pt>
                <c:pt idx="9">
                  <c:v>0.2561169456653527</c:v>
                </c:pt>
                <c:pt idx="10">
                  <c:v>0.42754108628909343</c:v>
                </c:pt>
                <c:pt idx="11">
                  <c:v>0.63143424477093635</c:v>
                </c:pt>
                <c:pt idx="12">
                  <c:v>0.79653729709027921</c:v>
                </c:pt>
                <c:pt idx="13">
                  <c:v>0.8936601395228394</c:v>
                </c:pt>
                <c:pt idx="14">
                  <c:v>0.94202202360707454</c:v>
                </c:pt>
                <c:pt idx="15">
                  <c:v>0.96524628706755022</c:v>
                </c:pt>
                <c:pt idx="16">
                  <c:v>0.97678308014453452</c:v>
                </c:pt>
                <c:pt idx="17">
                  <c:v>0.98286090024995187</c:v>
                </c:pt>
                <c:pt idx="18">
                  <c:v>0.98626031004508097</c:v>
                </c:pt>
                <c:pt idx="19">
                  <c:v>0.98826145168044111</c:v>
                </c:pt>
                <c:pt idx="20">
                  <c:v>0.98948761305335753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DF59-44E6-8147-7424CDB1CF7D}"/>
            </c:ext>
          </c:extLst>
        </c:ser>
        <c:ser>
          <c:idx val="13"/>
          <c:order val="13"/>
          <c:spPr>
            <a:solidFill>
              <a:schemeClr val="accent4">
                <a:shade val="80000"/>
              </a:schemeClr>
            </a:solidFill>
            <a:ln/>
            <a:effectLst/>
            <a:sp3d prstMaterial="flat"/>
          </c:spPr>
          <c:val>
            <c:numRef>
              <c:f>'Main Page'!$D$122:$X$122</c:f>
              <c:numCache>
                <c:formatCode>0.00</c:formatCode>
                <c:ptCount val="21"/>
                <c:pt idx="0">
                  <c:v>2.5231710471754144E-2</c:v>
                </c:pt>
                <c:pt idx="1">
                  <c:v>2.7142026920223401E-2</c:v>
                </c:pt>
                <c:pt idx="2">
                  <c:v>3.0152640576296609E-2</c:v>
                </c:pt>
                <c:pt idx="3">
                  <c:v>3.5027854772767805E-2</c:v>
                </c:pt>
                <c:pt idx="4">
                  <c:v>4.3210620508235535E-2</c:v>
                </c:pt>
                <c:pt idx="5">
                  <c:v>5.7564918163675399E-2</c:v>
                </c:pt>
                <c:pt idx="6">
                  <c:v>8.3967860459578839E-2</c:v>
                </c:pt>
                <c:pt idx="7">
                  <c:v>0.13427019594284312</c:v>
                </c:pt>
                <c:pt idx="8">
                  <c:v>0.2289649083950194</c:v>
                </c:pt>
                <c:pt idx="9">
                  <c:v>0.38756206191778769</c:v>
                </c:pt>
                <c:pt idx="10">
                  <c:v>0.59044020898316463</c:v>
                </c:pt>
                <c:pt idx="11">
                  <c:v>0.76818425244600308</c:v>
                </c:pt>
                <c:pt idx="12">
                  <c:v>0.87857480825383893</c:v>
                </c:pt>
                <c:pt idx="13">
                  <c:v>0.93475352043929905</c:v>
                </c:pt>
                <c:pt idx="14">
                  <c:v>0.96172669979559966</c:v>
                </c:pt>
                <c:pt idx="15">
                  <c:v>0.9749906847503208</c:v>
                </c:pt>
                <c:pt idx="16">
                  <c:v>0.9818902209864222</c:v>
                </c:pt>
                <c:pt idx="17">
                  <c:v>0.9857040254242283</c:v>
                </c:pt>
                <c:pt idx="18">
                  <c:v>0.98792759108597206</c:v>
                </c:pt>
                <c:pt idx="19">
                  <c:v>0.9892800612143291</c:v>
                </c:pt>
                <c:pt idx="20">
                  <c:v>0.99012924120041634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DF59-44E6-8147-7424CDB1CF7D}"/>
            </c:ext>
          </c:extLst>
        </c:ser>
        <c:ser>
          <c:idx val="14"/>
          <c:order val="14"/>
          <c:spPr>
            <a:solidFill>
              <a:schemeClr val="accent4">
                <a:shade val="74000"/>
              </a:schemeClr>
            </a:solidFill>
            <a:ln/>
            <a:effectLst/>
            <a:sp3d prstMaterial="flat"/>
          </c:spPr>
          <c:val>
            <c:numRef>
              <c:f>'Main Page'!$D$123:$X$123</c:f>
              <c:numCache>
                <c:formatCode>0.00</c:formatCode>
                <c:ptCount val="21"/>
                <c:pt idx="0">
                  <c:v>2.6676620725043246E-2</c:v>
                </c:pt>
                <c:pt idx="1">
                  <c:v>2.9412889295764303E-2</c:v>
                </c:pt>
                <c:pt idx="2">
                  <c:v>3.381616483854312E-2</c:v>
                </c:pt>
                <c:pt idx="3">
                  <c:v>4.1147111058076627E-2</c:v>
                </c:pt>
                <c:pt idx="4">
                  <c:v>5.3883983410012923E-2</c:v>
                </c:pt>
                <c:pt idx="5">
                  <c:v>7.7090746320076134E-2</c:v>
                </c:pt>
                <c:pt idx="6">
                  <c:v>0.12108807962338929</c:v>
                </c:pt>
                <c:pt idx="7">
                  <c:v>0.2046527836417015</c:v>
                </c:pt>
                <c:pt idx="8">
                  <c:v>0.34969911519533636</c:v>
                </c:pt>
                <c:pt idx="9">
                  <c:v>0.54824547150404856</c:v>
                </c:pt>
                <c:pt idx="10">
                  <c:v>0.7367522011889287</c:v>
                </c:pt>
                <c:pt idx="11">
                  <c:v>0.86117650569650295</c:v>
                </c:pt>
                <c:pt idx="12">
                  <c:v>0.92628977529118417</c:v>
                </c:pt>
                <c:pt idx="13">
                  <c:v>0.9576541029725707</c:v>
                </c:pt>
                <c:pt idx="14">
                  <c:v>0.9729415564543864</c:v>
                </c:pt>
                <c:pt idx="15">
                  <c:v>0.9807943766522822</c:v>
                </c:pt>
                <c:pt idx="16">
                  <c:v>0.98508280245336877</c:v>
                </c:pt>
                <c:pt idx="17">
                  <c:v>0.98755794093215565</c:v>
                </c:pt>
                <c:pt idx="18">
                  <c:v>0.98905172870133828</c:v>
                </c:pt>
                <c:pt idx="19">
                  <c:v>0.98998425857446004</c:v>
                </c:pt>
                <c:pt idx="20">
                  <c:v>0.99058093283355109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DF59-44E6-8147-7424CDB1CF7D}"/>
            </c:ext>
          </c:extLst>
        </c:ser>
        <c:ser>
          <c:idx val="15"/>
          <c:order val="15"/>
          <c:spPr>
            <a:solidFill>
              <a:schemeClr val="accent4">
                <a:shade val="68000"/>
              </a:schemeClr>
            </a:solidFill>
            <a:ln/>
            <a:effectLst/>
            <a:sp3d prstMaterial="flat"/>
          </c:spPr>
          <c:val>
            <c:numRef>
              <c:f>'Main Page'!$D$124:$X$124</c:f>
              <c:numCache>
                <c:formatCode>0.00</c:formatCode>
                <c:ptCount val="21"/>
                <c:pt idx="0">
                  <c:v>2.8741876724918045E-2</c:v>
                </c:pt>
                <c:pt idx="1">
                  <c:v>3.2724622743109763E-2</c:v>
                </c:pt>
                <c:pt idx="2">
                  <c:v>3.9304359961668409E-2</c:v>
                </c:pt>
                <c:pt idx="3">
                  <c:v>5.0629272592333185E-2</c:v>
                </c:pt>
                <c:pt idx="4">
                  <c:v>7.1063104954522005E-2</c:v>
                </c:pt>
                <c:pt idx="5">
                  <c:v>0.109555900158871</c:v>
                </c:pt>
                <c:pt idx="6">
                  <c:v>0.18303486481398859</c:v>
                </c:pt>
                <c:pt idx="7">
                  <c:v>0.31435705925282026</c:v>
                </c:pt>
                <c:pt idx="8">
                  <c:v>0.50557992416023056</c:v>
                </c:pt>
                <c:pt idx="9">
                  <c:v>0.70234863657730262</c:v>
                </c:pt>
                <c:pt idx="10">
                  <c:v>0.8412155275274199</c:v>
                </c:pt>
                <c:pt idx="11">
                  <c:v>0.91643660806596772</c:v>
                </c:pt>
                <c:pt idx="12">
                  <c:v>0.95293208066130664</c:v>
                </c:pt>
                <c:pt idx="13">
                  <c:v>0.97059272488584636</c:v>
                </c:pt>
                <c:pt idx="14">
                  <c:v>0.97955414343144043</c:v>
                </c:pt>
                <c:pt idx="15">
                  <c:v>0.98438763382751282</c:v>
                </c:pt>
                <c:pt idx="16">
                  <c:v>0.98714801842609179</c:v>
                </c:pt>
                <c:pt idx="17">
                  <c:v>0.98880024333969796</c:v>
                </c:pt>
                <c:pt idx="18">
                  <c:v>0.98982536570550728</c:v>
                </c:pt>
                <c:pt idx="19">
                  <c:v>0.990478391187812</c:v>
                </c:pt>
                <c:pt idx="20">
                  <c:v>0.99090228581941919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DF59-44E6-8147-7424CDB1CF7D}"/>
            </c:ext>
          </c:extLst>
        </c:ser>
        <c:ser>
          <c:idx val="16"/>
          <c:order val="16"/>
          <c:spPr>
            <a:solidFill>
              <a:schemeClr val="accent4">
                <a:shade val="61000"/>
              </a:schemeClr>
            </a:solidFill>
            <a:ln/>
            <a:effectLst/>
            <a:sp3d prstMaterial="flat"/>
          </c:spPr>
          <c:val>
            <c:numRef>
              <c:f>'Main Page'!$D$125:$X$125</c:f>
              <c:numCache>
                <c:formatCode>0.00</c:formatCode>
                <c:ptCount val="21"/>
                <c:pt idx="0">
                  <c:v>3.1739767621927026E-2</c:v>
                </c:pt>
                <c:pt idx="1">
                  <c:v>3.765557132347673E-2</c:v>
                </c:pt>
                <c:pt idx="2">
                  <c:v>4.7745496471980564E-2</c:v>
                </c:pt>
                <c:pt idx="3">
                  <c:v>6.5772069567637856E-2</c:v>
                </c:pt>
                <c:pt idx="4">
                  <c:v>9.9473572562368537E-2</c:v>
                </c:pt>
                <c:pt idx="5">
                  <c:v>0.16391925481480019</c:v>
                </c:pt>
                <c:pt idx="6">
                  <c:v>0.28179560359293587</c:v>
                </c:pt>
                <c:pt idx="7">
                  <c:v>0.4631998447494628</c:v>
                </c:pt>
                <c:pt idx="8">
                  <c:v>0.66522585506249876</c:v>
                </c:pt>
                <c:pt idx="9">
                  <c:v>0.81846639887368322</c:v>
                </c:pt>
                <c:pt idx="10">
                  <c:v>0.90497754810154907</c:v>
                </c:pt>
                <c:pt idx="11">
                  <c:v>0.94744762755152379</c:v>
                </c:pt>
                <c:pt idx="12">
                  <c:v>0.96789334837509311</c:v>
                </c:pt>
                <c:pt idx="13">
                  <c:v>0.97814690419650996</c:v>
                </c:pt>
                <c:pt idx="14">
                  <c:v>0.98360804122193279</c:v>
                </c:pt>
                <c:pt idx="15">
                  <c:v>0.98669267496870505</c:v>
                </c:pt>
                <c:pt idx="16">
                  <c:v>0.98852291402155867</c:v>
                </c:pt>
                <c:pt idx="17">
                  <c:v>0.98965107285855303</c:v>
                </c:pt>
                <c:pt idx="18">
                  <c:v>0.99036633650528805</c:v>
                </c:pt>
                <c:pt idx="19">
                  <c:v>0.99082907639678963</c:v>
                </c:pt>
                <c:pt idx="20">
                  <c:v>0.99113273255985124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DF59-44E6-8147-7424CDB1CF7D}"/>
            </c:ext>
          </c:extLst>
        </c:ser>
        <c:ser>
          <c:idx val="17"/>
          <c:order val="17"/>
          <c:spPr>
            <a:solidFill>
              <a:schemeClr val="accent4">
                <a:shade val="55000"/>
              </a:schemeClr>
            </a:solidFill>
            <a:ln/>
            <a:effectLst/>
            <a:sp3d prstMaterial="flat"/>
          </c:spPr>
          <c:val>
            <c:numRef>
              <c:f>'Main Page'!$D$126:$X$126</c:f>
              <c:numCache>
                <c:formatCode>0.00</c:formatCode>
                <c:ptCount val="21"/>
                <c:pt idx="0">
                  <c:v>3.6177574970568914E-2</c:v>
                </c:pt>
                <c:pt idx="1">
                  <c:v>4.5185086806481707E-2</c:v>
                </c:pt>
                <c:pt idx="2">
                  <c:v>6.111967982440418E-2</c:v>
                </c:pt>
                <c:pt idx="3">
                  <c:v>9.0658889559083883E-2</c:v>
                </c:pt>
                <c:pt idx="4">
                  <c:v>0.14708853162096464</c:v>
                </c:pt>
                <c:pt idx="5">
                  <c:v>0.25213802277536379</c:v>
                </c:pt>
                <c:pt idx="6">
                  <c:v>0.42183128985563062</c:v>
                </c:pt>
                <c:pt idx="7">
                  <c:v>0.62578852543013008</c:v>
                </c:pt>
                <c:pt idx="8">
                  <c:v>0.79275088902176849</c:v>
                </c:pt>
                <c:pt idx="9">
                  <c:v>0.89167635804227574</c:v>
                </c:pt>
                <c:pt idx="10">
                  <c:v>0.94106902898294853</c:v>
                </c:pt>
                <c:pt idx="11">
                  <c:v>0.96478328599726693</c:v>
                </c:pt>
                <c:pt idx="12">
                  <c:v>0.97654600100904654</c:v>
                </c:pt>
                <c:pt idx="13">
                  <c:v>0.9827318040830938</c:v>
                </c:pt>
                <c:pt idx="14">
                  <c:v>0.98618598163085835</c:v>
                </c:pt>
                <c:pt idx="15">
                  <c:v>0.98821668036056287</c:v>
                </c:pt>
                <c:pt idx="16">
                  <c:v>0.98945970481342582</c:v>
                </c:pt>
                <c:pt idx="17">
                  <c:v>0.99024380354435071</c:v>
                </c:pt>
                <c:pt idx="18">
                  <c:v>0.99074924977157786</c:v>
                </c:pt>
                <c:pt idx="19">
                  <c:v>0.99108009484315163</c:v>
                </c:pt>
                <c:pt idx="20">
                  <c:v>0.99129897263826061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F59-44E6-8147-7424CDB1CF7D}"/>
            </c:ext>
          </c:extLst>
        </c:ser>
        <c:ser>
          <c:idx val="18"/>
          <c:order val="18"/>
          <c:spPr>
            <a:solidFill>
              <a:schemeClr val="accent4">
                <a:shade val="49000"/>
              </a:schemeClr>
            </a:solidFill>
            <a:ln/>
            <a:effectLst/>
            <a:sp3d prstMaterial="flat"/>
          </c:spPr>
          <c:val>
            <c:numRef>
              <c:f>'Main Page'!$D$127:$X$127</c:f>
              <c:numCache>
                <c:formatCode>0.00</c:formatCode>
                <c:ptCount val="21"/>
                <c:pt idx="0">
                  <c:v>4.2907104783323789E-2</c:v>
                </c:pt>
                <c:pt idx="1">
                  <c:v>5.7021230292755964E-2</c:v>
                </c:pt>
                <c:pt idx="2">
                  <c:v>8.2948525900459799E-2</c:v>
                </c:pt>
                <c:pt idx="3">
                  <c:v>0.13231602697180167</c:v>
                </c:pt>
                <c:pt idx="4">
                  <c:v>0.22539029173910982</c:v>
                </c:pt>
                <c:pt idx="5">
                  <c:v>0.38211899760600904</c:v>
                </c:pt>
                <c:pt idx="6">
                  <c:v>0.58458475880152039</c:v>
                </c:pt>
                <c:pt idx="7">
                  <c:v>0.76396491960833035</c:v>
                </c:pt>
                <c:pt idx="8">
                  <c:v>0.87628240137721392</c:v>
                </c:pt>
                <c:pt idx="9">
                  <c:v>0.93364390798128993</c:v>
                </c:pt>
                <c:pt idx="10">
                  <c:v>0.96119146451866333</c:v>
                </c:pt>
                <c:pt idx="11">
                  <c:v>0.97471996457558197</c:v>
                </c:pt>
                <c:pt idx="12">
                  <c:v>0.98174463490933017</c:v>
                </c:pt>
                <c:pt idx="13">
                  <c:v>0.98562109276186394</c:v>
                </c:pt>
                <c:pt idx="14">
                  <c:v>0.98787805331076806</c:v>
                </c:pt>
                <c:pt idx="15">
                  <c:v>0.98924937366629406</c:v>
                </c:pt>
                <c:pt idx="16">
                  <c:v>0.99010971516297486</c:v>
                </c:pt>
                <c:pt idx="17">
                  <c:v>0.99066216366575188</c:v>
                </c:pt>
                <c:pt idx="18">
                  <c:v>0.99102279312035413</c:v>
                </c:pt>
                <c:pt idx="19">
                  <c:v>0.99126092638750374</c:v>
                </c:pt>
                <c:pt idx="20">
                  <c:v>0.99141942553508655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DF59-44E6-8147-7424CDB1CF7D}"/>
            </c:ext>
          </c:extLst>
        </c:ser>
        <c:ser>
          <c:idx val="19"/>
          <c:order val="19"/>
          <c:spPr>
            <a:solidFill>
              <a:schemeClr val="accent4">
                <a:shade val="42000"/>
              </a:schemeClr>
            </a:solidFill>
            <a:ln/>
            <a:effectLst/>
            <a:sp3d prstMaterial="flat"/>
          </c:spPr>
          <c:val>
            <c:numRef>
              <c:f>'Main Page'!$D$128:$X$128</c:f>
              <c:numCache>
                <c:formatCode>0.00</c:formatCode>
                <c:ptCount val="21"/>
                <c:pt idx="0">
                  <c:v>5.3403662649066992E-2</c:v>
                </c:pt>
                <c:pt idx="1">
                  <c:v>7.6197826035799082E-2</c:v>
                </c:pt>
                <c:pt idx="2">
                  <c:v>0.1193777340550778</c:v>
                </c:pt>
                <c:pt idx="3">
                  <c:v>0.20146571777505026</c:v>
                </c:pt>
                <c:pt idx="4">
                  <c:v>0.34458818629734445</c:v>
                </c:pt>
                <c:pt idx="5">
                  <c:v>0.54227888622445486</c:v>
                </c:pt>
                <c:pt idx="6">
                  <c:v>0.7321069204545162</c:v>
                </c:pt>
                <c:pt idx="7">
                  <c:v>0.8585397578777495</c:v>
                </c:pt>
                <c:pt idx="8">
                  <c:v>0.92499771815478771</c:v>
                </c:pt>
                <c:pt idx="9">
                  <c:v>0.95703404484606613</c:v>
                </c:pt>
                <c:pt idx="10">
                  <c:v>0.97263160102578394</c:v>
                </c:pt>
                <c:pt idx="11">
                  <c:v>0.98062979044259413</c:v>
                </c:pt>
                <c:pt idx="12">
                  <c:v>0.98499008329622273</c:v>
                </c:pt>
                <c:pt idx="13">
                  <c:v>0.98750304497541763</c:v>
                </c:pt>
                <c:pt idx="14">
                  <c:v>0.98901794703335899</c:v>
                </c:pt>
                <c:pt idx="15">
                  <c:v>0.98996286709827563</c:v>
                </c:pt>
                <c:pt idx="16">
                  <c:v>0.99056710594764719</c:v>
                </c:pt>
                <c:pt idx="17">
                  <c:v>0.99096039050378126</c:v>
                </c:pt>
                <c:pt idx="18">
                  <c:v>0.99121955940060669</c:v>
                </c:pt>
                <c:pt idx="19">
                  <c:v>0.99139181828103884</c:v>
                </c:pt>
                <c:pt idx="20">
                  <c:v>0.99150698814100779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DF59-44E6-8147-7424CDB1CF7D}"/>
            </c:ext>
          </c:extLst>
        </c:ser>
        <c:ser>
          <c:idx val="20"/>
          <c:order val="20"/>
          <c:spPr>
            <a:solidFill>
              <a:schemeClr val="accent4">
                <a:shade val="36000"/>
              </a:schemeClr>
            </a:solidFill>
            <a:ln/>
            <a:effectLst/>
            <a:sp3d prstMaterial="flat"/>
          </c:spPr>
          <c:val>
            <c:numRef>
              <c:f>'Main Page'!$D$129:$X$129</c:f>
              <c:numCache>
                <c:formatCode>0.00</c:formatCode>
                <c:ptCount val="21"/>
                <c:pt idx="0">
                  <c:v>7.0279826912114124E-2</c:v>
                </c:pt>
                <c:pt idx="1">
                  <c:v>0.10806034963910176</c:v>
                </c:pt>
                <c:pt idx="2">
                  <c:v>0.18021072935477689</c:v>
                </c:pt>
                <c:pt idx="3">
                  <c:v>0.30962333603119657</c:v>
                </c:pt>
                <c:pt idx="4">
                  <c:v>0.49960787326600348</c:v>
                </c:pt>
                <c:pt idx="5">
                  <c:v>0.69730370722901425</c:v>
                </c:pt>
                <c:pt idx="6">
                  <c:v>0.83820091285499765</c:v>
                </c:pt>
                <c:pt idx="7">
                  <c:v>0.91493308752439806</c:v>
                </c:pt>
                <c:pt idx="8">
                  <c:v>0.95221241541894053</c:v>
                </c:pt>
                <c:pt idx="9">
                  <c:v>0.97023691572372051</c:v>
                </c:pt>
                <c:pt idx="10">
                  <c:v>0.97936760635052333</c:v>
                </c:pt>
                <c:pt idx="11">
                  <c:v>0.98428375441815863</c:v>
                </c:pt>
                <c:pt idx="12">
                  <c:v>0.98708708546312518</c:v>
                </c:pt>
                <c:pt idx="13">
                  <c:v>0.98876301079196594</c:v>
                </c:pt>
                <c:pt idx="14">
                  <c:v>0.98980191033623866</c:v>
                </c:pt>
                <c:pt idx="15">
                  <c:v>0.99046328580634879</c:v>
                </c:pt>
                <c:pt idx="16">
                  <c:v>0.99089240513886545</c:v>
                </c:pt>
                <c:pt idx="17">
                  <c:v>0.99117456917857261</c:v>
                </c:pt>
                <c:pt idx="18">
                  <c:v>0.99136182850090127</c:v>
                </c:pt>
                <c:pt idx="19">
                  <c:v>0.99148689766526465</c:v>
                </c:pt>
                <c:pt idx="20">
                  <c:v>0.99157079529804859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DF59-44E6-8147-7424CDB1CF7D}"/>
            </c:ext>
          </c:extLst>
        </c:ser>
        <c:bandFmts>
          <c:bandFmt>
            <c:idx val="0"/>
            <c:spPr>
              <a:solidFill>
                <a:schemeClr val="accent4">
                  <a:tint val="43000"/>
                </a:schemeClr>
              </a:solidFill>
              <a:ln/>
              <a:effectLst/>
              <a:sp3d prstMaterial="flat"/>
            </c:spPr>
          </c:bandFmt>
          <c:bandFmt>
            <c:idx val="1"/>
            <c:spPr>
              <a:solidFill>
                <a:schemeClr val="accent4">
                  <a:tint val="56000"/>
                </a:schemeClr>
              </a:solidFill>
              <a:ln/>
              <a:effectLst/>
              <a:sp3d prstMaterial="flat"/>
            </c:spPr>
          </c:bandFmt>
          <c:bandFmt>
            <c:idx val="2"/>
            <c:spPr>
              <a:solidFill>
                <a:schemeClr val="accent4">
                  <a:tint val="69000"/>
                </a:schemeClr>
              </a:solidFill>
              <a:ln/>
              <a:effectLst/>
              <a:sp3d prstMaterial="flat"/>
            </c:spPr>
          </c:bandFmt>
          <c:bandFmt>
            <c:idx val="3"/>
            <c:spPr>
              <a:solidFill>
                <a:schemeClr val="accent4">
                  <a:tint val="81000"/>
                </a:schemeClr>
              </a:solidFill>
              <a:ln/>
              <a:effectLst/>
              <a:sp3d prstMaterial="flat"/>
            </c:spPr>
          </c:bandFmt>
          <c:bandFmt>
            <c:idx val="4"/>
            <c:spPr>
              <a:solidFill>
                <a:schemeClr val="accent4">
                  <a:tint val="94000"/>
                </a:schemeClr>
              </a:solidFill>
              <a:ln/>
              <a:effectLst/>
              <a:sp3d prstMaterial="flat"/>
            </c:spPr>
          </c:bandFmt>
          <c:bandFmt>
            <c:idx val="5"/>
            <c:spPr>
              <a:solidFill>
                <a:schemeClr val="accent4">
                  <a:shade val="93000"/>
                </a:schemeClr>
              </a:solidFill>
              <a:ln/>
              <a:effectLst/>
              <a:sp3d prstMaterial="flat"/>
            </c:spPr>
          </c:bandFmt>
          <c:bandFmt>
            <c:idx val="6"/>
            <c:spPr>
              <a:solidFill>
                <a:schemeClr val="accent4">
                  <a:shade val="80000"/>
                </a:schemeClr>
              </a:solidFill>
              <a:ln/>
              <a:effectLst/>
              <a:sp3d prstMaterial="flat"/>
            </c:spPr>
          </c:bandFmt>
          <c:bandFmt>
            <c:idx val="7"/>
            <c:spPr>
              <a:solidFill>
                <a:schemeClr val="accent4">
                  <a:shade val="68000"/>
                </a:schemeClr>
              </a:solidFill>
              <a:ln/>
              <a:effectLst/>
              <a:sp3d prstMaterial="flat"/>
            </c:spPr>
          </c:bandFmt>
          <c:bandFmt>
            <c:idx val="8"/>
            <c:spPr>
              <a:solidFill>
                <a:schemeClr val="accent4">
                  <a:shade val="55000"/>
                </a:schemeClr>
              </a:solidFill>
              <a:ln/>
              <a:effectLst/>
              <a:sp3d prstMaterial="flat"/>
            </c:spPr>
          </c:bandFmt>
          <c:bandFmt>
            <c:idx val="9"/>
            <c:spPr>
              <a:solidFill>
                <a:schemeClr val="accent4">
                  <a:shade val="42000"/>
                </a:schemeClr>
              </a:solidFill>
              <a:ln/>
              <a:effectLst/>
              <a:sp3d prstMaterial="flat"/>
            </c:spPr>
          </c:bandFmt>
          <c:bandFmt>
            <c:idx val="10"/>
            <c:spPr>
              <a:solidFill>
                <a:schemeClr val="accent4">
                  <a:shade val="42000"/>
                </a:schemeClr>
              </a:solidFill>
              <a:ln/>
              <a:effectLst/>
              <a:sp3d prstMaterial="flat"/>
            </c:spPr>
          </c:bandFmt>
          <c:bandFmt>
            <c:idx val="11"/>
            <c:spPr>
              <a:solidFill>
                <a:schemeClr val="accent4">
                  <a:shade val="42000"/>
                </a:schemeClr>
              </a:solidFill>
              <a:ln/>
              <a:effectLst/>
              <a:sp3d prstMaterial="flat"/>
            </c:spPr>
          </c:bandFmt>
          <c:bandFmt>
            <c:idx val="12"/>
            <c:spPr>
              <a:solidFill>
                <a:schemeClr val="accent4">
                  <a:shade val="42000"/>
                </a:schemeClr>
              </a:solidFill>
              <a:ln/>
              <a:effectLst/>
              <a:sp3d prstMaterial="flat"/>
            </c:spPr>
          </c:bandFmt>
          <c:bandFmt>
            <c:idx val="13"/>
            <c:spPr>
              <a:solidFill>
                <a:schemeClr val="accent4">
                  <a:shade val="42000"/>
                </a:schemeClr>
              </a:solidFill>
              <a:ln/>
              <a:effectLst/>
              <a:sp3d prstMaterial="flat"/>
            </c:spPr>
          </c:bandFmt>
          <c:bandFmt>
            <c:idx val="14"/>
            <c:spPr>
              <a:solidFill>
                <a:schemeClr val="accent4">
                  <a:shade val="42000"/>
                </a:schemeClr>
              </a:solidFill>
              <a:ln/>
              <a:effectLst/>
              <a:sp3d prstMaterial="flat"/>
            </c:spPr>
          </c:bandFmt>
        </c:bandFmts>
        <c:axId val="312658688"/>
        <c:axId val="312669504"/>
        <c:axId val="2126312496"/>
      </c:surface3DChart>
      <c:catAx>
        <c:axId val="312658688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669504"/>
        <c:crosses val="autoZero"/>
        <c:auto val="1"/>
        <c:lblAlgn val="ctr"/>
        <c:lblOffset val="100"/>
        <c:noMultiLvlLbl val="0"/>
      </c:catAx>
      <c:valAx>
        <c:axId val="312669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658688"/>
        <c:crosses val="autoZero"/>
        <c:crossBetween val="midCat"/>
      </c:valAx>
      <c:serAx>
        <c:axId val="2126312496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669504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25938529416045"/>
          <c:y val="6.1971968441762094E-2"/>
          <c:w val="0.72723268709771993"/>
          <c:h val="0.76110759921836357"/>
        </c:manualLayout>
      </c:layout>
      <c:scatterChart>
        <c:scatterStyle val="smoothMarker"/>
        <c:varyColors val="0"/>
        <c:ser>
          <c:idx val="0"/>
          <c:order val="0"/>
          <c:tx>
            <c:v>w3 weight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'Iteration Data'!$C$3:$C$1000</c:f>
              <c:numCache>
                <c:formatCode>0.00</c:formatCode>
                <c:ptCount val="998"/>
                <c:pt idx="0">
                  <c:v>4.0091923710978445</c:v>
                </c:pt>
                <c:pt idx="1">
                  <c:v>4.0392873333948378</c:v>
                </c:pt>
                <c:pt idx="2">
                  <c:v>4.0691040899806916</c:v>
                </c:pt>
                <c:pt idx="3">
                  <c:v>4.0986423394235976</c:v>
                </c:pt>
                <c:pt idx="4">
                  <c:v>4.1279023712382283</c:v>
                </c:pt>
                <c:pt idx="5">
                  <c:v>4.1568849157395054</c:v>
                </c:pt>
                <c:pt idx="6">
                  <c:v>4.1855910445989961</c:v>
                </c:pt>
                <c:pt idx="7">
                  <c:v>4.214022103099186</c:v>
                </c:pt>
                <c:pt idx="8">
                  <c:v>4.2421796623300123</c:v>
                </c:pt>
                <c:pt idx="9">
                  <c:v>4.2700654840572216</c:v>
                </c:pt>
                <c:pt idx="10">
                  <c:v>4.2976814937636112</c:v>
                </c:pt>
                <c:pt idx="11">
                  <c:v>4.3250297590749112</c:v>
                </c:pt>
                <c:pt idx="12">
                  <c:v>4.3521124718370245</c:v>
                </c:pt>
                <c:pt idx="13">
                  <c:v>4.4176435622857433</c:v>
                </c:pt>
                <c:pt idx="14">
                  <c:v>4.4839162077850725</c:v>
                </c:pt>
                <c:pt idx="15">
                  <c:v>4.5490951367249703</c:v>
                </c:pt>
                <c:pt idx="16">
                  <c:v>4.6127493301214635</c:v>
                </c:pt>
                <c:pt idx="17">
                  <c:v>4.6748092326815724</c:v>
                </c:pt>
                <c:pt idx="18">
                  <c:v>4.7352985575659678</c:v>
                </c:pt>
                <c:pt idx="19">
                  <c:v>4.794264667116094</c:v>
                </c:pt>
                <c:pt idx="20">
                  <c:v>4.8517602145453314</c:v>
                </c:pt>
                <c:pt idx="21">
                  <c:v>4.9078381589372251</c:v>
                </c:pt>
                <c:pt idx="22">
                  <c:v>4.9625503307318324</c:v>
                </c:pt>
                <c:pt idx="23">
                  <c:v>5.0159469738912961</c:v>
                </c:pt>
                <c:pt idx="24">
                  <c:v>5.0680765791369211</c:v>
                </c:pt>
                <c:pt idx="25">
                  <c:v>5.1189858195835232</c:v>
                </c:pt>
                <c:pt idx="26">
                  <c:v>5.1687195328468158</c:v>
                </c:pt>
                <c:pt idx="27">
                  <c:v>5.2173207301608828</c:v>
                </c:pt>
                <c:pt idx="28">
                  <c:v>5.2648306237005569</c:v>
                </c:pt>
                <c:pt idx="29">
                  <c:v>5.3112886668842716</c:v>
                </c:pt>
                <c:pt idx="30">
                  <c:v>5.3567326039732865</c:v>
                </c:pt>
                <c:pt idx="31">
                  <c:v>5.4011985261639834</c:v>
                </c:pt>
                <c:pt idx="32">
                  <c:v>5.4447209319850698</c:v>
                </c:pt>
                <c:pt idx="33">
                  <c:v>5.4873327902837952</c:v>
                </c:pt>
                <c:pt idx="34">
                  <c:v>5.5290656044609729</c:v>
                </c:pt>
                <c:pt idx="35">
                  <c:v>5.6081637009087926</c:v>
                </c:pt>
                <c:pt idx="36">
                  <c:v>5.6875199570731967</c:v>
                </c:pt>
                <c:pt idx="37">
                  <c:v>5.7638100627553799</c:v>
                </c:pt>
                <c:pt idx="38">
                  <c:v>5.963332048693788</c:v>
                </c:pt>
                <c:pt idx="39">
                  <c:v>6.140862541468203</c:v>
                </c:pt>
                <c:pt idx="40">
                  <c:v>6.3013721423859197</c:v>
                </c:pt>
                <c:pt idx="41">
                  <c:v>6.4481801169278903</c:v>
                </c:pt>
                <c:pt idx="42">
                  <c:v>6.5833465472331358</c:v>
                </c:pt>
                <c:pt idx="43">
                  <c:v>6.7083878815719649</c:v>
                </c:pt>
                <c:pt idx="44">
                  <c:v>6.8245242617353155</c:v>
                </c:pt>
                <c:pt idx="45">
                  <c:v>6.9327772077312293</c:v>
                </c:pt>
                <c:pt idx="46">
                  <c:v>7.0340170884750064</c:v>
                </c:pt>
                <c:pt idx="47">
                  <c:v>7.1289918148416254</c:v>
                </c:pt>
                <c:pt idx="48">
                  <c:v>7.2183473350749434</c:v>
                </c:pt>
                <c:pt idx="49">
                  <c:v>7.3026437175185768</c:v>
                </c:pt>
                <c:pt idx="50">
                  <c:v>7.3823683169680256</c:v>
                </c:pt>
                <c:pt idx="51">
                  <c:v>7.4579467318837862</c:v>
                </c:pt>
                <c:pt idx="52">
                  <c:v>7.5297519747059098</c:v>
                </c:pt>
                <c:pt idx="53">
                  <c:v>7.5981121610967826</c:v>
                </c:pt>
                <c:pt idx="54">
                  <c:v>7.6633169636708089</c:v>
                </c:pt>
                <c:pt idx="55">
                  <c:v>7.7803354109103147</c:v>
                </c:pt>
                <c:pt idx="56">
                  <c:v>7.8906924735299429</c:v>
                </c:pt>
                <c:pt idx="57">
                  <c:v>7.9923934446759688</c:v>
                </c:pt>
                <c:pt idx="58">
                  <c:v>8.086751193132466</c:v>
                </c:pt>
                <c:pt idx="59">
                  <c:v>8.1747364558959141</c:v>
                </c:pt>
                <c:pt idx="60">
                  <c:v>8.2571242294621037</c:v>
                </c:pt>
                <c:pt idx="61">
                  <c:v>8.3345526755085686</c:v>
                </c:pt>
                <c:pt idx="62">
                  <c:v>8.4075571481330336</c:v>
                </c:pt>
                <c:pt idx="63">
                  <c:v>8.4765923130955567</c:v>
                </c:pt>
                <c:pt idx="64">
                  <c:v>8.5420478507091637</c:v>
                </c:pt>
                <c:pt idx="65">
                  <c:v>8.6042602362523226</c:v>
                </c:pt>
              </c:numCache>
            </c:numRef>
          </c:xVal>
          <c:yVal>
            <c:numRef>
              <c:f>'Iteration Data'!$A$3:$A$1000</c:f>
              <c:numCache>
                <c:formatCode>0.00</c:formatCode>
                <c:ptCount val="998"/>
                <c:pt idx="0">
                  <c:v>0.60368850364358972</c:v>
                </c:pt>
                <c:pt idx="1">
                  <c:v>0.59478253480650412</c:v>
                </c:pt>
                <c:pt idx="2">
                  <c:v>0.58608414904526762</c:v>
                </c:pt>
                <c:pt idx="3">
                  <c:v>0.57758584525681789</c:v>
                </c:pt>
                <c:pt idx="4">
                  <c:v>0.56928053745169982</c:v>
                </c:pt>
                <c:pt idx="5">
                  <c:v>0.56116154045911104</c:v>
                </c:pt>
                <c:pt idx="6">
                  <c:v>0.55322254703551921</c:v>
                </c:pt>
                <c:pt idx="7">
                  <c:v>0.54545760145023825</c:v>
                </c:pt>
                <c:pt idx="8">
                  <c:v>0.53786107243000891</c:v>
                </c:pt>
                <c:pt idx="9">
                  <c:v>0.53042762702487922</c:v>
                </c:pt>
                <c:pt idx="10">
                  <c:v>0.52315220617525215</c:v>
                </c:pt>
                <c:pt idx="11">
                  <c:v>0.51603000230510976</c:v>
                </c:pt>
                <c:pt idx="12">
                  <c:v>0.50905643900929665</c:v>
                </c:pt>
                <c:pt idx="13">
                  <c:v>0.49263775721448722</c:v>
                </c:pt>
                <c:pt idx="14">
                  <c:v>0.47631912466138854</c:v>
                </c:pt>
                <c:pt idx="15">
                  <c:v>0.4606093647837291</c:v>
                </c:pt>
                <c:pt idx="16">
                  <c:v>0.44563029064151705</c:v>
                </c:pt>
                <c:pt idx="17">
                  <c:v>0.4313766930571199</c:v>
                </c:pt>
                <c:pt idx="18">
                  <c:v>0.41781230028123439</c:v>
                </c:pt>
                <c:pt idx="19">
                  <c:v>0.40489573436993187</c:v>
                </c:pt>
                <c:pt idx="20">
                  <c:v>0.39258691982863086</c:v>
                </c:pt>
                <c:pt idx="21">
                  <c:v>0.38084844978635135</c:v>
                </c:pt>
                <c:pt idx="22">
                  <c:v>0.36964569712035927</c:v>
                </c:pt>
                <c:pt idx="23">
                  <c:v>0.35894663659735371</c:v>
                </c:pt>
                <c:pt idx="24">
                  <c:v>0.34872162005477425</c:v>
                </c:pt>
                <c:pt idx="25">
                  <c:v>0.33894316202851854</c:v>
                </c:pt>
                <c:pt idx="26">
                  <c:v>0.32958574674572272</c:v>
                </c:pt>
                <c:pt idx="27">
                  <c:v>0.32062565624135203</c:v>
                </c:pt>
                <c:pt idx="28">
                  <c:v>0.31204081712849374</c:v>
                </c:pt>
                <c:pt idx="29">
                  <c:v>0.30381066347592667</c:v>
                </c:pt>
                <c:pt idx="30">
                  <c:v>0.29591601360384978</c:v>
                </c:pt>
                <c:pt idx="31">
                  <c:v>0.28833895898538969</c:v>
                </c:pt>
                <c:pt idx="32">
                  <c:v>0.28106276375523126</c:v>
                </c:pt>
                <c:pt idx="33">
                  <c:v>0.27407177357455359</c:v>
                </c:pt>
                <c:pt idx="34">
                  <c:v>0.26735133279610662</c:v>
                </c:pt>
                <c:pt idx="35">
                  <c:v>0.25547008521732656</c:v>
                </c:pt>
                <c:pt idx="36">
                  <c:v>0.2432749148457175</c:v>
                </c:pt>
                <c:pt idx="37">
                  <c:v>0.23189555008592669</c:v>
                </c:pt>
                <c:pt idx="38">
                  <c:v>0.20762997539989481</c:v>
                </c:pt>
                <c:pt idx="39">
                  <c:v>0.18228996700900679</c:v>
                </c:pt>
                <c:pt idx="40">
                  <c:v>0.16003010605638876</c:v>
                </c:pt>
                <c:pt idx="41">
                  <c:v>0.14137527028671701</c:v>
                </c:pt>
                <c:pt idx="42">
                  <c:v>0.12593899792760216</c:v>
                </c:pt>
                <c:pt idx="43">
                  <c:v>0.11314082082198533</c:v>
                </c:pt>
                <c:pt idx="44">
                  <c:v>0.10244698623580861</c:v>
                </c:pt>
                <c:pt idx="45">
                  <c:v>9.342436797734055E-2</c:v>
                </c:pt>
                <c:pt idx="46">
                  <c:v>8.5735669356111141E-2</c:v>
                </c:pt>
                <c:pt idx="47">
                  <c:v>7.9121107015126493E-2</c:v>
                </c:pt>
                <c:pt idx="48">
                  <c:v>7.3380290135479753E-2</c:v>
                </c:pt>
                <c:pt idx="49">
                  <c:v>6.835754940282554E-2</c:v>
                </c:pt>
                <c:pt idx="50">
                  <c:v>6.3930819883375192E-2</c:v>
                </c:pt>
                <c:pt idx="51">
                  <c:v>6.0003411782146958E-2</c:v>
                </c:pt>
                <c:pt idx="52">
                  <c:v>5.6497952972978556E-2</c:v>
                </c:pt>
                <c:pt idx="53">
                  <c:v>5.3351918143572638E-2</c:v>
                </c:pt>
                <c:pt idx="54">
                  <c:v>5.0514306726313109E-2</c:v>
                </c:pt>
                <c:pt idx="55">
                  <c:v>4.6404249290941599E-2</c:v>
                </c:pt>
                <c:pt idx="56">
                  <c:v>4.1999039567476262E-2</c:v>
                </c:pt>
                <c:pt idx="57">
                  <c:v>3.8257626085408787E-2</c:v>
                </c:pt>
                <c:pt idx="58">
                  <c:v>3.5066686928162186E-2</c:v>
                </c:pt>
                <c:pt idx="59">
                  <c:v>3.2329134913454585E-2</c:v>
                </c:pt>
                <c:pt idx="60">
                  <c:v>2.9963198913455544E-2</c:v>
                </c:pt>
                <c:pt idx="61">
                  <c:v>2.7902609975529492E-2</c:v>
                </c:pt>
                <c:pt idx="62">
                  <c:v>2.6094433580812468E-2</c:v>
                </c:pt>
                <c:pt idx="63">
                  <c:v>2.4496500982768694E-2</c:v>
                </c:pt>
                <c:pt idx="64">
                  <c:v>2.3075109564251059E-2</c:v>
                </c:pt>
                <c:pt idx="65">
                  <c:v>2.1803154574501604E-2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ED9-48B7-B0BB-62BB3F1AB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1957695"/>
        <c:axId val="1491953119"/>
      </c:scatterChart>
      <c:valAx>
        <c:axId val="149195769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w3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1953119"/>
        <c:crosses val="autoZero"/>
        <c:crossBetween val="midCat"/>
      </c:valAx>
      <c:valAx>
        <c:axId val="1491953119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Cost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195769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25938529416045"/>
          <c:y val="6.1971968441762094E-2"/>
          <c:w val="0.72723268709771993"/>
          <c:h val="0.76110759921836357"/>
        </c:manualLayout>
      </c:layout>
      <c:scatterChart>
        <c:scatterStyle val="smoothMarker"/>
        <c:varyColors val="0"/>
        <c:ser>
          <c:idx val="0"/>
          <c:order val="0"/>
          <c:tx>
            <c:v>b3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'Iteration Data'!$F$3:$F$1000</c:f>
              <c:numCache>
                <c:formatCode>0.00</c:formatCode>
                <c:ptCount val="998"/>
                <c:pt idx="0">
                  <c:v>-1.6198527986584685</c:v>
                </c:pt>
                <c:pt idx="1">
                  <c:v>-1.6378578637496073</c:v>
                </c:pt>
                <c:pt idx="2">
                  <c:v>-1.6554867438282814</c:v>
                </c:pt>
                <c:pt idx="3">
                  <c:v>-1.6727579309752478</c:v>
                </c:pt>
                <c:pt idx="4">
                  <c:v>-1.6896882789218324</c:v>
                </c:pt>
                <c:pt idx="5">
                  <c:v>-1.7062933046392188</c:v>
                </c:pt>
                <c:pt idx="6">
                  <c:v>-1.7225873950703601</c:v>
                </c:pt>
                <c:pt idx="7">
                  <c:v>-1.7385839543342541</c:v>
                </c:pt>
                <c:pt idx="8">
                  <c:v>-1.754295513138016</c:v>
                </c:pt>
                <c:pt idx="9">
                  <c:v>-1.7697338137872407</c:v>
                </c:pt>
                <c:pt idx="10">
                  <c:v>-1.7849098790659428</c:v>
                </c:pt>
                <c:pt idx="11">
                  <c:v>-1.7998340701183206</c:v>
                </c:pt>
                <c:pt idx="12">
                  <c:v>-1.8145161365399454</c:v>
                </c:pt>
                <c:pt idx="13">
                  <c:v>-1.8541514847349607</c:v>
                </c:pt>
                <c:pt idx="14">
                  <c:v>-1.8895072325233075</c:v>
                </c:pt>
                <c:pt idx="15">
                  <c:v>-1.9228630894866678</c:v>
                </c:pt>
                <c:pt idx="16">
                  <c:v>-1.9548809900454975</c:v>
                </c:pt>
                <c:pt idx="17">
                  <c:v>-1.9857978011236388</c:v>
                </c:pt>
                <c:pt idx="18">
                  <c:v>-2.0157319294041569</c:v>
                </c:pt>
                <c:pt idx="19">
                  <c:v>-2.0447636406996428</c:v>
                </c:pt>
                <c:pt idx="20">
                  <c:v>-2.0729570933494919</c:v>
                </c:pt>
                <c:pt idx="21">
                  <c:v>-2.1003670866835291</c:v>
                </c:pt>
                <c:pt idx="22">
                  <c:v>-2.1270416458217198</c:v>
                </c:pt>
                <c:pt idx="23">
                  <c:v>-2.1530233674983017</c:v>
                </c:pt>
                <c:pt idx="24">
                  <c:v>-2.178350321306608</c:v>
                </c:pt>
                <c:pt idx="25">
                  <c:v>-2.2030567384250404</c:v>
                </c:pt>
                <c:pt idx="26">
                  <c:v>-2.2271735672214583</c:v>
                </c:pt>
                <c:pt idx="27">
                  <c:v>-2.2507289310801557</c:v>
                </c:pt>
                <c:pt idx="28">
                  <c:v>-2.273748509258303</c:v>
                </c:pt>
                <c:pt idx="29">
                  <c:v>-2.2962558554896266</c:v>
                </c:pt>
                <c:pt idx="30">
                  <c:v>-2.3182726656750932</c:v>
                </c:pt>
                <c:pt idx="31">
                  <c:v>-2.3398190037000011</c:v>
                </c:pt>
                <c:pt idx="32">
                  <c:v>-2.3609134926812563</c:v>
                </c:pt>
                <c:pt idx="33">
                  <c:v>-2.3815734775828541</c:v>
                </c:pt>
                <c:pt idx="34">
                  <c:v>-2.4018151640449683</c:v>
                </c:pt>
                <c:pt idx="35">
                  <c:v>-2.4394807019774771</c:v>
                </c:pt>
                <c:pt idx="36">
                  <c:v>-2.474831442371511</c:v>
                </c:pt>
                <c:pt idx="37">
                  <c:v>-2.5092294411123452</c:v>
                </c:pt>
                <c:pt idx="38">
                  <c:v>-2.5388477761597019</c:v>
                </c:pt>
                <c:pt idx="39">
                  <c:v>-2.5999468037156652</c:v>
                </c:pt>
                <c:pt idx="40">
                  <c:v>-2.6706485579322159</c:v>
                </c:pt>
                <c:pt idx="41">
                  <c:v>-2.7423152363312693</c:v>
                </c:pt>
                <c:pt idx="42">
                  <c:v>-2.8115006352209191</c:v>
                </c:pt>
                <c:pt idx="43">
                  <c:v>-2.8769502545386691</c:v>
                </c:pt>
                <c:pt idx="44">
                  <c:v>-2.9383506670700905</c:v>
                </c:pt>
                <c:pt idx="45">
                  <c:v>-2.9957900777794175</c:v>
                </c:pt>
                <c:pt idx="46">
                  <c:v>-3.0495184959289174</c:v>
                </c:pt>
                <c:pt idx="47">
                  <c:v>-3.0998391207177116</c:v>
                </c:pt>
                <c:pt idx="48">
                  <c:v>-3.147059305083924</c:v>
                </c:pt>
                <c:pt idx="49">
                  <c:v>-3.1914693173333446</c:v>
                </c:pt>
                <c:pt idx="50">
                  <c:v>-3.2333342608536566</c:v>
                </c:pt>
                <c:pt idx="51">
                  <c:v>-3.2728922014880828</c:v>
                </c:pt>
                <c:pt idx="52">
                  <c:v>-3.3103551319079427</c:v>
                </c:pt>
                <c:pt idx="53">
                  <c:v>-3.3459111209375814</c:v>
                </c:pt>
                <c:pt idx="54">
                  <c:v>-3.3797268408980163</c:v>
                </c:pt>
                <c:pt idx="55">
                  <c:v>-3.4178889104344083</c:v>
                </c:pt>
                <c:pt idx="56">
                  <c:v>-3.4617945143515518</c:v>
                </c:pt>
                <c:pt idx="57">
                  <c:v>-3.5068647381825286</c:v>
                </c:pt>
                <c:pt idx="58">
                  <c:v>-3.5514267481413375</c:v>
                </c:pt>
                <c:pt idx="59">
                  <c:v>-3.5946292470561887</c:v>
                </c:pt>
                <c:pt idx="60">
                  <c:v>-3.6360804990497888</c:v>
                </c:pt>
                <c:pt idx="61">
                  <c:v>-3.6756394085550115</c:v>
                </c:pt>
                <c:pt idx="62">
                  <c:v>-3.7132990958148842</c:v>
                </c:pt>
                <c:pt idx="63">
                  <c:v>-3.7491221226647693</c:v>
                </c:pt>
                <c:pt idx="64">
                  <c:v>-3.7832044932256705</c:v>
                </c:pt>
                <c:pt idx="65">
                  <c:v>-3.8156557326765532</c:v>
                </c:pt>
              </c:numCache>
            </c:numRef>
          </c:xVal>
          <c:yVal>
            <c:numRef>
              <c:f>'Iteration Data'!$A$3:$A$1000</c:f>
              <c:numCache>
                <c:formatCode>0.00</c:formatCode>
                <c:ptCount val="998"/>
                <c:pt idx="0">
                  <c:v>0.60368850364358972</c:v>
                </c:pt>
                <c:pt idx="1">
                  <c:v>0.59478253480650412</c:v>
                </c:pt>
                <c:pt idx="2">
                  <c:v>0.58608414904526762</c:v>
                </c:pt>
                <c:pt idx="3">
                  <c:v>0.57758584525681789</c:v>
                </c:pt>
                <c:pt idx="4">
                  <c:v>0.56928053745169982</c:v>
                </c:pt>
                <c:pt idx="5">
                  <c:v>0.56116154045911104</c:v>
                </c:pt>
                <c:pt idx="6">
                  <c:v>0.55322254703551921</c:v>
                </c:pt>
                <c:pt idx="7">
                  <c:v>0.54545760145023825</c:v>
                </c:pt>
                <c:pt idx="8">
                  <c:v>0.53786107243000891</c:v>
                </c:pt>
                <c:pt idx="9">
                  <c:v>0.53042762702487922</c:v>
                </c:pt>
                <c:pt idx="10">
                  <c:v>0.52315220617525215</c:v>
                </c:pt>
                <c:pt idx="11">
                  <c:v>0.51603000230510976</c:v>
                </c:pt>
                <c:pt idx="12">
                  <c:v>0.50905643900929665</c:v>
                </c:pt>
                <c:pt idx="13">
                  <c:v>0.49263775721448722</c:v>
                </c:pt>
                <c:pt idx="14">
                  <c:v>0.47631912466138854</c:v>
                </c:pt>
                <c:pt idx="15">
                  <c:v>0.4606093647837291</c:v>
                </c:pt>
                <c:pt idx="16">
                  <c:v>0.44563029064151705</c:v>
                </c:pt>
                <c:pt idx="17">
                  <c:v>0.4313766930571199</c:v>
                </c:pt>
                <c:pt idx="18">
                  <c:v>0.41781230028123439</c:v>
                </c:pt>
                <c:pt idx="19">
                  <c:v>0.40489573436993187</c:v>
                </c:pt>
                <c:pt idx="20">
                  <c:v>0.39258691982863086</c:v>
                </c:pt>
                <c:pt idx="21">
                  <c:v>0.38084844978635135</c:v>
                </c:pt>
                <c:pt idx="22">
                  <c:v>0.36964569712035927</c:v>
                </c:pt>
                <c:pt idx="23">
                  <c:v>0.35894663659735371</c:v>
                </c:pt>
                <c:pt idx="24">
                  <c:v>0.34872162005477425</c:v>
                </c:pt>
                <c:pt idx="25">
                  <c:v>0.33894316202851854</c:v>
                </c:pt>
                <c:pt idx="26">
                  <c:v>0.32958574674572272</c:v>
                </c:pt>
                <c:pt idx="27">
                  <c:v>0.32062565624135203</c:v>
                </c:pt>
                <c:pt idx="28">
                  <c:v>0.31204081712849374</c:v>
                </c:pt>
                <c:pt idx="29">
                  <c:v>0.30381066347592667</c:v>
                </c:pt>
                <c:pt idx="30">
                  <c:v>0.29591601360384978</c:v>
                </c:pt>
                <c:pt idx="31">
                  <c:v>0.28833895898538969</c:v>
                </c:pt>
                <c:pt idx="32">
                  <c:v>0.28106276375523126</c:v>
                </c:pt>
                <c:pt idx="33">
                  <c:v>0.27407177357455359</c:v>
                </c:pt>
                <c:pt idx="34">
                  <c:v>0.26735133279610662</c:v>
                </c:pt>
                <c:pt idx="35">
                  <c:v>0.25547008521732656</c:v>
                </c:pt>
                <c:pt idx="36">
                  <c:v>0.2432749148457175</c:v>
                </c:pt>
                <c:pt idx="37">
                  <c:v>0.23189555008592669</c:v>
                </c:pt>
                <c:pt idx="38">
                  <c:v>0.20762997539989481</c:v>
                </c:pt>
                <c:pt idx="39">
                  <c:v>0.18228996700900679</c:v>
                </c:pt>
                <c:pt idx="40">
                  <c:v>0.16003010605638876</c:v>
                </c:pt>
                <c:pt idx="41">
                  <c:v>0.14137527028671701</c:v>
                </c:pt>
                <c:pt idx="42">
                  <c:v>0.12593899792760216</c:v>
                </c:pt>
                <c:pt idx="43">
                  <c:v>0.11314082082198533</c:v>
                </c:pt>
                <c:pt idx="44">
                  <c:v>0.10244698623580861</c:v>
                </c:pt>
                <c:pt idx="45">
                  <c:v>9.342436797734055E-2</c:v>
                </c:pt>
                <c:pt idx="46">
                  <c:v>8.5735669356111141E-2</c:v>
                </c:pt>
                <c:pt idx="47">
                  <c:v>7.9121107015126493E-2</c:v>
                </c:pt>
                <c:pt idx="48">
                  <c:v>7.3380290135479753E-2</c:v>
                </c:pt>
                <c:pt idx="49">
                  <c:v>6.835754940282554E-2</c:v>
                </c:pt>
                <c:pt idx="50">
                  <c:v>6.3930819883375192E-2</c:v>
                </c:pt>
                <c:pt idx="51">
                  <c:v>6.0003411782146958E-2</c:v>
                </c:pt>
                <c:pt idx="52">
                  <c:v>5.6497952972978556E-2</c:v>
                </c:pt>
                <c:pt idx="53">
                  <c:v>5.3351918143572638E-2</c:v>
                </c:pt>
                <c:pt idx="54">
                  <c:v>5.0514306726313109E-2</c:v>
                </c:pt>
                <c:pt idx="55">
                  <c:v>4.6404249290941599E-2</c:v>
                </c:pt>
                <c:pt idx="56">
                  <c:v>4.1999039567476262E-2</c:v>
                </c:pt>
                <c:pt idx="57">
                  <c:v>3.8257626085408787E-2</c:v>
                </c:pt>
                <c:pt idx="58">
                  <c:v>3.5066686928162186E-2</c:v>
                </c:pt>
                <c:pt idx="59">
                  <c:v>3.2329134913454585E-2</c:v>
                </c:pt>
                <c:pt idx="60">
                  <c:v>2.9963198913455544E-2</c:v>
                </c:pt>
                <c:pt idx="61">
                  <c:v>2.7902609975529492E-2</c:v>
                </c:pt>
                <c:pt idx="62">
                  <c:v>2.6094433580812468E-2</c:v>
                </c:pt>
                <c:pt idx="63">
                  <c:v>2.4496500982768694E-2</c:v>
                </c:pt>
                <c:pt idx="64">
                  <c:v>2.3075109564251059E-2</c:v>
                </c:pt>
                <c:pt idx="65">
                  <c:v>2.1803154574501604E-2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322-4B51-B77A-F62604309C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1957695"/>
        <c:axId val="1491953119"/>
      </c:scatterChart>
      <c:valAx>
        <c:axId val="149195769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b3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1953119"/>
        <c:crosses val="autoZero"/>
        <c:crossBetween val="midCat"/>
      </c:valAx>
      <c:valAx>
        <c:axId val="1491953119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Cost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cross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195769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25938529416045"/>
          <c:y val="6.1971968441762094E-2"/>
          <c:w val="0.72723268709771993"/>
          <c:h val="0.76110759921836357"/>
        </c:manualLayout>
      </c:layout>
      <c:scatterChart>
        <c:scatterStyle val="smoothMarker"/>
        <c:varyColors val="0"/>
        <c:ser>
          <c:idx val="0"/>
          <c:order val="0"/>
          <c:tx>
            <c:v>w2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'Iteration Data'!$I$3:$I$1000</c:f>
              <c:numCache>
                <c:formatCode>0.00</c:formatCode>
                <c:ptCount val="998"/>
                <c:pt idx="0">
                  <c:v>-4.1857659684933051</c:v>
                </c:pt>
                <c:pt idx="1">
                  <c:v>-4.1960600489942674</c:v>
                </c:pt>
                <c:pt idx="2">
                  <c:v>-4.2063343400896391</c:v>
                </c:pt>
                <c:pt idx="3">
                  <c:v>-4.216583858052295</c:v>
                </c:pt>
                <c:pt idx="4">
                  <c:v>-4.2268038791159075</c:v>
                </c:pt>
                <c:pt idx="5">
                  <c:v>-4.2369900056900063</c:v>
                </c:pt>
                <c:pt idx="6">
                  <c:v>-4.2471381934047718</c:v>
                </c:pt>
                <c:pt idx="7">
                  <c:v>-4.2572447550431614</c:v>
                </c:pt>
                <c:pt idx="8">
                  <c:v>-4.2673063512290579</c:v>
                </c:pt>
                <c:pt idx="9">
                  <c:v>-4.2773199739007595</c:v>
                </c:pt>
                <c:pt idx="10">
                  <c:v>-4.287282926222419</c:v>
                </c:pt>
                <c:pt idx="11">
                  <c:v>-4.2971928011185216</c:v>
                </c:pt>
                <c:pt idx="12">
                  <c:v>-4.3070474597133197</c:v>
                </c:pt>
                <c:pt idx="13">
                  <c:v>-4.3341487857781278</c:v>
                </c:pt>
                <c:pt idx="14">
                  <c:v>-4.3583227771493771</c:v>
                </c:pt>
                <c:pt idx="15">
                  <c:v>-4.3814536821406795</c:v>
                </c:pt>
                <c:pt idx="16">
                  <c:v>-4.4040232576220504</c:v>
                </c:pt>
                <c:pt idx="17">
                  <c:v>-4.4261529600280145</c:v>
                </c:pt>
                <c:pt idx="18">
                  <c:v>-4.4478727209348774</c:v>
                </c:pt>
                <c:pt idx="19">
                  <c:v>-4.4691905840103097</c:v>
                </c:pt>
                <c:pt idx="20">
                  <c:v>-4.4901105443291236</c:v>
                </c:pt>
                <c:pt idx="21">
                  <c:v>-4.5106368696811225</c:v>
                </c:pt>
                <c:pt idx="22">
                  <c:v>-4.5307749240436275</c:v>
                </c:pt>
                <c:pt idx="23">
                  <c:v>-4.5505311255247856</c:v>
                </c:pt>
                <c:pt idx="24">
                  <c:v>-4.5699127263590151</c:v>
                </c:pt>
                <c:pt idx="25">
                  <c:v>-4.5889275884601455</c:v>
                </c:pt>
                <c:pt idx="26">
                  <c:v>-4.6075839925890278</c:v>
                </c:pt>
                <c:pt idx="27">
                  <c:v>-4.6258904844381208</c:v>
                </c:pt>
                <c:pt idx="28">
                  <c:v>-4.6438557529251341</c:v>
                </c:pt>
                <c:pt idx="29">
                  <c:v>-4.6614885349373267</c:v>
                </c:pt>
                <c:pt idx="30">
                  <c:v>-4.6787975413836227</c:v>
                </c:pt>
                <c:pt idx="31">
                  <c:v>-4.6957914002987771</c:v>
                </c:pt>
                <c:pt idx="32">
                  <c:v>-4.7124786135585062</c:v>
                </c:pt>
                <c:pt idx="33">
                  <c:v>-4.728867524442772</c:v>
                </c:pt>
                <c:pt idx="34">
                  <c:v>-4.744966293832924</c:v>
                </c:pt>
                <c:pt idx="35">
                  <c:v>-4.7824097136641033</c:v>
                </c:pt>
                <c:pt idx="36">
                  <c:v>-4.813184290133103</c:v>
                </c:pt>
                <c:pt idx="37">
                  <c:v>-4.842470331389328</c:v>
                </c:pt>
                <c:pt idx="38">
                  <c:v>-4.9944652411473056</c:v>
                </c:pt>
                <c:pt idx="39">
                  <c:v>-5.1032139040736979</c:v>
                </c:pt>
                <c:pt idx="40">
                  <c:v>-5.1891406047292037</c:v>
                </c:pt>
                <c:pt idx="41">
                  <c:v>-5.2603915264981866</c:v>
                </c:pt>
                <c:pt idx="42">
                  <c:v>-5.3215770954200803</c:v>
                </c:pt>
                <c:pt idx="43">
                  <c:v>-5.3754899859991818</c:v>
                </c:pt>
                <c:pt idx="44">
                  <c:v>-5.423911744792755</c:v>
                </c:pt>
                <c:pt idx="45">
                  <c:v>-5.4680310694823593</c:v>
                </c:pt>
                <c:pt idx="46">
                  <c:v>-5.5086733199463751</c:v>
                </c:pt>
                <c:pt idx="47">
                  <c:v>-5.5464324342439122</c:v>
                </c:pt>
                <c:pt idx="48">
                  <c:v>-5.5817497500768791</c:v>
                </c:pt>
                <c:pt idx="49">
                  <c:v>-5.6149627250040828</c:v>
                </c:pt>
                <c:pt idx="50">
                  <c:v>-5.6463359905732631</c:v>
                </c:pt>
                <c:pt idx="51">
                  <c:v>-5.6760817173729139</c:v>
                </c:pt>
                <c:pt idx="52">
                  <c:v>-5.7043733299411983</c:v>
                </c:pt>
                <c:pt idx="53">
                  <c:v>-5.7313549758248277</c:v>
                </c:pt>
                <c:pt idx="54">
                  <c:v>-5.7571482172016388</c:v>
                </c:pt>
                <c:pt idx="55">
                  <c:v>-5.8323632618682906</c:v>
                </c:pt>
                <c:pt idx="56">
                  <c:v>-5.8877648379266931</c:v>
                </c:pt>
                <c:pt idx="57">
                  <c:v>-5.9357221679782031</c:v>
                </c:pt>
                <c:pt idx="58">
                  <c:v>-5.9781957240499208</c:v>
                </c:pt>
                <c:pt idx="59">
                  <c:v>-6.0165229143600332</c:v>
                </c:pt>
                <c:pt idx="60">
                  <c:v>-6.0516054300175046</c:v>
                </c:pt>
                <c:pt idx="61">
                  <c:v>-6.0840689200040172</c:v>
                </c:pt>
                <c:pt idx="62">
                  <c:v>-6.1143612536854608</c:v>
                </c:pt>
                <c:pt idx="63">
                  <c:v>-6.1428131780837241</c:v>
                </c:pt>
                <c:pt idx="64">
                  <c:v>-6.1696762104339209</c:v>
                </c:pt>
                <c:pt idx="65">
                  <c:v>-6.1951467733298324</c:v>
                </c:pt>
              </c:numCache>
            </c:numRef>
          </c:xVal>
          <c:yVal>
            <c:numRef>
              <c:f>'Iteration Data'!$A$3:$A$1000</c:f>
              <c:numCache>
                <c:formatCode>0.00</c:formatCode>
                <c:ptCount val="998"/>
                <c:pt idx="0">
                  <c:v>0.60368850364358972</c:v>
                </c:pt>
                <c:pt idx="1">
                  <c:v>0.59478253480650412</c:v>
                </c:pt>
                <c:pt idx="2">
                  <c:v>0.58608414904526762</c:v>
                </c:pt>
                <c:pt idx="3">
                  <c:v>0.57758584525681789</c:v>
                </c:pt>
                <c:pt idx="4">
                  <c:v>0.56928053745169982</c:v>
                </c:pt>
                <c:pt idx="5">
                  <c:v>0.56116154045911104</c:v>
                </c:pt>
                <c:pt idx="6">
                  <c:v>0.55322254703551921</c:v>
                </c:pt>
                <c:pt idx="7">
                  <c:v>0.54545760145023825</c:v>
                </c:pt>
                <c:pt idx="8">
                  <c:v>0.53786107243000891</c:v>
                </c:pt>
                <c:pt idx="9">
                  <c:v>0.53042762702487922</c:v>
                </c:pt>
                <c:pt idx="10">
                  <c:v>0.52315220617525215</c:v>
                </c:pt>
                <c:pt idx="11">
                  <c:v>0.51603000230510976</c:v>
                </c:pt>
                <c:pt idx="12">
                  <c:v>0.50905643900929665</c:v>
                </c:pt>
                <c:pt idx="13">
                  <c:v>0.49263775721448722</c:v>
                </c:pt>
                <c:pt idx="14">
                  <c:v>0.47631912466138854</c:v>
                </c:pt>
                <c:pt idx="15">
                  <c:v>0.4606093647837291</c:v>
                </c:pt>
                <c:pt idx="16">
                  <c:v>0.44563029064151705</c:v>
                </c:pt>
                <c:pt idx="17">
                  <c:v>0.4313766930571199</c:v>
                </c:pt>
                <c:pt idx="18">
                  <c:v>0.41781230028123439</c:v>
                </c:pt>
                <c:pt idx="19">
                  <c:v>0.40489573436993187</c:v>
                </c:pt>
                <c:pt idx="20">
                  <c:v>0.39258691982863086</c:v>
                </c:pt>
                <c:pt idx="21">
                  <c:v>0.38084844978635135</c:v>
                </c:pt>
                <c:pt idx="22">
                  <c:v>0.36964569712035927</c:v>
                </c:pt>
                <c:pt idx="23">
                  <c:v>0.35894663659735371</c:v>
                </c:pt>
                <c:pt idx="24">
                  <c:v>0.34872162005477425</c:v>
                </c:pt>
                <c:pt idx="25">
                  <c:v>0.33894316202851854</c:v>
                </c:pt>
                <c:pt idx="26">
                  <c:v>0.32958574674572272</c:v>
                </c:pt>
                <c:pt idx="27">
                  <c:v>0.32062565624135203</c:v>
                </c:pt>
                <c:pt idx="28">
                  <c:v>0.31204081712849374</c:v>
                </c:pt>
                <c:pt idx="29">
                  <c:v>0.30381066347592667</c:v>
                </c:pt>
                <c:pt idx="30">
                  <c:v>0.29591601360384978</c:v>
                </c:pt>
                <c:pt idx="31">
                  <c:v>0.28833895898538969</c:v>
                </c:pt>
                <c:pt idx="32">
                  <c:v>0.28106276375523126</c:v>
                </c:pt>
                <c:pt idx="33">
                  <c:v>0.27407177357455359</c:v>
                </c:pt>
                <c:pt idx="34">
                  <c:v>0.26735133279610662</c:v>
                </c:pt>
                <c:pt idx="35">
                  <c:v>0.25547008521732656</c:v>
                </c:pt>
                <c:pt idx="36">
                  <c:v>0.2432749148457175</c:v>
                </c:pt>
                <c:pt idx="37">
                  <c:v>0.23189555008592669</c:v>
                </c:pt>
                <c:pt idx="38">
                  <c:v>0.20762997539989481</c:v>
                </c:pt>
                <c:pt idx="39">
                  <c:v>0.18228996700900679</c:v>
                </c:pt>
                <c:pt idx="40">
                  <c:v>0.16003010605638876</c:v>
                </c:pt>
                <c:pt idx="41">
                  <c:v>0.14137527028671701</c:v>
                </c:pt>
                <c:pt idx="42">
                  <c:v>0.12593899792760216</c:v>
                </c:pt>
                <c:pt idx="43">
                  <c:v>0.11314082082198533</c:v>
                </c:pt>
                <c:pt idx="44">
                  <c:v>0.10244698623580861</c:v>
                </c:pt>
                <c:pt idx="45">
                  <c:v>9.342436797734055E-2</c:v>
                </c:pt>
                <c:pt idx="46">
                  <c:v>8.5735669356111141E-2</c:v>
                </c:pt>
                <c:pt idx="47">
                  <c:v>7.9121107015126493E-2</c:v>
                </c:pt>
                <c:pt idx="48">
                  <c:v>7.3380290135479753E-2</c:v>
                </c:pt>
                <c:pt idx="49">
                  <c:v>6.835754940282554E-2</c:v>
                </c:pt>
                <c:pt idx="50">
                  <c:v>6.3930819883375192E-2</c:v>
                </c:pt>
                <c:pt idx="51">
                  <c:v>6.0003411782146958E-2</c:v>
                </c:pt>
                <c:pt idx="52">
                  <c:v>5.6497952972978556E-2</c:v>
                </c:pt>
                <c:pt idx="53">
                  <c:v>5.3351918143572638E-2</c:v>
                </c:pt>
                <c:pt idx="54">
                  <c:v>5.0514306726313109E-2</c:v>
                </c:pt>
                <c:pt idx="55">
                  <c:v>4.6404249290941599E-2</c:v>
                </c:pt>
                <c:pt idx="56">
                  <c:v>4.1999039567476262E-2</c:v>
                </c:pt>
                <c:pt idx="57">
                  <c:v>3.8257626085408787E-2</c:v>
                </c:pt>
                <c:pt idx="58">
                  <c:v>3.5066686928162186E-2</c:v>
                </c:pt>
                <c:pt idx="59">
                  <c:v>3.2329134913454585E-2</c:v>
                </c:pt>
                <c:pt idx="60">
                  <c:v>2.9963198913455544E-2</c:v>
                </c:pt>
                <c:pt idx="61">
                  <c:v>2.7902609975529492E-2</c:v>
                </c:pt>
                <c:pt idx="62">
                  <c:v>2.6094433580812468E-2</c:v>
                </c:pt>
                <c:pt idx="63">
                  <c:v>2.4496500982768694E-2</c:v>
                </c:pt>
                <c:pt idx="64">
                  <c:v>2.3075109564251059E-2</c:v>
                </c:pt>
                <c:pt idx="65">
                  <c:v>2.1803154574501604E-2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8ED-42A9-88AE-EEC989D0B8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1957695"/>
        <c:axId val="1491953119"/>
      </c:scatterChart>
      <c:valAx>
        <c:axId val="149195769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w2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1953119"/>
        <c:crosses val="autoZero"/>
        <c:crossBetween val="midCat"/>
      </c:valAx>
      <c:valAx>
        <c:axId val="1491953119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Cost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cross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195769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25938529416045"/>
          <c:y val="6.1971968441762094E-2"/>
          <c:w val="0.72723268709771993"/>
          <c:h val="0.76110759921836357"/>
        </c:manualLayout>
      </c:layout>
      <c:scatterChart>
        <c:scatterStyle val="smoothMarker"/>
        <c:varyColors val="0"/>
        <c:ser>
          <c:idx val="0"/>
          <c:order val="0"/>
          <c:tx>
            <c:v>b2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'Iteration Data'!$L$3:$L$1000</c:f>
              <c:numCache>
                <c:formatCode>0.00</c:formatCode>
                <c:ptCount val="998"/>
                <c:pt idx="0">
                  <c:v>0.10119296327740815</c:v>
                </c:pt>
                <c:pt idx="1">
                  <c:v>9.0013831860365018E-2</c:v>
                </c:pt>
                <c:pt idx="2">
                  <c:v>7.8873170530832148E-2</c:v>
                </c:pt>
                <c:pt idx="3">
                  <c:v>6.777535042594264E-2</c:v>
                </c:pt>
                <c:pt idx="4">
                  <c:v>5.6724469914886139E-2</c:v>
                </c:pt>
                <c:pt idx="5">
                  <c:v>4.572430711258639E-2</c:v>
                </c:pt>
                <c:pt idx="6">
                  <c:v>3.4778303628997496E-2</c:v>
                </c:pt>
                <c:pt idx="7">
                  <c:v>2.388956652692064E-2</c:v>
                </c:pt>
                <c:pt idx="8">
                  <c:v>1.3060880513528829E-2</c:v>
                </c:pt>
                <c:pt idx="9">
                  <c:v>2.2947255177184923E-3</c:v>
                </c:pt>
                <c:pt idx="10">
                  <c:v>-8.4067032638591062E-3</c:v>
                </c:pt>
                <c:pt idx="11">
                  <c:v>-1.9041474580571309E-2</c:v>
                </c:pt>
                <c:pt idx="12">
                  <c:v>-2.9607900600849883E-2</c:v>
                </c:pt>
                <c:pt idx="13">
                  <c:v>-5.9284529973030881E-2</c:v>
                </c:pt>
                <c:pt idx="14">
                  <c:v>-8.7038461173316081E-2</c:v>
                </c:pt>
                <c:pt idx="15">
                  <c:v>-0.11388634866978907</c:v>
                </c:pt>
                <c:pt idx="16">
                  <c:v>-0.14009395457987867</c:v>
                </c:pt>
                <c:pt idx="17">
                  <c:v>-0.16573439319886135</c:v>
                </c:pt>
                <c:pt idx="18">
                  <c:v>-0.19083218795891216</c:v>
                </c:pt>
                <c:pt idx="19">
                  <c:v>-0.21540043710622167</c:v>
                </c:pt>
                <c:pt idx="20">
                  <c:v>-0.2394502262583717</c:v>
                </c:pt>
                <c:pt idx="21">
                  <c:v>-0.26299283022917963</c:v>
                </c:pt>
                <c:pt idx="22">
                  <c:v>-0.28604006904856211</c:v>
                </c:pt>
                <c:pt idx="23">
                  <c:v>-0.30860422188969938</c:v>
                </c:pt>
                <c:pt idx="24">
                  <c:v>-0.33069786214588548</c:v>
                </c:pt>
                <c:pt idx="25">
                  <c:v>-0.35233370281690013</c:v>
                </c:pt>
                <c:pt idx="26">
                  <c:v>-0.37352446973239983</c:v>
                </c:pt>
                <c:pt idx="27">
                  <c:v>-0.39428280218658618</c:v>
                </c:pt>
                <c:pt idx="28">
                  <c:v>-0.41462117676098798</c:v>
                </c:pt>
                <c:pt idx="29">
                  <c:v>-0.43455184992442641</c:v>
                </c:pt>
                <c:pt idx="30">
                  <c:v>-0.45408681561703401</c:v>
                </c:pt>
                <c:pt idx="31">
                  <c:v>-0.47323777472313866</c:v>
                </c:pt>
                <c:pt idx="32">
                  <c:v>-0.49201611394741818</c:v>
                </c:pt>
                <c:pt idx="33">
                  <c:v>-0.51043289210733644</c:v>
                </c:pt>
                <c:pt idx="34">
                  <c:v>-0.52849883225479077</c:v>
                </c:pt>
                <c:pt idx="35">
                  <c:v>-0.56731271414721074</c:v>
                </c:pt>
                <c:pt idx="36">
                  <c:v>-0.60353476176885645</c:v>
                </c:pt>
                <c:pt idx="37">
                  <c:v>-0.63830882110360676</c:v>
                </c:pt>
                <c:pt idx="38">
                  <c:v>-0.69119793385206862</c:v>
                </c:pt>
                <c:pt idx="39">
                  <c:v>-0.75781122289105052</c:v>
                </c:pt>
                <c:pt idx="40">
                  <c:v>-0.82668212366418814</c:v>
                </c:pt>
                <c:pt idx="41">
                  <c:v>-0.89402890217363151</c:v>
                </c:pt>
                <c:pt idx="42">
                  <c:v>-0.95835060998576982</c:v>
                </c:pt>
                <c:pt idx="43">
                  <c:v>-1.0191333884377543</c:v>
                </c:pt>
                <c:pt idx="44">
                  <c:v>-1.0763105587744135</c:v>
                </c:pt>
                <c:pt idx="45">
                  <c:v>-1.1300172050976913</c:v>
                </c:pt>
                <c:pt idx="46">
                  <c:v>-1.1804733621378014</c:v>
                </c:pt>
                <c:pt idx="47">
                  <c:v>-1.2279271039352135</c:v>
                </c:pt>
                <c:pt idx="48">
                  <c:v>-1.2726268701765469</c:v>
                </c:pt>
                <c:pt idx="49">
                  <c:v>-1.3148085017184326</c:v>
                </c:pt>
                <c:pt idx="50">
                  <c:v>-1.3546897904002884</c:v>
                </c:pt>
                <c:pt idx="51">
                  <c:v>-1.3924688664933953</c:v>
                </c:pt>
                <c:pt idx="52">
                  <c:v>-1.4283245048769926</c:v>
                </c:pt>
                <c:pt idx="53">
                  <c:v>-1.46241733653904</c:v>
                </c:pt>
                <c:pt idx="54">
                  <c:v>-1.4948914293837252</c:v>
                </c:pt>
                <c:pt idx="55">
                  <c:v>-1.5503512079966275</c:v>
                </c:pt>
                <c:pt idx="56">
                  <c:v>-1.6065315193522229</c:v>
                </c:pt>
                <c:pt idx="57">
                  <c:v>-1.6596594551041857</c:v>
                </c:pt>
                <c:pt idx="58">
                  <c:v>-1.7095651467958572</c:v>
                </c:pt>
                <c:pt idx="59">
                  <c:v>-1.7563271386273671</c:v>
                </c:pt>
                <c:pt idx="60">
                  <c:v>-1.8001420702533011</c:v>
                </c:pt>
                <c:pt idx="61">
                  <c:v>-1.8412477859683987</c:v>
                </c:pt>
                <c:pt idx="62">
                  <c:v>-1.8798859606470424</c:v>
                </c:pt>
                <c:pt idx="63">
                  <c:v>-1.9162851957420639</c:v>
                </c:pt>
                <c:pt idx="64">
                  <c:v>-1.950654411525929</c:v>
                </c:pt>
                <c:pt idx="65">
                  <c:v>-1.983181251518938</c:v>
                </c:pt>
              </c:numCache>
            </c:numRef>
          </c:xVal>
          <c:yVal>
            <c:numRef>
              <c:f>'Iteration Data'!$A$3:$A$1000</c:f>
              <c:numCache>
                <c:formatCode>0.00</c:formatCode>
                <c:ptCount val="998"/>
                <c:pt idx="0">
                  <c:v>0.60368850364358972</c:v>
                </c:pt>
                <c:pt idx="1">
                  <c:v>0.59478253480650412</c:v>
                </c:pt>
                <c:pt idx="2">
                  <c:v>0.58608414904526762</c:v>
                </c:pt>
                <c:pt idx="3">
                  <c:v>0.57758584525681789</c:v>
                </c:pt>
                <c:pt idx="4">
                  <c:v>0.56928053745169982</c:v>
                </c:pt>
                <c:pt idx="5">
                  <c:v>0.56116154045911104</c:v>
                </c:pt>
                <c:pt idx="6">
                  <c:v>0.55322254703551921</c:v>
                </c:pt>
                <c:pt idx="7">
                  <c:v>0.54545760145023825</c:v>
                </c:pt>
                <c:pt idx="8">
                  <c:v>0.53786107243000891</c:v>
                </c:pt>
                <c:pt idx="9">
                  <c:v>0.53042762702487922</c:v>
                </c:pt>
                <c:pt idx="10">
                  <c:v>0.52315220617525215</c:v>
                </c:pt>
                <c:pt idx="11">
                  <c:v>0.51603000230510976</c:v>
                </c:pt>
                <c:pt idx="12">
                  <c:v>0.50905643900929665</c:v>
                </c:pt>
                <c:pt idx="13">
                  <c:v>0.49263775721448722</c:v>
                </c:pt>
                <c:pt idx="14">
                  <c:v>0.47631912466138854</c:v>
                </c:pt>
                <c:pt idx="15">
                  <c:v>0.4606093647837291</c:v>
                </c:pt>
                <c:pt idx="16">
                  <c:v>0.44563029064151705</c:v>
                </c:pt>
                <c:pt idx="17">
                  <c:v>0.4313766930571199</c:v>
                </c:pt>
                <c:pt idx="18">
                  <c:v>0.41781230028123439</c:v>
                </c:pt>
                <c:pt idx="19">
                  <c:v>0.40489573436993187</c:v>
                </c:pt>
                <c:pt idx="20">
                  <c:v>0.39258691982863086</c:v>
                </c:pt>
                <c:pt idx="21">
                  <c:v>0.38084844978635135</c:v>
                </c:pt>
                <c:pt idx="22">
                  <c:v>0.36964569712035927</c:v>
                </c:pt>
                <c:pt idx="23">
                  <c:v>0.35894663659735371</c:v>
                </c:pt>
                <c:pt idx="24">
                  <c:v>0.34872162005477425</c:v>
                </c:pt>
                <c:pt idx="25">
                  <c:v>0.33894316202851854</c:v>
                </c:pt>
                <c:pt idx="26">
                  <c:v>0.32958574674572272</c:v>
                </c:pt>
                <c:pt idx="27">
                  <c:v>0.32062565624135203</c:v>
                </c:pt>
                <c:pt idx="28">
                  <c:v>0.31204081712849374</c:v>
                </c:pt>
                <c:pt idx="29">
                  <c:v>0.30381066347592667</c:v>
                </c:pt>
                <c:pt idx="30">
                  <c:v>0.29591601360384978</c:v>
                </c:pt>
                <c:pt idx="31">
                  <c:v>0.28833895898538969</c:v>
                </c:pt>
                <c:pt idx="32">
                  <c:v>0.28106276375523126</c:v>
                </c:pt>
                <c:pt idx="33">
                  <c:v>0.27407177357455359</c:v>
                </c:pt>
                <c:pt idx="34">
                  <c:v>0.26735133279610662</c:v>
                </c:pt>
                <c:pt idx="35">
                  <c:v>0.25547008521732656</c:v>
                </c:pt>
                <c:pt idx="36">
                  <c:v>0.2432749148457175</c:v>
                </c:pt>
                <c:pt idx="37">
                  <c:v>0.23189555008592669</c:v>
                </c:pt>
                <c:pt idx="38">
                  <c:v>0.20762997539989481</c:v>
                </c:pt>
                <c:pt idx="39">
                  <c:v>0.18228996700900679</c:v>
                </c:pt>
                <c:pt idx="40">
                  <c:v>0.16003010605638876</c:v>
                </c:pt>
                <c:pt idx="41">
                  <c:v>0.14137527028671701</c:v>
                </c:pt>
                <c:pt idx="42">
                  <c:v>0.12593899792760216</c:v>
                </c:pt>
                <c:pt idx="43">
                  <c:v>0.11314082082198533</c:v>
                </c:pt>
                <c:pt idx="44">
                  <c:v>0.10244698623580861</c:v>
                </c:pt>
                <c:pt idx="45">
                  <c:v>9.342436797734055E-2</c:v>
                </c:pt>
                <c:pt idx="46">
                  <c:v>8.5735669356111141E-2</c:v>
                </c:pt>
                <c:pt idx="47">
                  <c:v>7.9121107015126493E-2</c:v>
                </c:pt>
                <c:pt idx="48">
                  <c:v>7.3380290135479753E-2</c:v>
                </c:pt>
                <c:pt idx="49">
                  <c:v>6.835754940282554E-2</c:v>
                </c:pt>
                <c:pt idx="50">
                  <c:v>6.3930819883375192E-2</c:v>
                </c:pt>
                <c:pt idx="51">
                  <c:v>6.0003411782146958E-2</c:v>
                </c:pt>
                <c:pt idx="52">
                  <c:v>5.6497952972978556E-2</c:v>
                </c:pt>
                <c:pt idx="53">
                  <c:v>5.3351918143572638E-2</c:v>
                </c:pt>
                <c:pt idx="54">
                  <c:v>5.0514306726313109E-2</c:v>
                </c:pt>
                <c:pt idx="55">
                  <c:v>4.6404249290941599E-2</c:v>
                </c:pt>
                <c:pt idx="56">
                  <c:v>4.1999039567476262E-2</c:v>
                </c:pt>
                <c:pt idx="57">
                  <c:v>3.8257626085408787E-2</c:v>
                </c:pt>
                <c:pt idx="58">
                  <c:v>3.5066686928162186E-2</c:v>
                </c:pt>
                <c:pt idx="59">
                  <c:v>3.2329134913454585E-2</c:v>
                </c:pt>
                <c:pt idx="60">
                  <c:v>2.9963198913455544E-2</c:v>
                </c:pt>
                <c:pt idx="61">
                  <c:v>2.7902609975529492E-2</c:v>
                </c:pt>
                <c:pt idx="62">
                  <c:v>2.6094433580812468E-2</c:v>
                </c:pt>
                <c:pt idx="63">
                  <c:v>2.4496500982768694E-2</c:v>
                </c:pt>
                <c:pt idx="64">
                  <c:v>2.3075109564251059E-2</c:v>
                </c:pt>
                <c:pt idx="65">
                  <c:v>2.1803154574501604E-2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04A-435F-A87E-33AAD026C0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1957695"/>
        <c:axId val="1491953119"/>
      </c:scatterChart>
      <c:valAx>
        <c:axId val="149195769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b2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1953119"/>
        <c:crosses val="autoZero"/>
        <c:crossBetween val="midCat"/>
      </c:valAx>
      <c:valAx>
        <c:axId val="1491953119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Cost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cross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195769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25938529416045"/>
          <c:y val="6.1971968441762094E-2"/>
          <c:w val="0.72723268709771993"/>
          <c:h val="0.76110759921836357"/>
        </c:manualLayout>
      </c:layout>
      <c:scatterChart>
        <c:scatterStyle val="smoothMarker"/>
        <c:varyColors val="0"/>
        <c:ser>
          <c:idx val="0"/>
          <c:order val="0"/>
          <c:tx>
            <c:v>w1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'Iteration Data'!$O$3:$O$1000</c:f>
              <c:numCache>
                <c:formatCode>0.00</c:formatCode>
                <c:ptCount val="998"/>
                <c:pt idx="0">
                  <c:v>2.898668608751537</c:v>
                </c:pt>
                <c:pt idx="1">
                  <c:v>2.9218348507782417</c:v>
                </c:pt>
                <c:pt idx="2">
                  <c:v>2.9447308430467016</c:v>
                </c:pt>
                <c:pt idx="3">
                  <c:v>2.9673641514328843</c:v>
                </c:pt>
                <c:pt idx="4">
                  <c:v>2.9897421961048294</c:v>
                </c:pt>
                <c:pt idx="5">
                  <c:v>3.0118721358995248</c:v>
                </c:pt>
                <c:pt idx="6">
                  <c:v>3.0337608110424825</c:v>
                </c:pt>
                <c:pt idx="7">
                  <c:v>3.0554147207365134</c:v>
                </c:pt>
                <c:pt idx="8">
                  <c:v>3.0768400211774574</c:v>
                </c:pt>
                <c:pt idx="9">
                  <c:v>3.0980425351516261</c:v>
                </c:pt>
                <c:pt idx="10">
                  <c:v>3.1190277678321952</c:v>
                </c:pt>
                <c:pt idx="11">
                  <c:v>3.139800925529439</c:v>
                </c:pt>
                <c:pt idx="12">
                  <c:v>3.1603669354661283</c:v>
                </c:pt>
                <c:pt idx="13">
                  <c:v>3.2112757604443534</c:v>
                </c:pt>
                <c:pt idx="14">
                  <c:v>3.2646631254439566</c:v>
                </c:pt>
                <c:pt idx="15">
                  <c:v>3.3177005990453403</c:v>
                </c:pt>
                <c:pt idx="16">
                  <c:v>3.3696947200556719</c:v>
                </c:pt>
                <c:pt idx="17">
                  <c:v>3.4205060680128843</c:v>
                </c:pt>
                <c:pt idx="18">
                  <c:v>3.4701364813425846</c:v>
                </c:pt>
                <c:pt idx="19">
                  <c:v>3.5186216914671147</c:v>
                </c:pt>
                <c:pt idx="20">
                  <c:v>3.5660035974913571</c:v>
                </c:pt>
                <c:pt idx="21">
                  <c:v>3.6123233433974029</c:v>
                </c:pt>
                <c:pt idx="22">
                  <c:v>3.6576198103353197</c:v>
                </c:pt>
                <c:pt idx="23">
                  <c:v>3.7019294845987627</c:v>
                </c:pt>
                <c:pt idx="24">
                  <c:v>3.7452866425726832</c:v>
                </c:pt>
                <c:pt idx="25">
                  <c:v>3.7877235805816136</c:v>
                </c:pt>
                <c:pt idx="26">
                  <c:v>3.8292708250731597</c:v>
                </c:pt>
                <c:pt idx="27">
                  <c:v>3.8699573124001456</c:v>
                </c:pt>
                <c:pt idx="28">
                  <c:v>3.9098105405005019</c:v>
                </c:pt>
                <c:pt idx="29">
                  <c:v>3.94885669713792</c:v>
                </c:pt>
                <c:pt idx="30">
                  <c:v>3.9871207691040524</c:v>
                </c:pt>
                <c:pt idx="31">
                  <c:v>4.0246266360161655</c:v>
                </c:pt>
                <c:pt idx="32">
                  <c:v>4.0613971516020593</c:v>
                </c:pt>
                <c:pt idx="33">
                  <c:v>4.0974542147530491</c:v>
                </c:pt>
                <c:pt idx="34">
                  <c:v>4.1328188321452179</c:v>
                </c:pt>
                <c:pt idx="35">
                  <c:v>4.2022035155668762</c:v>
                </c:pt>
                <c:pt idx="36">
                  <c:v>4.2776051878405843</c:v>
                </c:pt>
                <c:pt idx="37">
                  <c:v>4.3506010217623361</c:v>
                </c:pt>
                <c:pt idx="38">
                  <c:v>4.5612503693833473</c:v>
                </c:pt>
                <c:pt idx="39">
                  <c:v>4.8208110623458635</c:v>
                </c:pt>
                <c:pt idx="40">
                  <c:v>5.0672759024741927</c:v>
                </c:pt>
                <c:pt idx="41">
                  <c:v>5.2890228716367913</c:v>
                </c:pt>
                <c:pt idx="42">
                  <c:v>5.4853419325813979</c:v>
                </c:pt>
                <c:pt idx="43">
                  <c:v>5.6588231316989814</c:v>
                </c:pt>
                <c:pt idx="44">
                  <c:v>5.8127124444727931</c:v>
                </c:pt>
                <c:pt idx="45">
                  <c:v>5.9500450962396165</c:v>
                </c:pt>
                <c:pt idx="46">
                  <c:v>6.0734181264383267</c:v>
                </c:pt>
                <c:pt idx="47">
                  <c:v>6.1849816890954106</c:v>
                </c:pt>
                <c:pt idx="48">
                  <c:v>6.2864961151820395</c:v>
                </c:pt>
                <c:pt idx="49">
                  <c:v>6.379400537322506</c:v>
                </c:pt>
                <c:pt idx="50">
                  <c:v>6.464875358774254</c:v>
                </c:pt>
                <c:pt idx="51">
                  <c:v>6.5438941606570413</c:v>
                </c:pt>
                <c:pt idx="52">
                  <c:v>6.6172652520378632</c:v>
                </c:pt>
                <c:pt idx="53">
                  <c:v>6.6856644225702357</c:v>
                </c:pt>
                <c:pt idx="54">
                  <c:v>6.7496606357377447</c:v>
                </c:pt>
                <c:pt idx="55">
                  <c:v>6.8698117580450591</c:v>
                </c:pt>
                <c:pt idx="56">
                  <c:v>7.0109679095623605</c:v>
                </c:pt>
                <c:pt idx="57">
                  <c:v>7.1375278858836477</c:v>
                </c:pt>
                <c:pt idx="58">
                  <c:v>7.2509528663171423</c:v>
                </c:pt>
                <c:pt idx="59">
                  <c:v>7.3528927356084557</c:v>
                </c:pt>
                <c:pt idx="60">
                  <c:v>7.4449656949000413</c:v>
                </c:pt>
                <c:pt idx="61">
                  <c:v>7.5286016019101165</c:v>
                </c:pt>
                <c:pt idx="62">
                  <c:v>7.6050119904962861</c:v>
                </c:pt>
                <c:pt idx="63">
                  <c:v>7.675206224705315</c:v>
                </c:pt>
                <c:pt idx="64">
                  <c:v>7.740021034940197</c:v>
                </c:pt>
                <c:pt idx="65">
                  <c:v>7.8001507153901857</c:v>
                </c:pt>
              </c:numCache>
            </c:numRef>
          </c:xVal>
          <c:yVal>
            <c:numRef>
              <c:f>'Iteration Data'!$A$3:$A$1000</c:f>
              <c:numCache>
                <c:formatCode>0.00</c:formatCode>
                <c:ptCount val="998"/>
                <c:pt idx="0">
                  <c:v>0.60368850364358972</c:v>
                </c:pt>
                <c:pt idx="1">
                  <c:v>0.59478253480650412</c:v>
                </c:pt>
                <c:pt idx="2">
                  <c:v>0.58608414904526762</c:v>
                </c:pt>
                <c:pt idx="3">
                  <c:v>0.57758584525681789</c:v>
                </c:pt>
                <c:pt idx="4">
                  <c:v>0.56928053745169982</c:v>
                </c:pt>
                <c:pt idx="5">
                  <c:v>0.56116154045911104</c:v>
                </c:pt>
                <c:pt idx="6">
                  <c:v>0.55322254703551921</c:v>
                </c:pt>
                <c:pt idx="7">
                  <c:v>0.54545760145023825</c:v>
                </c:pt>
                <c:pt idx="8">
                  <c:v>0.53786107243000891</c:v>
                </c:pt>
                <c:pt idx="9">
                  <c:v>0.53042762702487922</c:v>
                </c:pt>
                <c:pt idx="10">
                  <c:v>0.52315220617525215</c:v>
                </c:pt>
                <c:pt idx="11">
                  <c:v>0.51603000230510976</c:v>
                </c:pt>
                <c:pt idx="12">
                  <c:v>0.50905643900929665</c:v>
                </c:pt>
                <c:pt idx="13">
                  <c:v>0.49263775721448722</c:v>
                </c:pt>
                <c:pt idx="14">
                  <c:v>0.47631912466138854</c:v>
                </c:pt>
                <c:pt idx="15">
                  <c:v>0.4606093647837291</c:v>
                </c:pt>
                <c:pt idx="16">
                  <c:v>0.44563029064151705</c:v>
                </c:pt>
                <c:pt idx="17">
                  <c:v>0.4313766930571199</c:v>
                </c:pt>
                <c:pt idx="18">
                  <c:v>0.41781230028123439</c:v>
                </c:pt>
                <c:pt idx="19">
                  <c:v>0.40489573436993187</c:v>
                </c:pt>
                <c:pt idx="20">
                  <c:v>0.39258691982863086</c:v>
                </c:pt>
                <c:pt idx="21">
                  <c:v>0.38084844978635135</c:v>
                </c:pt>
                <c:pt idx="22">
                  <c:v>0.36964569712035927</c:v>
                </c:pt>
                <c:pt idx="23">
                  <c:v>0.35894663659735371</c:v>
                </c:pt>
                <c:pt idx="24">
                  <c:v>0.34872162005477425</c:v>
                </c:pt>
                <c:pt idx="25">
                  <c:v>0.33894316202851854</c:v>
                </c:pt>
                <c:pt idx="26">
                  <c:v>0.32958574674572272</c:v>
                </c:pt>
                <c:pt idx="27">
                  <c:v>0.32062565624135203</c:v>
                </c:pt>
                <c:pt idx="28">
                  <c:v>0.31204081712849374</c:v>
                </c:pt>
                <c:pt idx="29">
                  <c:v>0.30381066347592667</c:v>
                </c:pt>
                <c:pt idx="30">
                  <c:v>0.29591601360384978</c:v>
                </c:pt>
                <c:pt idx="31">
                  <c:v>0.28833895898538969</c:v>
                </c:pt>
                <c:pt idx="32">
                  <c:v>0.28106276375523126</c:v>
                </c:pt>
                <c:pt idx="33">
                  <c:v>0.27407177357455359</c:v>
                </c:pt>
                <c:pt idx="34">
                  <c:v>0.26735133279610662</c:v>
                </c:pt>
                <c:pt idx="35">
                  <c:v>0.25547008521732656</c:v>
                </c:pt>
                <c:pt idx="36">
                  <c:v>0.2432749148457175</c:v>
                </c:pt>
                <c:pt idx="37">
                  <c:v>0.23189555008592669</c:v>
                </c:pt>
                <c:pt idx="38">
                  <c:v>0.20762997539989481</c:v>
                </c:pt>
                <c:pt idx="39">
                  <c:v>0.18228996700900679</c:v>
                </c:pt>
                <c:pt idx="40">
                  <c:v>0.16003010605638876</c:v>
                </c:pt>
                <c:pt idx="41">
                  <c:v>0.14137527028671701</c:v>
                </c:pt>
                <c:pt idx="42">
                  <c:v>0.12593899792760216</c:v>
                </c:pt>
                <c:pt idx="43">
                  <c:v>0.11314082082198533</c:v>
                </c:pt>
                <c:pt idx="44">
                  <c:v>0.10244698623580861</c:v>
                </c:pt>
                <c:pt idx="45">
                  <c:v>9.342436797734055E-2</c:v>
                </c:pt>
                <c:pt idx="46">
                  <c:v>8.5735669356111141E-2</c:v>
                </c:pt>
                <c:pt idx="47">
                  <c:v>7.9121107015126493E-2</c:v>
                </c:pt>
                <c:pt idx="48">
                  <c:v>7.3380290135479753E-2</c:v>
                </c:pt>
                <c:pt idx="49">
                  <c:v>6.835754940282554E-2</c:v>
                </c:pt>
                <c:pt idx="50">
                  <c:v>6.3930819883375192E-2</c:v>
                </c:pt>
                <c:pt idx="51">
                  <c:v>6.0003411782146958E-2</c:v>
                </c:pt>
                <c:pt idx="52">
                  <c:v>5.6497952972978556E-2</c:v>
                </c:pt>
                <c:pt idx="53">
                  <c:v>5.3351918143572638E-2</c:v>
                </c:pt>
                <c:pt idx="54">
                  <c:v>5.0514306726313109E-2</c:v>
                </c:pt>
                <c:pt idx="55">
                  <c:v>4.6404249290941599E-2</c:v>
                </c:pt>
                <c:pt idx="56">
                  <c:v>4.1999039567476262E-2</c:v>
                </c:pt>
                <c:pt idx="57">
                  <c:v>3.8257626085408787E-2</c:v>
                </c:pt>
                <c:pt idx="58">
                  <c:v>3.5066686928162186E-2</c:v>
                </c:pt>
                <c:pt idx="59">
                  <c:v>3.2329134913454585E-2</c:v>
                </c:pt>
                <c:pt idx="60">
                  <c:v>2.9963198913455544E-2</c:v>
                </c:pt>
                <c:pt idx="61">
                  <c:v>2.7902609975529492E-2</c:v>
                </c:pt>
                <c:pt idx="62">
                  <c:v>2.6094433580812468E-2</c:v>
                </c:pt>
                <c:pt idx="63">
                  <c:v>2.4496500982768694E-2</c:v>
                </c:pt>
                <c:pt idx="64">
                  <c:v>2.3075109564251059E-2</c:v>
                </c:pt>
                <c:pt idx="65">
                  <c:v>2.1803154574501604E-2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536-4C79-B379-A56ACE3A60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1957695"/>
        <c:axId val="1491953119"/>
      </c:scatterChart>
      <c:valAx>
        <c:axId val="149195769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w1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1953119"/>
        <c:crosses val="autoZero"/>
        <c:crossBetween val="midCat"/>
      </c:valAx>
      <c:valAx>
        <c:axId val="1491953119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Cost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cross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195769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25938529416045"/>
          <c:y val="6.1971968441762094E-2"/>
          <c:w val="0.72723268709771993"/>
          <c:h val="0.76110759921836357"/>
        </c:manualLayout>
      </c:layout>
      <c:scatterChart>
        <c:scatterStyle val="smoothMarker"/>
        <c:varyColors val="0"/>
        <c:ser>
          <c:idx val="0"/>
          <c:order val="0"/>
          <c:tx>
            <c:v>b1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'Iteration Data'!$R$3:$R$1000</c:f>
              <c:numCache>
                <c:formatCode>0.00</c:formatCode>
                <c:ptCount val="998"/>
                <c:pt idx="0">
                  <c:v>-0.16449625762393155</c:v>
                </c:pt>
                <c:pt idx="1">
                  <c:v>-0.1565644316804651</c:v>
                </c:pt>
                <c:pt idx="2">
                  <c:v>-0.14885461206461514</c:v>
                </c:pt>
                <c:pt idx="3">
                  <c:v>-0.14135411680749249</c:v>
                </c:pt>
                <c:pt idx="4">
                  <c:v>-0.13405072793730924</c:v>
                </c:pt>
                <c:pt idx="5">
                  <c:v>-0.1269328552598738</c:v>
                </c:pt>
                <c:pt idx="6">
                  <c:v>-0.11998960960415192</c:v>
                </c:pt>
                <c:pt idx="7">
                  <c:v>-0.11321082233269474</c:v>
                </c:pt>
                <c:pt idx="8">
                  <c:v>-0.10658703374714995</c:v>
                </c:pt>
                <c:pt idx="9">
                  <c:v>-0.10010946423327159</c:v>
                </c:pt>
                <c:pt idx="10">
                  <c:v>-9.3769976552694159E-2</c:v>
                </c:pt>
                <c:pt idx="11">
                  <c:v>-8.7561034331468432E-2</c:v>
                </c:pt>
                <c:pt idx="12">
                  <c:v>-8.1475659728176456E-2</c:v>
                </c:pt>
                <c:pt idx="13">
                  <c:v>-7.5906941789326748E-2</c:v>
                </c:pt>
                <c:pt idx="14">
                  <c:v>-6.5576098718776066E-2</c:v>
                </c:pt>
                <c:pt idx="15">
                  <c:v>-5.4341274501601408E-2</c:v>
                </c:pt>
                <c:pt idx="16">
                  <c:v>-4.3169137626771707E-2</c:v>
                </c:pt>
                <c:pt idx="17">
                  <c:v>-3.2278779865058588E-2</c:v>
                </c:pt>
                <c:pt idx="18">
                  <c:v>-2.1699619393913624E-2</c:v>
                </c:pt>
                <c:pt idx="19">
                  <c:v>-1.141624408382215E-2</c:v>
                </c:pt>
                <c:pt idx="20">
                  <c:v>-1.4055254415291374E-3</c:v>
                </c:pt>
                <c:pt idx="21">
                  <c:v>8.3543910831519186E-3</c:v>
                </c:pt>
                <c:pt idx="22">
                  <c:v>1.7882369148692578E-2</c:v>
                </c:pt>
                <c:pt idx="23">
                  <c:v>2.7194362417124779E-2</c:v>
                </c:pt>
                <c:pt idx="24">
                  <c:v>3.6303864644712275E-2</c:v>
                </c:pt>
                <c:pt idx="25">
                  <c:v>4.5222369494914275E-2</c:v>
                </c:pt>
                <c:pt idx="26">
                  <c:v>5.3959761918004633E-2</c:v>
                </c:pt>
                <c:pt idx="27">
                  <c:v>6.2524634851645861E-2</c:v>
                </c:pt>
                <c:pt idx="28">
                  <c:v>7.0924541366735261E-2</c:v>
                </c:pt>
                <c:pt idx="29">
                  <c:v>7.9166194355303629E-2</c:v>
                </c:pt>
                <c:pt idx="30">
                  <c:v>8.7255624427369421E-2</c:v>
                </c:pt>
                <c:pt idx="31">
                  <c:v>9.519830473764361E-2</c:v>
                </c:pt>
                <c:pt idx="32">
                  <c:v>0.10299924970415483</c:v>
                </c:pt>
                <c:pt idx="33">
                  <c:v>0.11066309313297795</c:v>
                </c:pt>
                <c:pt idx="34">
                  <c:v>0.11819415010523399</c:v>
                </c:pt>
                <c:pt idx="35">
                  <c:v>0.11692652048459656</c:v>
                </c:pt>
                <c:pt idx="36">
                  <c:v>0.12576363628833531</c:v>
                </c:pt>
                <c:pt idx="37">
                  <c:v>0.13536657141958991</c:v>
                </c:pt>
                <c:pt idx="38">
                  <c:v>4.0058538548436912E-2</c:v>
                </c:pt>
                <c:pt idx="39">
                  <c:v>-7.4477528779850755E-3</c:v>
                </c:pt>
                <c:pt idx="40">
                  <c:v>-3.146138665823655E-2</c:v>
                </c:pt>
                <c:pt idx="41">
                  <c:v>-4.1633652125676754E-2</c:v>
                </c:pt>
                <c:pt idx="42">
                  <c:v>-4.3216009296257213E-2</c:v>
                </c:pt>
                <c:pt idx="43">
                  <c:v>-3.9297186918233931E-2</c:v>
                </c:pt>
                <c:pt idx="44">
                  <c:v>-3.1791266979489315E-2</c:v>
                </c:pt>
                <c:pt idx="45">
                  <c:v>-2.1930653224455518E-2</c:v>
                </c:pt>
                <c:pt idx="46">
                  <c:v>-1.0531849735231837E-2</c:v>
                </c:pt>
                <c:pt idx="47">
                  <c:v>1.8522677524368397E-3</c:v>
                </c:pt>
                <c:pt idx="48">
                  <c:v>1.4841037946085623E-2</c:v>
                </c:pt>
                <c:pt idx="49">
                  <c:v>2.8169085756950547E-2</c:v>
                </c:pt>
                <c:pt idx="50">
                  <c:v>4.1649797812334612E-2</c:v>
                </c:pt>
                <c:pt idx="51">
                  <c:v>5.5151296432826978E-2</c:v>
                </c:pt>
                <c:pt idx="52">
                  <c:v>6.8580294092331268E-2</c:v>
                </c:pt>
                <c:pt idx="53">
                  <c:v>8.1871040936473918E-2</c:v>
                </c:pt>
                <c:pt idx="54">
                  <c:v>9.4977635454725762E-2</c:v>
                </c:pt>
                <c:pt idx="55">
                  <c:v>7.7294277374566095E-2</c:v>
                </c:pt>
                <c:pt idx="56">
                  <c:v>7.8815024866921546E-2</c:v>
                </c:pt>
                <c:pt idx="57">
                  <c:v>8.5756005296754173E-2</c:v>
                </c:pt>
                <c:pt idx="58">
                  <c:v>9.6132276576106707E-2</c:v>
                </c:pt>
                <c:pt idx="59">
                  <c:v>0.1086056743217601</c:v>
                </c:pt>
                <c:pt idx="60">
                  <c:v>0.12231190419945906</c:v>
                </c:pt>
                <c:pt idx="61">
                  <c:v>0.13669084148754324</c:v>
                </c:pt>
                <c:pt idx="62">
                  <c:v>0.15137771464881591</c:v>
                </c:pt>
                <c:pt idx="63">
                  <c:v>0.16613405673554846</c:v>
                </c:pt>
                <c:pt idx="64">
                  <c:v>0.18080392984160595</c:v>
                </c:pt>
                <c:pt idx="65">
                  <c:v>0.19528595521566197</c:v>
                </c:pt>
              </c:numCache>
            </c:numRef>
          </c:xVal>
          <c:yVal>
            <c:numRef>
              <c:f>'Iteration Data'!$A$3:$A$1000</c:f>
              <c:numCache>
                <c:formatCode>0.00</c:formatCode>
                <c:ptCount val="998"/>
                <c:pt idx="0">
                  <c:v>0.60368850364358972</c:v>
                </c:pt>
                <c:pt idx="1">
                  <c:v>0.59478253480650412</c:v>
                </c:pt>
                <c:pt idx="2">
                  <c:v>0.58608414904526762</c:v>
                </c:pt>
                <c:pt idx="3">
                  <c:v>0.57758584525681789</c:v>
                </c:pt>
                <c:pt idx="4">
                  <c:v>0.56928053745169982</c:v>
                </c:pt>
                <c:pt idx="5">
                  <c:v>0.56116154045911104</c:v>
                </c:pt>
                <c:pt idx="6">
                  <c:v>0.55322254703551921</c:v>
                </c:pt>
                <c:pt idx="7">
                  <c:v>0.54545760145023825</c:v>
                </c:pt>
                <c:pt idx="8">
                  <c:v>0.53786107243000891</c:v>
                </c:pt>
                <c:pt idx="9">
                  <c:v>0.53042762702487922</c:v>
                </c:pt>
                <c:pt idx="10">
                  <c:v>0.52315220617525215</c:v>
                </c:pt>
                <c:pt idx="11">
                  <c:v>0.51603000230510976</c:v>
                </c:pt>
                <c:pt idx="12">
                  <c:v>0.50905643900929665</c:v>
                </c:pt>
                <c:pt idx="13">
                  <c:v>0.49263775721448722</c:v>
                </c:pt>
                <c:pt idx="14">
                  <c:v>0.47631912466138854</c:v>
                </c:pt>
                <c:pt idx="15">
                  <c:v>0.4606093647837291</c:v>
                </c:pt>
                <c:pt idx="16">
                  <c:v>0.44563029064151705</c:v>
                </c:pt>
                <c:pt idx="17">
                  <c:v>0.4313766930571199</c:v>
                </c:pt>
                <c:pt idx="18">
                  <c:v>0.41781230028123439</c:v>
                </c:pt>
                <c:pt idx="19">
                  <c:v>0.40489573436993187</c:v>
                </c:pt>
                <c:pt idx="20">
                  <c:v>0.39258691982863086</c:v>
                </c:pt>
                <c:pt idx="21">
                  <c:v>0.38084844978635135</c:v>
                </c:pt>
                <c:pt idx="22">
                  <c:v>0.36964569712035927</c:v>
                </c:pt>
                <c:pt idx="23">
                  <c:v>0.35894663659735371</c:v>
                </c:pt>
                <c:pt idx="24">
                  <c:v>0.34872162005477425</c:v>
                </c:pt>
                <c:pt idx="25">
                  <c:v>0.33894316202851854</c:v>
                </c:pt>
                <c:pt idx="26">
                  <c:v>0.32958574674572272</c:v>
                </c:pt>
                <c:pt idx="27">
                  <c:v>0.32062565624135203</c:v>
                </c:pt>
                <c:pt idx="28">
                  <c:v>0.31204081712849374</c:v>
                </c:pt>
                <c:pt idx="29">
                  <c:v>0.30381066347592667</c:v>
                </c:pt>
                <c:pt idx="30">
                  <c:v>0.29591601360384978</c:v>
                </c:pt>
                <c:pt idx="31">
                  <c:v>0.28833895898538969</c:v>
                </c:pt>
                <c:pt idx="32">
                  <c:v>0.28106276375523126</c:v>
                </c:pt>
                <c:pt idx="33">
                  <c:v>0.27407177357455359</c:v>
                </c:pt>
                <c:pt idx="34">
                  <c:v>0.26735133279610662</c:v>
                </c:pt>
                <c:pt idx="35">
                  <c:v>0.25547008521732656</c:v>
                </c:pt>
                <c:pt idx="36">
                  <c:v>0.2432749148457175</c:v>
                </c:pt>
                <c:pt idx="37">
                  <c:v>0.23189555008592669</c:v>
                </c:pt>
                <c:pt idx="38">
                  <c:v>0.20762997539989481</c:v>
                </c:pt>
                <c:pt idx="39">
                  <c:v>0.18228996700900679</c:v>
                </c:pt>
                <c:pt idx="40">
                  <c:v>0.16003010605638876</c:v>
                </c:pt>
                <c:pt idx="41">
                  <c:v>0.14137527028671701</c:v>
                </c:pt>
                <c:pt idx="42">
                  <c:v>0.12593899792760216</c:v>
                </c:pt>
                <c:pt idx="43">
                  <c:v>0.11314082082198533</c:v>
                </c:pt>
                <c:pt idx="44">
                  <c:v>0.10244698623580861</c:v>
                </c:pt>
                <c:pt idx="45">
                  <c:v>9.342436797734055E-2</c:v>
                </c:pt>
                <c:pt idx="46">
                  <c:v>8.5735669356111141E-2</c:v>
                </c:pt>
                <c:pt idx="47">
                  <c:v>7.9121107015126493E-2</c:v>
                </c:pt>
                <c:pt idx="48">
                  <c:v>7.3380290135479753E-2</c:v>
                </c:pt>
                <c:pt idx="49">
                  <c:v>6.835754940282554E-2</c:v>
                </c:pt>
                <c:pt idx="50">
                  <c:v>6.3930819883375192E-2</c:v>
                </c:pt>
                <c:pt idx="51">
                  <c:v>6.0003411782146958E-2</c:v>
                </c:pt>
                <c:pt idx="52">
                  <c:v>5.6497952972978556E-2</c:v>
                </c:pt>
                <c:pt idx="53">
                  <c:v>5.3351918143572638E-2</c:v>
                </c:pt>
                <c:pt idx="54">
                  <c:v>5.0514306726313109E-2</c:v>
                </c:pt>
                <c:pt idx="55">
                  <c:v>4.6404249290941599E-2</c:v>
                </c:pt>
                <c:pt idx="56">
                  <c:v>4.1999039567476262E-2</c:v>
                </c:pt>
                <c:pt idx="57">
                  <c:v>3.8257626085408787E-2</c:v>
                </c:pt>
                <c:pt idx="58">
                  <c:v>3.5066686928162186E-2</c:v>
                </c:pt>
                <c:pt idx="59">
                  <c:v>3.2329134913454585E-2</c:v>
                </c:pt>
                <c:pt idx="60">
                  <c:v>2.9963198913455544E-2</c:v>
                </c:pt>
                <c:pt idx="61">
                  <c:v>2.7902609975529492E-2</c:v>
                </c:pt>
                <c:pt idx="62">
                  <c:v>2.6094433580812468E-2</c:v>
                </c:pt>
                <c:pt idx="63">
                  <c:v>2.4496500982768694E-2</c:v>
                </c:pt>
                <c:pt idx="64">
                  <c:v>2.3075109564251059E-2</c:v>
                </c:pt>
                <c:pt idx="65">
                  <c:v>2.1803154574501604E-2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9B0-4916-872D-904AA14BFD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1957695"/>
        <c:axId val="1491953119"/>
      </c:scatterChart>
      <c:valAx>
        <c:axId val="149195769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w1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1953119"/>
        <c:crosses val="autoZero"/>
        <c:crossBetween val="midCat"/>
      </c:valAx>
      <c:valAx>
        <c:axId val="1491953119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Cost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cross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195769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chart" Target="../charts/chart3.xml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chart" Target="../charts/chart2.xml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chart" Target="../charts/chart6.xml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chart" Target="../charts/chart1.xml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chart" Target="../charts/chart5.xml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chart" Target="../charts/chart8.xml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chart" Target="../charts/chart4.xml"/><Relationship Id="rId30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53340</xdr:colOff>
      <xdr:row>17</xdr:row>
      <xdr:rowOff>160020</xdr:rowOff>
    </xdr:from>
    <xdr:to>
      <xdr:col>2</xdr:col>
      <xdr:colOff>533400</xdr:colOff>
      <xdr:row>20</xdr:row>
      <xdr:rowOff>38100</xdr:rowOff>
    </xdr:to>
    <xdr:sp macro="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272540" y="3268980"/>
          <a:ext cx="480060" cy="42672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x1</a:t>
          </a:r>
        </a:p>
      </xdr:txBody>
    </xdr:sp>
    <xdr:clientData/>
  </xdr:twoCellAnchor>
  <xdr:twoCellAnchor>
    <xdr:from>
      <xdr:col>2</xdr:col>
      <xdr:colOff>83820</xdr:colOff>
      <xdr:row>22</xdr:row>
      <xdr:rowOff>45720</xdr:rowOff>
    </xdr:from>
    <xdr:to>
      <xdr:col>2</xdr:col>
      <xdr:colOff>563880</xdr:colOff>
      <xdr:row>24</xdr:row>
      <xdr:rowOff>106680</xdr:rowOff>
    </xdr:to>
    <xdr:sp macro="" textlink="">
      <xdr:nvSpPr>
        <xdr:cNvPr id="3" name="Oval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303020" y="4069080"/>
          <a:ext cx="480060" cy="42672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x2</a:t>
          </a:r>
        </a:p>
      </xdr:txBody>
    </xdr:sp>
    <xdr:clientData/>
  </xdr:twoCellAnchor>
  <xdr:twoCellAnchor>
    <xdr:from>
      <xdr:col>5</xdr:col>
      <xdr:colOff>114300</xdr:colOff>
      <xdr:row>19</xdr:row>
      <xdr:rowOff>53340</xdr:rowOff>
    </xdr:from>
    <xdr:to>
      <xdr:col>5</xdr:col>
      <xdr:colOff>594360</xdr:colOff>
      <xdr:row>21</xdr:row>
      <xdr:rowOff>114300</xdr:rowOff>
    </xdr:to>
    <xdr:sp macro="" textlink="">
      <xdr:nvSpPr>
        <xdr:cNvPr id="4" name="Oval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162300" y="3528060"/>
          <a:ext cx="480060" cy="42672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a1</a:t>
          </a:r>
        </a:p>
      </xdr:txBody>
    </xdr:sp>
    <xdr:clientData/>
  </xdr:twoCellAnchor>
  <xdr:twoCellAnchor>
    <xdr:from>
      <xdr:col>8</xdr:col>
      <xdr:colOff>76200</xdr:colOff>
      <xdr:row>19</xdr:row>
      <xdr:rowOff>53340</xdr:rowOff>
    </xdr:from>
    <xdr:to>
      <xdr:col>8</xdr:col>
      <xdr:colOff>556260</xdr:colOff>
      <xdr:row>21</xdr:row>
      <xdr:rowOff>114300</xdr:rowOff>
    </xdr:to>
    <xdr:sp macro="" textlink="">
      <xdr:nvSpPr>
        <xdr:cNvPr id="5" name="Oval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953000" y="3528060"/>
          <a:ext cx="480060" cy="42672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a2</a:t>
          </a:r>
        </a:p>
      </xdr:txBody>
    </xdr:sp>
    <xdr:clientData/>
  </xdr:twoCellAnchor>
  <xdr:twoCellAnchor>
    <xdr:from>
      <xdr:col>3</xdr:col>
      <xdr:colOff>68580</xdr:colOff>
      <xdr:row>18</xdr:row>
      <xdr:rowOff>160020</xdr:rowOff>
    </xdr:from>
    <xdr:to>
      <xdr:col>5</xdr:col>
      <xdr:colOff>7620</xdr:colOff>
      <xdr:row>20</xdr:row>
      <xdr:rowOff>38100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CxnSpPr/>
      </xdr:nvCxnSpPr>
      <xdr:spPr>
        <a:xfrm>
          <a:off x="1897380" y="3451860"/>
          <a:ext cx="1158240" cy="2438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68580</xdr:colOff>
      <xdr:row>21</xdr:row>
      <xdr:rowOff>22860</xdr:rowOff>
    </xdr:from>
    <xdr:to>
      <xdr:col>4</xdr:col>
      <xdr:colOff>579120</xdr:colOff>
      <xdr:row>23</xdr:row>
      <xdr:rowOff>7620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CxnSpPr/>
      </xdr:nvCxnSpPr>
      <xdr:spPr>
        <a:xfrm flipV="1">
          <a:off x="1897380" y="3863340"/>
          <a:ext cx="1120140" cy="35052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91440</xdr:colOff>
      <xdr:row>20</xdr:row>
      <xdr:rowOff>60960</xdr:rowOff>
    </xdr:from>
    <xdr:to>
      <xdr:col>7</xdr:col>
      <xdr:colOff>548640</xdr:colOff>
      <xdr:row>20</xdr:row>
      <xdr:rowOff>60960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CxnSpPr/>
      </xdr:nvCxnSpPr>
      <xdr:spPr>
        <a:xfrm>
          <a:off x="3749040" y="3718560"/>
          <a:ext cx="10668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3</xdr:col>
      <xdr:colOff>381000</xdr:colOff>
      <xdr:row>18</xdr:row>
      <xdr:rowOff>0</xdr:rowOff>
    </xdr:from>
    <xdr:ext cx="569708" cy="264560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 txBox="1"/>
      </xdr:nvSpPr>
      <xdr:spPr>
        <a:xfrm>
          <a:off x="2209800" y="3291840"/>
          <a:ext cx="56970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1100"/>
            <a:t>w1, b1</a:t>
          </a:r>
        </a:p>
      </xdr:txBody>
    </xdr:sp>
    <xdr:clientData/>
  </xdr:oneCellAnchor>
  <xdr:oneCellAnchor>
    <xdr:from>
      <xdr:col>3</xdr:col>
      <xdr:colOff>487680</xdr:colOff>
      <xdr:row>22</xdr:row>
      <xdr:rowOff>45720</xdr:rowOff>
    </xdr:from>
    <xdr:ext cx="569708" cy="264560"/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 txBox="1"/>
      </xdr:nvSpPr>
      <xdr:spPr>
        <a:xfrm>
          <a:off x="2316480" y="4069080"/>
          <a:ext cx="56970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1100"/>
            <a:t>w2, b2</a:t>
          </a:r>
        </a:p>
      </xdr:txBody>
    </xdr:sp>
    <xdr:clientData/>
  </xdr:oneCellAnchor>
  <xdr:oneCellAnchor>
    <xdr:from>
      <xdr:col>6</xdr:col>
      <xdr:colOff>335280</xdr:colOff>
      <xdr:row>20</xdr:row>
      <xdr:rowOff>99060</xdr:rowOff>
    </xdr:from>
    <xdr:ext cx="569708" cy="264560"/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 txBox="1"/>
      </xdr:nvSpPr>
      <xdr:spPr>
        <a:xfrm>
          <a:off x="3992880" y="3756660"/>
          <a:ext cx="56970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1100"/>
            <a:t>w3, b3</a:t>
          </a:r>
        </a:p>
      </xdr:txBody>
    </xdr:sp>
    <xdr:clientData/>
  </xdr:oneCellAnchor>
  <xdr:twoCellAnchor editAs="oneCell">
    <xdr:from>
      <xdr:col>0</xdr:col>
      <xdr:colOff>498477</xdr:colOff>
      <xdr:row>28</xdr:row>
      <xdr:rowOff>16934</xdr:rowOff>
    </xdr:from>
    <xdr:to>
      <xdr:col>5</xdr:col>
      <xdr:colOff>10583</xdr:colOff>
      <xdr:row>33</xdr:row>
      <xdr:rowOff>126850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8477" y="5054601"/>
          <a:ext cx="2578098" cy="1006324"/>
        </a:xfrm>
        <a:prstGeom prst="rect">
          <a:avLst/>
        </a:prstGeom>
      </xdr:spPr>
    </xdr:pic>
    <xdr:clientData/>
  </xdr:twoCellAnchor>
  <xdr:twoCellAnchor editAs="oneCell">
    <xdr:from>
      <xdr:col>0</xdr:col>
      <xdr:colOff>444501</xdr:colOff>
      <xdr:row>36</xdr:row>
      <xdr:rowOff>151343</xdr:rowOff>
    </xdr:from>
    <xdr:to>
      <xdr:col>5</xdr:col>
      <xdr:colOff>535516</xdr:colOff>
      <xdr:row>39</xdr:row>
      <xdr:rowOff>85397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44501" y="6628343"/>
          <a:ext cx="3160182" cy="476979"/>
        </a:xfrm>
        <a:prstGeom prst="rect">
          <a:avLst/>
        </a:prstGeom>
      </xdr:spPr>
    </xdr:pic>
    <xdr:clientData/>
  </xdr:twoCellAnchor>
  <xdr:twoCellAnchor editAs="oneCell">
    <xdr:from>
      <xdr:col>0</xdr:col>
      <xdr:colOff>571500</xdr:colOff>
      <xdr:row>42</xdr:row>
      <xdr:rowOff>59267</xdr:rowOff>
    </xdr:from>
    <xdr:to>
      <xdr:col>3</xdr:col>
      <xdr:colOff>515408</xdr:colOff>
      <xdr:row>45</xdr:row>
      <xdr:rowOff>45142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71500" y="7615767"/>
          <a:ext cx="1785408" cy="522450"/>
        </a:xfrm>
        <a:prstGeom prst="rect">
          <a:avLst/>
        </a:prstGeom>
      </xdr:spPr>
    </xdr:pic>
    <xdr:clientData/>
  </xdr:twoCellAnchor>
  <xdr:twoCellAnchor editAs="oneCell">
    <xdr:from>
      <xdr:col>0</xdr:col>
      <xdr:colOff>469900</xdr:colOff>
      <xdr:row>52</xdr:row>
      <xdr:rowOff>14817</xdr:rowOff>
    </xdr:from>
    <xdr:to>
      <xdr:col>9</xdr:col>
      <xdr:colOff>106891</xdr:colOff>
      <xdr:row>55</xdr:row>
      <xdr:rowOff>30612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69900" y="9370484"/>
          <a:ext cx="5164666" cy="552370"/>
        </a:xfrm>
        <a:prstGeom prst="rect">
          <a:avLst/>
        </a:prstGeom>
      </xdr:spPr>
    </xdr:pic>
    <xdr:clientData/>
  </xdr:twoCellAnchor>
  <xdr:twoCellAnchor editAs="oneCell">
    <xdr:from>
      <xdr:col>22</xdr:col>
      <xdr:colOff>701675</xdr:colOff>
      <xdr:row>25</xdr:row>
      <xdr:rowOff>123825</xdr:rowOff>
    </xdr:from>
    <xdr:to>
      <xdr:col>27</xdr:col>
      <xdr:colOff>288924</xdr:colOff>
      <xdr:row>29</xdr:row>
      <xdr:rowOff>67144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4407092" y="4621742"/>
          <a:ext cx="2772832" cy="662986"/>
        </a:xfrm>
        <a:prstGeom prst="rect">
          <a:avLst/>
        </a:prstGeom>
      </xdr:spPr>
    </xdr:pic>
    <xdr:clientData/>
  </xdr:twoCellAnchor>
  <xdr:twoCellAnchor editAs="oneCell">
    <xdr:from>
      <xdr:col>22</xdr:col>
      <xdr:colOff>716492</xdr:colOff>
      <xdr:row>30</xdr:row>
      <xdr:rowOff>46568</xdr:rowOff>
    </xdr:from>
    <xdr:to>
      <xdr:col>26</xdr:col>
      <xdr:colOff>201084</xdr:colOff>
      <xdr:row>34</xdr:row>
      <xdr:rowOff>66159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4421909" y="5444068"/>
          <a:ext cx="2056342" cy="739258"/>
        </a:xfrm>
        <a:prstGeom prst="rect">
          <a:avLst/>
        </a:prstGeom>
      </xdr:spPr>
    </xdr:pic>
    <xdr:clientData/>
  </xdr:twoCellAnchor>
  <xdr:twoCellAnchor editAs="oneCell">
    <xdr:from>
      <xdr:col>23</xdr:col>
      <xdr:colOff>2</xdr:colOff>
      <xdr:row>15</xdr:row>
      <xdr:rowOff>67733</xdr:rowOff>
    </xdr:from>
    <xdr:to>
      <xdr:col>27</xdr:col>
      <xdr:colOff>131235</xdr:colOff>
      <xdr:row>19</xdr:row>
      <xdr:rowOff>75677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4435669" y="2766483"/>
          <a:ext cx="2586566" cy="727611"/>
        </a:xfrm>
        <a:prstGeom prst="rect">
          <a:avLst/>
        </a:prstGeom>
      </xdr:spPr>
    </xdr:pic>
    <xdr:clientData/>
  </xdr:twoCellAnchor>
  <xdr:twoCellAnchor editAs="oneCell">
    <xdr:from>
      <xdr:col>22</xdr:col>
      <xdr:colOff>694266</xdr:colOff>
      <xdr:row>20</xdr:row>
      <xdr:rowOff>110068</xdr:rowOff>
    </xdr:from>
    <xdr:to>
      <xdr:col>24</xdr:col>
      <xdr:colOff>582105</xdr:colOff>
      <xdr:row>24</xdr:row>
      <xdr:rowOff>67735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4399683" y="3708401"/>
          <a:ext cx="1228747" cy="680508"/>
        </a:xfrm>
        <a:prstGeom prst="rect">
          <a:avLst/>
        </a:prstGeom>
      </xdr:spPr>
    </xdr:pic>
    <xdr:clientData/>
  </xdr:twoCellAnchor>
  <xdr:twoCellAnchor editAs="oneCell">
    <xdr:from>
      <xdr:col>28</xdr:col>
      <xdr:colOff>56092</xdr:colOff>
      <xdr:row>25</xdr:row>
      <xdr:rowOff>99483</xdr:rowOff>
    </xdr:from>
    <xdr:to>
      <xdr:col>32</xdr:col>
      <xdr:colOff>370415</xdr:colOff>
      <xdr:row>29</xdr:row>
      <xdr:rowOff>45977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7560925" y="4597400"/>
          <a:ext cx="2772832" cy="662986"/>
        </a:xfrm>
        <a:prstGeom prst="rect">
          <a:avLst/>
        </a:prstGeom>
      </xdr:spPr>
    </xdr:pic>
    <xdr:clientData/>
  </xdr:twoCellAnchor>
  <xdr:twoCellAnchor editAs="oneCell">
    <xdr:from>
      <xdr:col>28</xdr:col>
      <xdr:colOff>70909</xdr:colOff>
      <xdr:row>30</xdr:row>
      <xdr:rowOff>28576</xdr:rowOff>
    </xdr:from>
    <xdr:to>
      <xdr:col>31</xdr:col>
      <xdr:colOff>285751</xdr:colOff>
      <xdr:row>34</xdr:row>
      <xdr:rowOff>44992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7575742" y="5426076"/>
          <a:ext cx="2056342" cy="739258"/>
        </a:xfrm>
        <a:prstGeom prst="rect">
          <a:avLst/>
        </a:prstGeom>
      </xdr:spPr>
    </xdr:pic>
    <xdr:clientData/>
  </xdr:twoCellAnchor>
  <xdr:twoCellAnchor editAs="oneCell">
    <xdr:from>
      <xdr:col>28</xdr:col>
      <xdr:colOff>27516</xdr:colOff>
      <xdr:row>15</xdr:row>
      <xdr:rowOff>83040</xdr:rowOff>
    </xdr:from>
    <xdr:to>
      <xdr:col>32</xdr:col>
      <xdr:colOff>86783</xdr:colOff>
      <xdr:row>19</xdr:row>
      <xdr:rowOff>69753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7532349" y="2781790"/>
          <a:ext cx="2508251" cy="706380"/>
        </a:xfrm>
        <a:prstGeom prst="rect">
          <a:avLst/>
        </a:prstGeom>
      </xdr:spPr>
    </xdr:pic>
    <xdr:clientData/>
  </xdr:twoCellAnchor>
  <xdr:twoCellAnchor editAs="oneCell">
    <xdr:from>
      <xdr:col>28</xdr:col>
      <xdr:colOff>42333</xdr:colOff>
      <xdr:row>20</xdr:row>
      <xdr:rowOff>88899</xdr:rowOff>
    </xdr:from>
    <xdr:to>
      <xdr:col>29</xdr:col>
      <xdr:colOff>543374</xdr:colOff>
      <xdr:row>24</xdr:row>
      <xdr:rowOff>92076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7547166" y="3687232"/>
          <a:ext cx="1108525" cy="722843"/>
        </a:xfrm>
        <a:prstGeom prst="rect">
          <a:avLst/>
        </a:prstGeom>
      </xdr:spPr>
    </xdr:pic>
    <xdr:clientData/>
  </xdr:twoCellAnchor>
  <xdr:twoCellAnchor editAs="oneCell">
    <xdr:from>
      <xdr:col>34</xdr:col>
      <xdr:colOff>42333</xdr:colOff>
      <xdr:row>15</xdr:row>
      <xdr:rowOff>11642</xdr:rowOff>
    </xdr:from>
    <xdr:to>
      <xdr:col>40</xdr:col>
      <xdr:colOff>125942</xdr:colOff>
      <xdr:row>19</xdr:row>
      <xdr:rowOff>49765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0616333" y="2710392"/>
          <a:ext cx="3760259" cy="757790"/>
        </a:xfrm>
        <a:prstGeom prst="rect">
          <a:avLst/>
        </a:prstGeom>
      </xdr:spPr>
    </xdr:pic>
    <xdr:clientData/>
  </xdr:twoCellAnchor>
  <xdr:twoCellAnchor editAs="oneCell">
    <xdr:from>
      <xdr:col>41</xdr:col>
      <xdr:colOff>1</xdr:colOff>
      <xdr:row>15</xdr:row>
      <xdr:rowOff>7408</xdr:rowOff>
    </xdr:from>
    <xdr:to>
      <xdr:col>47</xdr:col>
      <xdr:colOff>95250</xdr:colOff>
      <xdr:row>19</xdr:row>
      <xdr:rowOff>28767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4870834" y="2706158"/>
          <a:ext cx="3778249" cy="744201"/>
        </a:xfrm>
        <a:prstGeom prst="rect">
          <a:avLst/>
        </a:prstGeom>
      </xdr:spPr>
    </xdr:pic>
    <xdr:clientData/>
  </xdr:twoCellAnchor>
  <xdr:twoCellAnchor editAs="oneCell">
    <xdr:from>
      <xdr:col>47</xdr:col>
      <xdr:colOff>600075</xdr:colOff>
      <xdr:row>15</xdr:row>
      <xdr:rowOff>17263</xdr:rowOff>
    </xdr:from>
    <xdr:to>
      <xdr:col>54</xdr:col>
      <xdr:colOff>95251</xdr:colOff>
      <xdr:row>19</xdr:row>
      <xdr:rowOff>29291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9153908" y="2716013"/>
          <a:ext cx="3792009" cy="725345"/>
        </a:xfrm>
        <a:prstGeom prst="rect">
          <a:avLst/>
        </a:prstGeom>
      </xdr:spPr>
    </xdr:pic>
    <xdr:clientData/>
  </xdr:twoCellAnchor>
  <xdr:twoCellAnchor editAs="oneCell">
    <xdr:from>
      <xdr:col>54</xdr:col>
      <xdr:colOff>560917</xdr:colOff>
      <xdr:row>15</xdr:row>
      <xdr:rowOff>52917</xdr:rowOff>
    </xdr:from>
    <xdr:to>
      <xdr:col>60</xdr:col>
      <xdr:colOff>539750</xdr:colOff>
      <xdr:row>18</xdr:row>
      <xdr:rowOff>116683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33411584" y="2751667"/>
          <a:ext cx="3665008" cy="603516"/>
        </a:xfrm>
        <a:prstGeom prst="rect">
          <a:avLst/>
        </a:prstGeom>
      </xdr:spPr>
    </xdr:pic>
    <xdr:clientData/>
  </xdr:twoCellAnchor>
  <xdr:twoCellAnchor editAs="oneCell">
    <xdr:from>
      <xdr:col>0</xdr:col>
      <xdr:colOff>391584</xdr:colOff>
      <xdr:row>56</xdr:row>
      <xdr:rowOff>158750</xdr:rowOff>
    </xdr:from>
    <xdr:to>
      <xdr:col>3</xdr:col>
      <xdr:colOff>264583</xdr:colOff>
      <xdr:row>59</xdr:row>
      <xdr:rowOff>130175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91584" y="10234083"/>
          <a:ext cx="1714499" cy="511175"/>
        </a:xfrm>
        <a:prstGeom prst="rect">
          <a:avLst/>
        </a:prstGeom>
      </xdr:spPr>
    </xdr:pic>
    <xdr:clientData/>
  </xdr:twoCellAnchor>
  <xdr:twoCellAnchor editAs="oneCell">
    <xdr:from>
      <xdr:col>0</xdr:col>
      <xdr:colOff>564093</xdr:colOff>
      <xdr:row>47</xdr:row>
      <xdr:rowOff>0</xdr:rowOff>
    </xdr:from>
    <xdr:to>
      <xdr:col>4</xdr:col>
      <xdr:colOff>427568</xdr:colOff>
      <xdr:row>51</xdr:row>
      <xdr:rowOff>37999</xdr:rowOff>
    </xdr:to>
    <xdr:pic>
      <xdr:nvPicPr>
        <xdr:cNvPr id="34" name="Picture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564093" y="8456083"/>
          <a:ext cx="2325158" cy="757665"/>
        </a:xfrm>
        <a:prstGeom prst="rect">
          <a:avLst/>
        </a:prstGeom>
      </xdr:spPr>
    </xdr:pic>
    <xdr:clientData/>
  </xdr:twoCellAnchor>
  <xdr:twoCellAnchor editAs="oneCell">
    <xdr:from>
      <xdr:col>0</xdr:col>
      <xdr:colOff>476249</xdr:colOff>
      <xdr:row>60</xdr:row>
      <xdr:rowOff>63500</xdr:rowOff>
    </xdr:from>
    <xdr:to>
      <xdr:col>4</xdr:col>
      <xdr:colOff>401993</xdr:colOff>
      <xdr:row>64</xdr:row>
      <xdr:rowOff>87841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476249" y="10858500"/>
          <a:ext cx="2381077" cy="740833"/>
        </a:xfrm>
        <a:prstGeom prst="rect">
          <a:avLst/>
        </a:prstGeom>
      </xdr:spPr>
    </xdr:pic>
    <xdr:clientData/>
  </xdr:twoCellAnchor>
  <xdr:twoCellAnchor editAs="oneCell">
    <xdr:from>
      <xdr:col>34</xdr:col>
      <xdr:colOff>354542</xdr:colOff>
      <xdr:row>40</xdr:row>
      <xdr:rowOff>25400</xdr:rowOff>
    </xdr:from>
    <xdr:to>
      <xdr:col>37</xdr:col>
      <xdr:colOff>582084</xdr:colOff>
      <xdr:row>44</xdr:row>
      <xdr:rowOff>48166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0928542" y="7222067"/>
          <a:ext cx="2065867" cy="739258"/>
        </a:xfrm>
        <a:prstGeom prst="rect">
          <a:avLst/>
        </a:prstGeom>
      </xdr:spPr>
    </xdr:pic>
    <xdr:clientData/>
  </xdr:twoCellAnchor>
  <xdr:twoCellAnchor editAs="oneCell">
    <xdr:from>
      <xdr:col>34</xdr:col>
      <xdr:colOff>359833</xdr:colOff>
      <xdr:row>35</xdr:row>
      <xdr:rowOff>113243</xdr:rowOff>
    </xdr:from>
    <xdr:to>
      <xdr:col>39</xdr:col>
      <xdr:colOff>69848</xdr:colOff>
      <xdr:row>39</xdr:row>
      <xdr:rowOff>66088</xdr:rowOff>
    </xdr:to>
    <xdr:pic>
      <xdr:nvPicPr>
        <xdr:cNvPr id="37" name="Picture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0933833" y="6410326"/>
          <a:ext cx="2776007" cy="669336"/>
        </a:xfrm>
        <a:prstGeom prst="rect">
          <a:avLst/>
        </a:prstGeom>
      </xdr:spPr>
    </xdr:pic>
    <xdr:clientData/>
  </xdr:twoCellAnchor>
  <xdr:twoCellAnchor editAs="oneCell">
    <xdr:from>
      <xdr:col>34</xdr:col>
      <xdr:colOff>338668</xdr:colOff>
      <xdr:row>30</xdr:row>
      <xdr:rowOff>101601</xdr:rowOff>
    </xdr:from>
    <xdr:to>
      <xdr:col>36</xdr:col>
      <xdr:colOff>477309</xdr:colOff>
      <xdr:row>34</xdr:row>
      <xdr:rowOff>149323</xdr:rowOff>
    </xdr:to>
    <xdr:pic>
      <xdr:nvPicPr>
        <xdr:cNvPr id="38" name="Picture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0912668" y="5499101"/>
          <a:ext cx="1366308" cy="767389"/>
        </a:xfrm>
        <a:prstGeom prst="rect">
          <a:avLst/>
        </a:prstGeom>
      </xdr:spPr>
    </xdr:pic>
    <xdr:clientData/>
  </xdr:twoCellAnchor>
  <xdr:twoCellAnchor editAs="oneCell">
    <xdr:from>
      <xdr:col>34</xdr:col>
      <xdr:colOff>285751</xdr:colOff>
      <xdr:row>25</xdr:row>
      <xdr:rowOff>46568</xdr:rowOff>
    </xdr:from>
    <xdr:to>
      <xdr:col>39</xdr:col>
      <xdr:colOff>275168</xdr:colOff>
      <xdr:row>29</xdr:row>
      <xdr:rowOff>66314</xdr:rowOff>
    </xdr:to>
    <xdr:pic>
      <xdr:nvPicPr>
        <xdr:cNvPr id="39" name="Picture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0859751" y="4544485"/>
          <a:ext cx="3061759" cy="742588"/>
        </a:xfrm>
        <a:prstGeom prst="rect">
          <a:avLst/>
        </a:prstGeom>
      </xdr:spPr>
    </xdr:pic>
    <xdr:clientData/>
  </xdr:twoCellAnchor>
  <xdr:twoCellAnchor editAs="oneCell">
    <xdr:from>
      <xdr:col>41</xdr:col>
      <xdr:colOff>322792</xdr:colOff>
      <xdr:row>39</xdr:row>
      <xdr:rowOff>176742</xdr:rowOff>
    </xdr:from>
    <xdr:to>
      <xdr:col>44</xdr:col>
      <xdr:colOff>550334</xdr:colOff>
      <xdr:row>44</xdr:row>
      <xdr:rowOff>10066</xdr:rowOff>
    </xdr:to>
    <xdr:pic>
      <xdr:nvPicPr>
        <xdr:cNvPr id="40" name="Picture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5193625" y="7193492"/>
          <a:ext cx="2069042" cy="736083"/>
        </a:xfrm>
        <a:prstGeom prst="rect">
          <a:avLst/>
        </a:prstGeom>
      </xdr:spPr>
    </xdr:pic>
    <xdr:clientData/>
  </xdr:twoCellAnchor>
  <xdr:twoCellAnchor editAs="oneCell">
    <xdr:from>
      <xdr:col>41</xdr:col>
      <xdr:colOff>328083</xdr:colOff>
      <xdr:row>35</xdr:row>
      <xdr:rowOff>75143</xdr:rowOff>
    </xdr:from>
    <xdr:to>
      <xdr:col>46</xdr:col>
      <xdr:colOff>31749</xdr:colOff>
      <xdr:row>39</xdr:row>
      <xdr:rowOff>31163</xdr:rowOff>
    </xdr:to>
    <xdr:pic>
      <xdr:nvPicPr>
        <xdr:cNvPr id="41" name="Picture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5198916" y="6372226"/>
          <a:ext cx="2776007" cy="672511"/>
        </a:xfrm>
        <a:prstGeom prst="rect">
          <a:avLst/>
        </a:prstGeom>
      </xdr:spPr>
    </xdr:pic>
    <xdr:clientData/>
  </xdr:twoCellAnchor>
  <xdr:twoCellAnchor editAs="oneCell">
    <xdr:from>
      <xdr:col>41</xdr:col>
      <xdr:colOff>300568</xdr:colOff>
      <xdr:row>30</xdr:row>
      <xdr:rowOff>73026</xdr:rowOff>
    </xdr:from>
    <xdr:to>
      <xdr:col>43</xdr:col>
      <xdr:colOff>445560</xdr:colOff>
      <xdr:row>34</xdr:row>
      <xdr:rowOff>120748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171401" y="5470526"/>
          <a:ext cx="1369483" cy="764214"/>
        </a:xfrm>
        <a:prstGeom prst="rect">
          <a:avLst/>
        </a:prstGeom>
      </xdr:spPr>
    </xdr:pic>
    <xdr:clientData/>
  </xdr:twoCellAnchor>
  <xdr:twoCellAnchor editAs="oneCell">
    <xdr:from>
      <xdr:col>41</xdr:col>
      <xdr:colOff>254001</xdr:colOff>
      <xdr:row>25</xdr:row>
      <xdr:rowOff>17993</xdr:rowOff>
    </xdr:from>
    <xdr:to>
      <xdr:col>46</xdr:col>
      <xdr:colOff>246594</xdr:colOff>
      <xdr:row>29</xdr:row>
      <xdr:rowOff>37739</xdr:rowOff>
    </xdr:to>
    <xdr:pic>
      <xdr:nvPicPr>
        <xdr:cNvPr id="43" name="Picture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124834" y="4515910"/>
          <a:ext cx="3061759" cy="739413"/>
        </a:xfrm>
        <a:prstGeom prst="rect">
          <a:avLst/>
        </a:prstGeom>
      </xdr:spPr>
    </xdr:pic>
    <xdr:clientData/>
  </xdr:twoCellAnchor>
  <xdr:twoCellAnchor editAs="oneCell">
    <xdr:from>
      <xdr:col>48</xdr:col>
      <xdr:colOff>147108</xdr:colOff>
      <xdr:row>40</xdr:row>
      <xdr:rowOff>10583</xdr:rowOff>
    </xdr:from>
    <xdr:to>
      <xdr:col>51</xdr:col>
      <xdr:colOff>371475</xdr:colOff>
      <xdr:row>44</xdr:row>
      <xdr:rowOff>26999</xdr:rowOff>
    </xdr:to>
    <xdr:pic>
      <xdr:nvPicPr>
        <xdr:cNvPr id="44" name="Picture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9314775" y="7207250"/>
          <a:ext cx="2069042" cy="739258"/>
        </a:xfrm>
        <a:prstGeom prst="rect">
          <a:avLst/>
        </a:prstGeom>
      </xdr:spPr>
    </xdr:pic>
    <xdr:clientData/>
  </xdr:twoCellAnchor>
  <xdr:twoCellAnchor editAs="oneCell">
    <xdr:from>
      <xdr:col>48</xdr:col>
      <xdr:colOff>161924</xdr:colOff>
      <xdr:row>35</xdr:row>
      <xdr:rowOff>95251</xdr:rowOff>
    </xdr:from>
    <xdr:to>
      <xdr:col>52</xdr:col>
      <xdr:colOff>488948</xdr:colOff>
      <xdr:row>39</xdr:row>
      <xdr:rowOff>44921</xdr:rowOff>
    </xdr:to>
    <xdr:pic>
      <xdr:nvPicPr>
        <xdr:cNvPr id="45" name="Picture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9329591" y="6392334"/>
          <a:ext cx="2779182" cy="672511"/>
        </a:xfrm>
        <a:prstGeom prst="rect">
          <a:avLst/>
        </a:prstGeom>
      </xdr:spPr>
    </xdr:pic>
    <xdr:clientData/>
  </xdr:twoCellAnchor>
  <xdr:twoCellAnchor editAs="oneCell">
    <xdr:from>
      <xdr:col>48</xdr:col>
      <xdr:colOff>134409</xdr:colOff>
      <xdr:row>30</xdr:row>
      <xdr:rowOff>83609</xdr:rowOff>
    </xdr:from>
    <xdr:to>
      <xdr:col>50</xdr:col>
      <xdr:colOff>276225</xdr:colOff>
      <xdr:row>34</xdr:row>
      <xdr:rowOff>131331</xdr:rowOff>
    </xdr:to>
    <xdr:pic>
      <xdr:nvPicPr>
        <xdr:cNvPr id="46" name="Picture 45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9302076" y="5481109"/>
          <a:ext cx="1372658" cy="767389"/>
        </a:xfrm>
        <a:prstGeom prst="rect">
          <a:avLst/>
        </a:prstGeom>
      </xdr:spPr>
    </xdr:pic>
    <xdr:clientData/>
  </xdr:twoCellAnchor>
  <xdr:twoCellAnchor editAs="oneCell">
    <xdr:from>
      <xdr:col>48</xdr:col>
      <xdr:colOff>87842</xdr:colOff>
      <xdr:row>25</xdr:row>
      <xdr:rowOff>28576</xdr:rowOff>
    </xdr:from>
    <xdr:to>
      <xdr:col>53</xdr:col>
      <xdr:colOff>77259</xdr:colOff>
      <xdr:row>29</xdr:row>
      <xdr:rowOff>45147</xdr:rowOff>
    </xdr:to>
    <xdr:pic>
      <xdr:nvPicPr>
        <xdr:cNvPr id="47" name="Picture 46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9255509" y="4526493"/>
          <a:ext cx="3058584" cy="733063"/>
        </a:xfrm>
        <a:prstGeom prst="rect">
          <a:avLst/>
        </a:prstGeom>
      </xdr:spPr>
    </xdr:pic>
    <xdr:clientData/>
  </xdr:twoCellAnchor>
  <xdr:twoCellAnchor editAs="oneCell">
    <xdr:from>
      <xdr:col>55</xdr:col>
      <xdr:colOff>164042</xdr:colOff>
      <xdr:row>40</xdr:row>
      <xdr:rowOff>10583</xdr:rowOff>
    </xdr:from>
    <xdr:to>
      <xdr:col>58</xdr:col>
      <xdr:colOff>397934</xdr:colOff>
      <xdr:row>44</xdr:row>
      <xdr:rowOff>30174</xdr:rowOff>
    </xdr:to>
    <xdr:pic>
      <xdr:nvPicPr>
        <xdr:cNvPr id="48" name="Picture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3628542" y="7207250"/>
          <a:ext cx="2075392" cy="736083"/>
        </a:xfrm>
        <a:prstGeom prst="rect">
          <a:avLst/>
        </a:prstGeom>
      </xdr:spPr>
    </xdr:pic>
    <xdr:clientData/>
  </xdr:twoCellAnchor>
  <xdr:twoCellAnchor editAs="oneCell">
    <xdr:from>
      <xdr:col>55</xdr:col>
      <xdr:colOff>175683</xdr:colOff>
      <xdr:row>35</xdr:row>
      <xdr:rowOff>92076</xdr:rowOff>
    </xdr:from>
    <xdr:to>
      <xdr:col>59</xdr:col>
      <xdr:colOff>496356</xdr:colOff>
      <xdr:row>39</xdr:row>
      <xdr:rowOff>44921</xdr:rowOff>
    </xdr:to>
    <xdr:pic>
      <xdr:nvPicPr>
        <xdr:cNvPr id="49" name="Picture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3640183" y="6389159"/>
          <a:ext cx="2776007" cy="675686"/>
        </a:xfrm>
        <a:prstGeom prst="rect">
          <a:avLst/>
        </a:prstGeom>
      </xdr:spPr>
    </xdr:pic>
    <xdr:clientData/>
  </xdr:twoCellAnchor>
  <xdr:twoCellAnchor editAs="oneCell">
    <xdr:from>
      <xdr:col>55</xdr:col>
      <xdr:colOff>151343</xdr:colOff>
      <xdr:row>30</xdr:row>
      <xdr:rowOff>86784</xdr:rowOff>
    </xdr:from>
    <xdr:to>
      <xdr:col>57</xdr:col>
      <xdr:colOff>296334</xdr:colOff>
      <xdr:row>34</xdr:row>
      <xdr:rowOff>131331</xdr:rowOff>
    </xdr:to>
    <xdr:pic>
      <xdr:nvPicPr>
        <xdr:cNvPr id="50" name="Picture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33615843" y="5484284"/>
          <a:ext cx="1369483" cy="764214"/>
        </a:xfrm>
        <a:prstGeom prst="rect">
          <a:avLst/>
        </a:prstGeom>
      </xdr:spPr>
    </xdr:pic>
    <xdr:clientData/>
  </xdr:twoCellAnchor>
  <xdr:twoCellAnchor editAs="oneCell">
    <xdr:from>
      <xdr:col>55</xdr:col>
      <xdr:colOff>95251</xdr:colOff>
      <xdr:row>25</xdr:row>
      <xdr:rowOff>25401</xdr:rowOff>
    </xdr:from>
    <xdr:to>
      <xdr:col>60</xdr:col>
      <xdr:colOff>87843</xdr:colOff>
      <xdr:row>29</xdr:row>
      <xdr:rowOff>48322</xdr:rowOff>
    </xdr:to>
    <xdr:pic>
      <xdr:nvPicPr>
        <xdr:cNvPr id="51" name="Picture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33559751" y="4523318"/>
          <a:ext cx="3058584" cy="739413"/>
        </a:xfrm>
        <a:prstGeom prst="rect">
          <a:avLst/>
        </a:prstGeom>
      </xdr:spPr>
    </xdr:pic>
    <xdr:clientData/>
  </xdr:twoCellAnchor>
  <xdr:twoCellAnchor editAs="oneCell">
    <xdr:from>
      <xdr:col>34</xdr:col>
      <xdr:colOff>338668</xdr:colOff>
      <xdr:row>20</xdr:row>
      <xdr:rowOff>148168</xdr:rowOff>
    </xdr:from>
    <xdr:to>
      <xdr:col>36</xdr:col>
      <xdr:colOff>419984</xdr:colOff>
      <xdr:row>24</xdr:row>
      <xdr:rowOff>102660</xdr:rowOff>
    </xdr:to>
    <xdr:pic>
      <xdr:nvPicPr>
        <xdr:cNvPr id="52" name="Picture 5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0912668" y="3746501"/>
          <a:ext cx="1308983" cy="674158"/>
        </a:xfrm>
        <a:prstGeom prst="rect">
          <a:avLst/>
        </a:prstGeom>
      </xdr:spPr>
    </xdr:pic>
    <xdr:clientData/>
  </xdr:twoCellAnchor>
  <xdr:twoCellAnchor editAs="oneCell">
    <xdr:from>
      <xdr:col>41</xdr:col>
      <xdr:colOff>258234</xdr:colOff>
      <xdr:row>20</xdr:row>
      <xdr:rowOff>60326</xdr:rowOff>
    </xdr:from>
    <xdr:to>
      <xdr:col>43</xdr:col>
      <xdr:colOff>201085</xdr:colOff>
      <xdr:row>24</xdr:row>
      <xdr:rowOff>104303</xdr:rowOff>
    </xdr:to>
    <xdr:pic>
      <xdr:nvPicPr>
        <xdr:cNvPr id="53" name="Picture 52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129067" y="3658659"/>
          <a:ext cx="1173692" cy="760468"/>
        </a:xfrm>
        <a:prstGeom prst="rect">
          <a:avLst/>
        </a:prstGeom>
      </xdr:spPr>
    </xdr:pic>
    <xdr:clientData/>
  </xdr:twoCellAnchor>
  <xdr:twoCellAnchor editAs="oneCell">
    <xdr:from>
      <xdr:col>55</xdr:col>
      <xdr:colOff>296334</xdr:colOff>
      <xdr:row>20</xdr:row>
      <xdr:rowOff>137585</xdr:rowOff>
    </xdr:from>
    <xdr:to>
      <xdr:col>57</xdr:col>
      <xdr:colOff>34926</xdr:colOff>
      <xdr:row>24</xdr:row>
      <xdr:rowOff>7634</xdr:rowOff>
    </xdr:to>
    <xdr:pic>
      <xdr:nvPicPr>
        <xdr:cNvPr id="54" name="Picture 53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33760834" y="3735918"/>
          <a:ext cx="966259" cy="589715"/>
        </a:xfrm>
        <a:prstGeom prst="rect">
          <a:avLst/>
        </a:prstGeom>
      </xdr:spPr>
    </xdr:pic>
    <xdr:clientData/>
  </xdr:twoCellAnchor>
  <xdr:twoCellAnchor editAs="oneCell">
    <xdr:from>
      <xdr:col>48</xdr:col>
      <xdr:colOff>127000</xdr:colOff>
      <xdr:row>20</xdr:row>
      <xdr:rowOff>63501</xdr:rowOff>
    </xdr:from>
    <xdr:to>
      <xdr:col>50</xdr:col>
      <xdr:colOff>353483</xdr:colOff>
      <xdr:row>24</xdr:row>
      <xdr:rowOff>97444</xdr:rowOff>
    </xdr:to>
    <xdr:pic>
      <xdr:nvPicPr>
        <xdr:cNvPr id="55" name="Picture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9294667" y="3661834"/>
          <a:ext cx="1457325" cy="753609"/>
        </a:xfrm>
        <a:prstGeom prst="rect">
          <a:avLst/>
        </a:prstGeom>
      </xdr:spPr>
    </xdr:pic>
    <xdr:clientData/>
  </xdr:twoCellAnchor>
  <xdr:twoCellAnchor>
    <xdr:from>
      <xdr:col>22</xdr:col>
      <xdr:colOff>600075</xdr:colOff>
      <xdr:row>25</xdr:row>
      <xdr:rowOff>28575</xdr:rowOff>
    </xdr:from>
    <xdr:to>
      <xdr:col>32</xdr:col>
      <xdr:colOff>539750</xdr:colOff>
      <xdr:row>34</xdr:row>
      <xdr:rowOff>74083</xdr:rowOff>
    </xdr:to>
    <xdr:sp macro="" textlink="">
      <xdr:nvSpPr>
        <xdr:cNvPr id="56" name="Rectangle 55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SpPr/>
      </xdr:nvSpPr>
      <xdr:spPr>
        <a:xfrm>
          <a:off x="14305492" y="4526492"/>
          <a:ext cx="6194425" cy="1664758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33</xdr:col>
      <xdr:colOff>246590</xdr:colOff>
      <xdr:row>1</xdr:row>
      <xdr:rowOff>169333</xdr:rowOff>
    </xdr:from>
    <xdr:to>
      <xdr:col>33</xdr:col>
      <xdr:colOff>257173</xdr:colOff>
      <xdr:row>46</xdr:row>
      <xdr:rowOff>28575</xdr:rowOff>
    </xdr:to>
    <xdr:cxnSp macro="">
      <xdr:nvCxnSpPr>
        <xdr:cNvPr id="58" name="Straight Connector 57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CxnSpPr/>
      </xdr:nvCxnSpPr>
      <xdr:spPr>
        <a:xfrm>
          <a:off x="20820590" y="349250"/>
          <a:ext cx="10583" cy="7955492"/>
        </a:xfrm>
        <a:prstGeom prst="line">
          <a:avLst/>
        </a:prstGeom>
        <a:ln w="15875">
          <a:solidFill>
            <a:srgbClr val="92D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42334</xdr:colOff>
      <xdr:row>25</xdr:row>
      <xdr:rowOff>21166</xdr:rowOff>
    </xdr:from>
    <xdr:to>
      <xdr:col>61</xdr:col>
      <xdr:colOff>21167</xdr:colOff>
      <xdr:row>45</xdr:row>
      <xdr:rowOff>74083</xdr:rowOff>
    </xdr:to>
    <xdr:sp macro="" textlink="">
      <xdr:nvSpPr>
        <xdr:cNvPr id="59" name="Rectangle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21230167" y="4519083"/>
          <a:ext cx="16552333" cy="3651250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10</xdr:col>
      <xdr:colOff>582069</xdr:colOff>
      <xdr:row>16</xdr:row>
      <xdr:rowOff>74083</xdr:rowOff>
    </xdr:from>
    <xdr:to>
      <xdr:col>20</xdr:col>
      <xdr:colOff>136441</xdr:colOff>
      <xdr:row>47</xdr:row>
      <xdr:rowOff>7770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0</xdr:col>
      <xdr:colOff>396094</xdr:colOff>
      <xdr:row>65</xdr:row>
      <xdr:rowOff>131354</xdr:rowOff>
    </xdr:from>
    <xdr:to>
      <xdr:col>10</xdr:col>
      <xdr:colOff>658528</xdr:colOff>
      <xdr:row>92</xdr:row>
      <xdr:rowOff>58123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419100</xdr:colOff>
          <xdr:row>25</xdr:row>
          <xdr:rowOff>107950</xdr:rowOff>
        </xdr:from>
        <xdr:to>
          <xdr:col>9</xdr:col>
          <xdr:colOff>330200</xdr:colOff>
          <xdr:row>28</xdr:row>
          <xdr:rowOff>139700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Perform Single Iteration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413940</xdr:colOff>
          <xdr:row>29</xdr:row>
          <xdr:rowOff>140494</xdr:rowOff>
        </xdr:from>
        <xdr:to>
          <xdr:col>9</xdr:col>
          <xdr:colOff>337344</xdr:colOff>
          <xdr:row>32</xdr:row>
          <xdr:rowOff>51594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Iteration History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495208</xdr:colOff>
      <xdr:row>35</xdr:row>
      <xdr:rowOff>174201</xdr:rowOff>
    </xdr:from>
    <xdr:to>
      <xdr:col>27</xdr:col>
      <xdr:colOff>214527</xdr:colOff>
      <xdr:row>48</xdr:row>
      <xdr:rowOff>85811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43688092-13F3-4643-83D2-8C28D4A6003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27</xdr:col>
      <xdr:colOff>540607</xdr:colOff>
      <xdr:row>36</xdr:row>
      <xdr:rowOff>17163</xdr:rowOff>
    </xdr:from>
    <xdr:to>
      <xdr:col>32</xdr:col>
      <xdr:colOff>380062</xdr:colOff>
      <xdr:row>48</xdr:row>
      <xdr:rowOff>108976</xdr:rowOff>
    </xdr:to>
    <xdr:graphicFrame macro="">
      <xdr:nvGraphicFramePr>
        <xdr:cNvPr id="61" name="Chart 60">
          <a:extLst>
            <a:ext uri="{FF2B5EF4-FFF2-40B4-BE49-F238E27FC236}">
              <a16:creationId xmlns:a16="http://schemas.microsoft.com/office/drawing/2014/main" id="{F8FE657A-E021-4D5B-9F2D-258DA0204D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34</xdr:col>
      <xdr:colOff>94392</xdr:colOff>
      <xdr:row>46</xdr:row>
      <xdr:rowOff>94391</xdr:rowOff>
    </xdr:from>
    <xdr:to>
      <xdr:col>38</xdr:col>
      <xdr:colOff>543103</xdr:colOff>
      <xdr:row>59</xdr:row>
      <xdr:rowOff>6001</xdr:rowOff>
    </xdr:to>
    <xdr:graphicFrame macro="">
      <xdr:nvGraphicFramePr>
        <xdr:cNvPr id="64" name="Chart 63">
          <a:extLst>
            <a:ext uri="{FF2B5EF4-FFF2-40B4-BE49-F238E27FC236}">
              <a16:creationId xmlns:a16="http://schemas.microsoft.com/office/drawing/2014/main" id="{BBFF3244-C62C-429D-BFAC-66CD78B501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41</xdr:col>
      <xdr:colOff>51487</xdr:colOff>
      <xdr:row>46</xdr:row>
      <xdr:rowOff>77229</xdr:rowOff>
    </xdr:from>
    <xdr:to>
      <xdr:col>45</xdr:col>
      <xdr:colOff>500198</xdr:colOff>
      <xdr:row>58</xdr:row>
      <xdr:rowOff>169042</xdr:rowOff>
    </xdr:to>
    <xdr:graphicFrame macro="">
      <xdr:nvGraphicFramePr>
        <xdr:cNvPr id="65" name="Chart 64">
          <a:extLst>
            <a:ext uri="{FF2B5EF4-FFF2-40B4-BE49-F238E27FC236}">
              <a16:creationId xmlns:a16="http://schemas.microsoft.com/office/drawing/2014/main" id="{600B9310-F8FD-4BD7-940B-6416DC1399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47</xdr:col>
      <xdr:colOff>566351</xdr:colOff>
      <xdr:row>46</xdr:row>
      <xdr:rowOff>51486</xdr:rowOff>
    </xdr:from>
    <xdr:to>
      <xdr:col>52</xdr:col>
      <xdr:colOff>405805</xdr:colOff>
      <xdr:row>58</xdr:row>
      <xdr:rowOff>143299</xdr:rowOff>
    </xdr:to>
    <xdr:graphicFrame macro="">
      <xdr:nvGraphicFramePr>
        <xdr:cNvPr id="68" name="Chart 67">
          <a:extLst>
            <a:ext uri="{FF2B5EF4-FFF2-40B4-BE49-F238E27FC236}">
              <a16:creationId xmlns:a16="http://schemas.microsoft.com/office/drawing/2014/main" id="{459B284E-77F2-4990-91C1-F4AFC9E36D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55</xdr:col>
      <xdr:colOff>102972</xdr:colOff>
      <xdr:row>46</xdr:row>
      <xdr:rowOff>85810</xdr:rowOff>
    </xdr:from>
    <xdr:to>
      <xdr:col>59</xdr:col>
      <xdr:colOff>551683</xdr:colOff>
      <xdr:row>58</xdr:row>
      <xdr:rowOff>177623</xdr:rowOff>
    </xdr:to>
    <xdr:graphicFrame macro="">
      <xdr:nvGraphicFramePr>
        <xdr:cNvPr id="69" name="Chart 68">
          <a:extLst>
            <a:ext uri="{FF2B5EF4-FFF2-40B4-BE49-F238E27FC236}">
              <a16:creationId xmlns:a16="http://schemas.microsoft.com/office/drawing/2014/main" id="{DB2F9FA8-2DB4-48E7-B52A-E6DCB3231AD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Colour%20Map%20(Divergent)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lour Map (Divergent)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ED379-7A15-4C38-8A8E-23B32B128455}">
  <sheetPr codeName="Sheet1"/>
  <dimension ref="B2:BI209"/>
  <sheetViews>
    <sheetView tabSelected="1" topLeftCell="G1" zoomScale="60" zoomScaleNormal="60" workbookViewId="0">
      <selection activeCell="G1" sqref="G1"/>
    </sheetView>
  </sheetViews>
  <sheetFormatPr defaultRowHeight="14.5" x14ac:dyDescent="0.35"/>
  <cols>
    <col min="11" max="11" width="10.54296875" customWidth="1"/>
    <col min="13" max="13" width="9.90625" customWidth="1"/>
    <col min="23" max="23" width="10.453125" customWidth="1"/>
  </cols>
  <sheetData>
    <row r="2" spans="3:61" ht="15" thickBot="1" x14ac:dyDescent="0.4"/>
    <row r="3" spans="3:61" x14ac:dyDescent="0.35">
      <c r="C3" s="50" t="s">
        <v>5</v>
      </c>
      <c r="D3" s="50"/>
      <c r="E3" s="50"/>
      <c r="G3" s="50" t="s">
        <v>7</v>
      </c>
      <c r="H3" s="50"/>
      <c r="I3" s="50"/>
      <c r="X3" s="51" t="s">
        <v>10</v>
      </c>
      <c r="Y3" s="52"/>
      <c r="Z3" s="52"/>
      <c r="AA3" s="53"/>
      <c r="AC3" s="51" t="s">
        <v>13</v>
      </c>
      <c r="AD3" s="52"/>
      <c r="AE3" s="52"/>
      <c r="AF3" s="53"/>
      <c r="AG3" s="4"/>
      <c r="AI3" s="51" t="s">
        <v>9</v>
      </c>
      <c r="AJ3" s="52"/>
      <c r="AK3" s="52"/>
      <c r="AL3" s="52"/>
      <c r="AM3" s="52"/>
      <c r="AN3" s="53"/>
      <c r="AP3" s="51" t="s">
        <v>12</v>
      </c>
      <c r="AQ3" s="52"/>
      <c r="AR3" s="52"/>
      <c r="AS3" s="52"/>
      <c r="AT3" s="52"/>
      <c r="AU3" s="53"/>
      <c r="AW3" s="51" t="s">
        <v>8</v>
      </c>
      <c r="AX3" s="54"/>
      <c r="AY3" s="54"/>
      <c r="AZ3" s="54"/>
      <c r="BA3" s="54"/>
      <c r="BB3" s="55"/>
      <c r="BD3" s="51" t="s">
        <v>11</v>
      </c>
      <c r="BE3" s="54"/>
      <c r="BF3" s="54"/>
      <c r="BG3" s="54"/>
      <c r="BH3" s="54"/>
      <c r="BI3" s="55"/>
    </row>
    <row r="4" spans="3:61" ht="15" thickBot="1" x14ac:dyDescent="0.4">
      <c r="C4" s="1" t="s">
        <v>3</v>
      </c>
      <c r="D4" s="1" t="s">
        <v>6</v>
      </c>
      <c r="E4" s="1" t="s">
        <v>4</v>
      </c>
      <c r="G4" s="1" t="s">
        <v>3</v>
      </c>
      <c r="H4" s="1" t="s">
        <v>6</v>
      </c>
      <c r="I4" s="1" t="s">
        <v>4</v>
      </c>
      <c r="K4" s="2" t="s">
        <v>18</v>
      </c>
      <c r="M4" s="4" t="s">
        <v>21</v>
      </c>
      <c r="R4" t="s">
        <v>15</v>
      </c>
      <c r="S4" t="s">
        <v>16</v>
      </c>
      <c r="T4" t="s">
        <v>14</v>
      </c>
      <c r="U4" t="s">
        <v>17</v>
      </c>
      <c r="X4" s="8" t="s">
        <v>19</v>
      </c>
      <c r="Y4" s="9" t="s">
        <v>31</v>
      </c>
      <c r="Z4" s="9" t="s">
        <v>20</v>
      </c>
      <c r="AA4" s="10" t="s">
        <v>53</v>
      </c>
      <c r="AC4" s="8" t="s">
        <v>22</v>
      </c>
      <c r="AD4" s="9" t="s">
        <v>23</v>
      </c>
      <c r="AE4" s="9" t="s">
        <v>20</v>
      </c>
      <c r="AF4" s="10" t="s">
        <v>53</v>
      </c>
      <c r="AI4" s="8" t="s">
        <v>52</v>
      </c>
      <c r="AJ4" s="9" t="s">
        <v>51</v>
      </c>
      <c r="AK4" s="9" t="s">
        <v>50</v>
      </c>
      <c r="AL4" s="9" t="s">
        <v>49</v>
      </c>
      <c r="AM4" s="9" t="s">
        <v>20</v>
      </c>
      <c r="AN4" s="10" t="s">
        <v>53</v>
      </c>
      <c r="AP4" s="8" t="s">
        <v>55</v>
      </c>
      <c r="AQ4" s="9" t="s">
        <v>54</v>
      </c>
      <c r="AR4" s="9" t="s">
        <v>50</v>
      </c>
      <c r="AS4" s="9" t="s">
        <v>49</v>
      </c>
      <c r="AT4" s="9" t="s">
        <v>20</v>
      </c>
      <c r="AU4" s="10" t="s">
        <v>53</v>
      </c>
      <c r="AW4" s="8" t="s">
        <v>57</v>
      </c>
      <c r="AX4" s="9" t="s">
        <v>56</v>
      </c>
      <c r="AY4" s="9" t="s">
        <v>50</v>
      </c>
      <c r="AZ4" s="9" t="s">
        <v>49</v>
      </c>
      <c r="BA4" s="9" t="s">
        <v>20</v>
      </c>
      <c r="BB4" s="10" t="s">
        <v>53</v>
      </c>
      <c r="BD4" s="8" t="s">
        <v>59</v>
      </c>
      <c r="BE4" s="9" t="s">
        <v>58</v>
      </c>
      <c r="BF4" s="9" t="s">
        <v>50</v>
      </c>
      <c r="BG4" s="9" t="s">
        <v>49</v>
      </c>
      <c r="BH4" s="9" t="s">
        <v>20</v>
      </c>
      <c r="BI4" s="10" t="s">
        <v>53</v>
      </c>
    </row>
    <row r="5" spans="3:61" x14ac:dyDescent="0.35">
      <c r="C5" s="1">
        <v>22</v>
      </c>
      <c r="D5" s="1">
        <v>55</v>
      </c>
      <c r="E5" s="1">
        <v>0</v>
      </c>
      <c r="G5" s="3">
        <f>C5/MAX($C$5:$C$12)</f>
        <v>0.33333333333333331</v>
      </c>
      <c r="H5" s="3">
        <f>D5/MAX($D$5:$D$12)</f>
        <v>1</v>
      </c>
      <c r="I5">
        <f>E5</f>
        <v>0</v>
      </c>
      <c r="K5" s="6">
        <f>T5</f>
        <v>2.2394123064034651E-2</v>
      </c>
      <c r="M5" s="6">
        <f>(K5-I5)^2</f>
        <v>5.0149674780712876E-4</v>
      </c>
      <c r="O5" s="19" t="s">
        <v>8</v>
      </c>
      <c r="P5" s="47">
        <v>7.8001507153901857</v>
      </c>
      <c r="R5" s="6">
        <f>(U5*$P$7) + $P$10</f>
        <v>-3.7763080387699639</v>
      </c>
      <c r="S5" s="6">
        <f>(G5 * $P$5) + $P$8 + (H5 * $P$6) + $P$9</f>
        <v>-5.3829918311697131</v>
      </c>
      <c r="T5" s="6">
        <f>1/(1+ EXP(-R5))</f>
        <v>2.2394123064034651E-2</v>
      </c>
      <c r="U5" s="6">
        <f>1/(1+ EXP(-S5))</f>
        <v>4.5730478653825315E-3</v>
      </c>
      <c r="W5" s="6"/>
      <c r="X5" s="11">
        <f>Y5*Z5*AA5</f>
        <v>4.4840213053564402E-6</v>
      </c>
      <c r="Y5" s="12">
        <f>U5</f>
        <v>4.5730478653825315E-3</v>
      </c>
      <c r="Z5" s="12">
        <f>$T5 * (1 - $T5)</f>
        <v>2.1892626316227522E-2</v>
      </c>
      <c r="AA5" s="13">
        <f>2 * ($T5 - $I5)</f>
        <v>4.4788246128069302E-2</v>
      </c>
      <c r="AC5" s="11">
        <f>AD5*AE5*AF5</f>
        <v>9.805323358410454E-4</v>
      </c>
      <c r="AD5" s="12">
        <v>1</v>
      </c>
      <c r="AE5" s="12">
        <f>$T5 * (1 - $T5)</f>
        <v>2.1892626316227522E-2</v>
      </c>
      <c r="AF5" s="13">
        <f>2 * ($T5 - $I5)</f>
        <v>4.4788246128069302E-2</v>
      </c>
      <c r="AG5" s="6"/>
      <c r="AI5" s="11">
        <f>AJ5*AK5*AL5*AM5*AN5</f>
        <v>3.8405250318392868E-5</v>
      </c>
      <c r="AJ5" s="12">
        <f>H5</f>
        <v>1</v>
      </c>
      <c r="AK5" s="12">
        <f>$U5 * (1 - $U5)</f>
        <v>4.5521350986034523E-3</v>
      </c>
      <c r="AL5" s="12">
        <f>$P$7</f>
        <v>8.6042602362523226</v>
      </c>
      <c r="AM5" s="12">
        <f>$T5 * (1 - $T5)</f>
        <v>2.1892626316227522E-2</v>
      </c>
      <c r="AN5" s="13">
        <f>2 * ($T5 - $I5)</f>
        <v>4.4788246128069302E-2</v>
      </c>
      <c r="AP5" s="11">
        <f>AQ5*AR5*AS5*AT5*AU5</f>
        <v>3.8405250318392868E-5</v>
      </c>
      <c r="AQ5" s="12">
        <v>1</v>
      </c>
      <c r="AR5" s="12">
        <f>$U5 * (1 - $U5)</f>
        <v>4.5521350986034523E-3</v>
      </c>
      <c r="AS5" s="12">
        <f>$P$7</f>
        <v>8.6042602362523226</v>
      </c>
      <c r="AT5" s="12">
        <f>$T5 * (1 - $T5)</f>
        <v>2.1892626316227522E-2</v>
      </c>
      <c r="AU5" s="13">
        <f>2 * ($T5 - $I5)</f>
        <v>4.4788246128069302E-2</v>
      </c>
      <c r="AW5" s="11">
        <f>AX5*AY5*AZ5*BA5*BB5</f>
        <v>1.2801750106130956E-5</v>
      </c>
      <c r="AX5" s="12">
        <f>G5</f>
        <v>0.33333333333333331</v>
      </c>
      <c r="AY5" s="12">
        <f>$U5 * (1 - $U5)</f>
        <v>4.5521350986034523E-3</v>
      </c>
      <c r="AZ5" s="12">
        <f>$P$7</f>
        <v>8.6042602362523226</v>
      </c>
      <c r="BA5" s="12">
        <f>$T5 * (1 - $T5)</f>
        <v>2.1892626316227522E-2</v>
      </c>
      <c r="BB5" s="13">
        <f>2 * ($T5 - $I5)</f>
        <v>4.4788246128069302E-2</v>
      </c>
      <c r="BD5" s="11">
        <f>BE5*BF5*BG5*BH5*BI5</f>
        <v>3.8405250318392868E-5</v>
      </c>
      <c r="BE5" s="12">
        <f>1</f>
        <v>1</v>
      </c>
      <c r="BF5" s="12">
        <f>$U5 * (1 - $U5)</f>
        <v>4.5521350986034523E-3</v>
      </c>
      <c r="BG5" s="12">
        <f>$P$7</f>
        <v>8.6042602362523226</v>
      </c>
      <c r="BH5" s="12">
        <f>$T5 * (1 - $T5)</f>
        <v>2.1892626316227522E-2</v>
      </c>
      <c r="BI5" s="13">
        <f>2 * ($T5 - $I5)</f>
        <v>4.4788246128069302E-2</v>
      </c>
    </row>
    <row r="6" spans="3:61" x14ac:dyDescent="0.35">
      <c r="C6" s="1">
        <v>34</v>
      </c>
      <c r="D6" s="1">
        <v>34</v>
      </c>
      <c r="E6" s="1">
        <v>0</v>
      </c>
      <c r="G6" s="3">
        <f t="shared" ref="G6:G12" si="0">C6/MAX($C$5:$C$12)</f>
        <v>0.51515151515151514</v>
      </c>
      <c r="H6" s="3">
        <f t="shared" ref="H6:H12" si="1">D6/MAX($D$5:$D$12)</f>
        <v>0.61818181818181817</v>
      </c>
      <c r="I6">
        <f t="shared" ref="I6:I12" si="2">E6</f>
        <v>0</v>
      </c>
      <c r="K6" s="6">
        <f>T6</f>
        <v>8.5525740780159371E-2</v>
      </c>
      <c r="M6" s="6">
        <f t="shared" ref="M6:M12" si="3">(K6-I6)^2</f>
        <v>7.3146523359950153E-3</v>
      </c>
      <c r="O6" s="20" t="s">
        <v>9</v>
      </c>
      <c r="P6" s="49">
        <v>-6.1951467733298324</v>
      </c>
      <c r="R6" s="6">
        <f>(U6*$P$7) + $P$10</f>
        <v>-2.3695319276645508</v>
      </c>
      <c r="S6" s="6">
        <f t="shared" ref="S6:S12" si="4">(G6 * $P$5) + $P$8 + (H6 * $P$6) + $P$9</f>
        <v>-1.5993629331001069</v>
      </c>
      <c r="T6" s="6">
        <f>1/(1+ EXP(-R6))</f>
        <v>8.5525740780159371E-2</v>
      </c>
      <c r="U6" s="6">
        <f>1/(1+ EXP(-S6))</f>
        <v>0.16807067258601155</v>
      </c>
      <c r="W6" s="6"/>
      <c r="X6" s="11">
        <f t="shared" ref="X6:X12" si="5">Y6*Z6*AA6</f>
        <v>2.2484700553904525E-3</v>
      </c>
      <c r="Y6" s="12">
        <f t="shared" ref="Y6:Y12" si="6">U6</f>
        <v>0.16807067258601155</v>
      </c>
      <c r="Z6" s="12">
        <f t="shared" ref="Z6:Z12" si="7">$T6 * (1 - $T6)</f>
        <v>7.8211088444164356E-2</v>
      </c>
      <c r="AA6" s="13">
        <f t="shared" ref="AA6:AA12" si="8">2 * ($T6 - $I6)</f>
        <v>0.17105148156031874</v>
      </c>
      <c r="AC6" s="11">
        <f t="shared" ref="AC6:AC12" si="9">AD6*AE6*AF6</f>
        <v>1.3378122552819437E-2</v>
      </c>
      <c r="AD6" s="12">
        <v>1</v>
      </c>
      <c r="AE6" s="12">
        <f t="shared" ref="AE6:AE12" si="10">$T6 * (1 - $T6)</f>
        <v>7.8211088444164356E-2</v>
      </c>
      <c r="AF6" s="13">
        <f t="shared" ref="AF6:AF12" si="11">2 * ($T6 - $I6)</f>
        <v>0.17105148156031874</v>
      </c>
      <c r="AG6" s="6"/>
      <c r="AI6" s="11">
        <f t="shared" ref="AI6:AI12" si="12">AJ6*AK6*AL6*AM6*AN6</f>
        <v>9.9495469856995204E-3</v>
      </c>
      <c r="AJ6" s="12">
        <f t="shared" ref="AJ6:AJ12" si="13">H6</f>
        <v>0.61818181818181817</v>
      </c>
      <c r="AK6" s="12">
        <f>$U6 * (1 - $U6)</f>
        <v>0.13982292160249726</v>
      </c>
      <c r="AL6" s="12">
        <f t="shared" ref="AL6:AL12" si="14">$P$7</f>
        <v>8.6042602362523226</v>
      </c>
      <c r="AM6" s="12">
        <f t="shared" ref="AM6:AM12" si="15">$T6 * (1 - $T6)</f>
        <v>7.8211088444164356E-2</v>
      </c>
      <c r="AN6" s="13">
        <f t="shared" ref="AN6:AN12" si="16">2 * ($T6 - $I6)</f>
        <v>0.17105148156031874</v>
      </c>
      <c r="AP6" s="11">
        <f t="shared" ref="AP6:AP12" si="17">AQ6*AR6*AS6*AT6*AU6</f>
        <v>1.6094855418043341E-2</v>
      </c>
      <c r="AQ6" s="12">
        <v>1</v>
      </c>
      <c r="AR6" s="12">
        <f>$U6 * (1 - $U6)</f>
        <v>0.13982292160249726</v>
      </c>
      <c r="AS6" s="12">
        <f t="shared" ref="AS6:AS12" si="18">$P$7</f>
        <v>8.6042602362523226</v>
      </c>
      <c r="AT6" s="12">
        <f t="shared" ref="AT6:AT12" si="19">$T6 * (1 - $T6)</f>
        <v>7.8211088444164356E-2</v>
      </c>
      <c r="AU6" s="13">
        <f t="shared" ref="AU6:AU12" si="20">2 * ($T6 - $I6)</f>
        <v>0.17105148156031874</v>
      </c>
      <c r="AW6" s="11">
        <f t="shared" ref="AW6:AW12" si="21">AX6*AY6*AZ6*BA6*BB6</f>
        <v>8.2912891547496006E-3</v>
      </c>
      <c r="AX6" s="12">
        <f t="shared" ref="AX6:AX12" si="22">G6</f>
        <v>0.51515151515151514</v>
      </c>
      <c r="AY6" s="12">
        <f>$U6 * (1 - $U6)</f>
        <v>0.13982292160249726</v>
      </c>
      <c r="AZ6" s="12">
        <f t="shared" ref="AZ6:AZ12" si="23">$P$7</f>
        <v>8.6042602362523226</v>
      </c>
      <c r="BA6" s="12">
        <f t="shared" ref="BA6:BA12" si="24">$T6 * (1 - $T6)</f>
        <v>7.8211088444164356E-2</v>
      </c>
      <c r="BB6" s="13">
        <f t="shared" ref="BB6:BB12" si="25">2 * ($T6 - $I6)</f>
        <v>0.17105148156031874</v>
      </c>
      <c r="BD6" s="11">
        <f t="shared" ref="BD6:BD12" si="26">BE6*BF6*BG6*BH6*BI6</f>
        <v>1.6094855418043341E-2</v>
      </c>
      <c r="BE6" s="12">
        <f>1</f>
        <v>1</v>
      </c>
      <c r="BF6" s="12">
        <f>$U6 * (1 - $U6)</f>
        <v>0.13982292160249726</v>
      </c>
      <c r="BG6" s="12">
        <f t="shared" ref="BG6:BG12" si="27">$P$7</f>
        <v>8.6042602362523226</v>
      </c>
      <c r="BH6" s="12">
        <f t="shared" ref="BH6:BH12" si="28">$T6 * (1 - $T6)</f>
        <v>7.8211088444164356E-2</v>
      </c>
      <c r="BI6" s="13">
        <f t="shared" ref="BI6:BI12" si="29">2 * ($T6 - $I6)</f>
        <v>0.17105148156031874</v>
      </c>
    </row>
    <row r="7" spans="3:61" x14ac:dyDescent="0.35">
      <c r="C7" s="1">
        <v>21</v>
      </c>
      <c r="D7" s="1">
        <v>24</v>
      </c>
      <c r="E7" s="1">
        <v>0</v>
      </c>
      <c r="G7" s="3">
        <f t="shared" si="0"/>
        <v>0.31818181818181818</v>
      </c>
      <c r="H7" s="3">
        <f t="shared" si="1"/>
        <v>0.43636363636363634</v>
      </c>
      <c r="I7">
        <f t="shared" si="2"/>
        <v>0</v>
      </c>
      <c r="K7" s="6">
        <f t="shared" ref="K7:K12" si="30">T7</f>
        <v>5.7408871783870205E-2</v>
      </c>
      <c r="M7" s="6">
        <f t="shared" si="3"/>
        <v>3.2957785594968487E-3</v>
      </c>
      <c r="O7" s="20" t="s">
        <v>10</v>
      </c>
      <c r="P7" s="49">
        <v>8.6042602362523226</v>
      </c>
      <c r="R7" s="6">
        <f t="shared" ref="R7:R12" si="31">(U7*$P$7) + $P$10</f>
        <v>-2.7984337503338272</v>
      </c>
      <c r="S7" s="6">
        <f t="shared" si="4"/>
        <v>-2.0093659334048715</v>
      </c>
      <c r="T7" s="6">
        <f t="shared" ref="T7:T11" si="32">1/(1+ EXP(-R7))</f>
        <v>5.7408871783870205E-2</v>
      </c>
      <c r="U7" s="6">
        <f t="shared" ref="U7:U11" si="33">1/(1+ EXP(-S7))</f>
        <v>0.11822306095030294</v>
      </c>
      <c r="W7" s="6"/>
      <c r="X7" s="11">
        <f>Y7*Z7*AA7</f>
        <v>7.3453681449649004E-4</v>
      </c>
      <c r="Y7" s="12">
        <f t="shared" si="6"/>
        <v>0.11822306095030294</v>
      </c>
      <c r="Z7" s="12">
        <f t="shared" si="7"/>
        <v>5.4113093224373354E-2</v>
      </c>
      <c r="AA7" s="13">
        <f t="shared" si="8"/>
        <v>0.11481774356774041</v>
      </c>
      <c r="AC7" s="11">
        <f t="shared" si="9"/>
        <v>6.2131432614933313E-3</v>
      </c>
      <c r="AD7" s="12">
        <v>1</v>
      </c>
      <c r="AE7" s="12">
        <f t="shared" si="10"/>
        <v>5.4113093224373354E-2</v>
      </c>
      <c r="AF7" s="13">
        <f t="shared" si="11"/>
        <v>0.11481774356774041</v>
      </c>
      <c r="AG7" s="6"/>
      <c r="AI7" s="11">
        <f t="shared" si="12"/>
        <v>2.4318366154864436E-3</v>
      </c>
      <c r="AJ7" s="12">
        <f t="shared" si="13"/>
        <v>0.43636363636363634</v>
      </c>
      <c r="AK7" s="12">
        <f t="shared" ref="AK7:AK12" si="34">$U7 * (1 - $U7)</f>
        <v>0.10424636880984389</v>
      </c>
      <c r="AL7" s="12">
        <f t="shared" si="14"/>
        <v>8.6042602362523226</v>
      </c>
      <c r="AM7" s="12">
        <f t="shared" si="15"/>
        <v>5.4113093224373354E-2</v>
      </c>
      <c r="AN7" s="13">
        <f t="shared" si="16"/>
        <v>0.11481774356774041</v>
      </c>
      <c r="AP7" s="11">
        <f t="shared" si="17"/>
        <v>5.5729589104897663E-3</v>
      </c>
      <c r="AQ7" s="12">
        <v>1</v>
      </c>
      <c r="AR7" s="12">
        <f t="shared" ref="AR7:AR12" si="35">$U7 * (1 - $U7)</f>
        <v>0.10424636880984389</v>
      </c>
      <c r="AS7" s="12">
        <f t="shared" si="18"/>
        <v>8.6042602362523226</v>
      </c>
      <c r="AT7" s="12">
        <f t="shared" si="19"/>
        <v>5.4113093224373354E-2</v>
      </c>
      <c r="AU7" s="13">
        <f t="shared" si="20"/>
        <v>0.11481774356774041</v>
      </c>
      <c r="AW7" s="11">
        <f t="shared" si="21"/>
        <v>1.7732141987921984E-3</v>
      </c>
      <c r="AX7" s="12">
        <f t="shared" si="22"/>
        <v>0.31818181818181818</v>
      </c>
      <c r="AY7" s="12">
        <f t="shared" ref="AY7:AY12" si="36">$U7 * (1 - $U7)</f>
        <v>0.10424636880984389</v>
      </c>
      <c r="AZ7" s="12">
        <f t="shared" si="23"/>
        <v>8.6042602362523226</v>
      </c>
      <c r="BA7" s="12">
        <f t="shared" si="24"/>
        <v>5.4113093224373354E-2</v>
      </c>
      <c r="BB7" s="13">
        <f t="shared" si="25"/>
        <v>0.11481774356774041</v>
      </c>
      <c r="BD7" s="11">
        <f t="shared" si="26"/>
        <v>5.5729589104897663E-3</v>
      </c>
      <c r="BE7" s="12">
        <f>1</f>
        <v>1</v>
      </c>
      <c r="BF7" s="12">
        <f t="shared" ref="BF7:BF12" si="37">$U7 * (1 - $U7)</f>
        <v>0.10424636880984389</v>
      </c>
      <c r="BG7" s="12">
        <f t="shared" si="27"/>
        <v>8.6042602362523226</v>
      </c>
      <c r="BH7" s="12">
        <f t="shared" si="28"/>
        <v>5.4113093224373354E-2</v>
      </c>
      <c r="BI7" s="13">
        <f t="shared" si="29"/>
        <v>0.11481774356774041</v>
      </c>
    </row>
    <row r="8" spans="3:61" x14ac:dyDescent="0.35">
      <c r="C8" s="1">
        <v>23</v>
      </c>
      <c r="D8" s="1">
        <v>45</v>
      </c>
      <c r="E8" s="1">
        <v>0</v>
      </c>
      <c r="G8" s="3">
        <f t="shared" si="0"/>
        <v>0.34848484848484851</v>
      </c>
      <c r="H8" s="3">
        <f t="shared" si="1"/>
        <v>0.81818181818181823</v>
      </c>
      <c r="I8">
        <f t="shared" si="2"/>
        <v>0</v>
      </c>
      <c r="K8" s="6">
        <f t="shared" si="30"/>
        <v>2.4588311385387893E-2</v>
      </c>
      <c r="M8" s="6">
        <f t="shared" si="3"/>
        <v>6.0458505678479587E-4</v>
      </c>
      <c r="O8" s="20" t="s">
        <v>11</v>
      </c>
      <c r="P8" s="49">
        <v>0.19528595521566197</v>
      </c>
      <c r="R8" s="6">
        <f t="shared" si="31"/>
        <v>-3.680588443525771</v>
      </c>
      <c r="S8" s="6">
        <f t="shared" si="4"/>
        <v>-4.1384174069977711</v>
      </c>
      <c r="T8" s="6">
        <f t="shared" si="32"/>
        <v>2.4588311385387893E-2</v>
      </c>
      <c r="U8" s="6">
        <f t="shared" si="33"/>
        <v>1.5697722458661016E-2</v>
      </c>
      <c r="W8" s="6"/>
      <c r="X8" s="11">
        <f t="shared" si="5"/>
        <v>1.8514500777787852E-5</v>
      </c>
      <c r="Y8" s="12">
        <f t="shared" si="6"/>
        <v>1.5697722458661016E-2</v>
      </c>
      <c r="Z8" s="12">
        <f t="shared" si="7"/>
        <v>2.3983726328603096E-2</v>
      </c>
      <c r="AA8" s="13">
        <f t="shared" si="8"/>
        <v>4.9176622770775787E-2</v>
      </c>
      <c r="AC8" s="11">
        <f t="shared" si="9"/>
        <v>1.1794386622992377E-3</v>
      </c>
      <c r="AD8" s="12">
        <v>1</v>
      </c>
      <c r="AE8" s="12">
        <f t="shared" si="10"/>
        <v>2.3983726328603096E-2</v>
      </c>
      <c r="AF8" s="13">
        <f t="shared" si="11"/>
        <v>4.9176622770775787E-2</v>
      </c>
      <c r="AG8" s="6"/>
      <c r="AI8" s="11">
        <f t="shared" si="12"/>
        <v>1.2829326496882927E-4</v>
      </c>
      <c r="AJ8" s="12">
        <f t="shared" si="13"/>
        <v>0.81818181818181823</v>
      </c>
      <c r="AK8" s="12">
        <f t="shared" si="34"/>
        <v>1.5451303968271867E-2</v>
      </c>
      <c r="AL8" s="12">
        <f t="shared" si="14"/>
        <v>8.6042602362523226</v>
      </c>
      <c r="AM8" s="12">
        <f t="shared" si="15"/>
        <v>2.3983726328603096E-2</v>
      </c>
      <c r="AN8" s="13">
        <f t="shared" si="16"/>
        <v>4.9176622770775787E-2</v>
      </c>
      <c r="AP8" s="11">
        <f t="shared" si="17"/>
        <v>1.5680287940634686E-4</v>
      </c>
      <c r="AQ8" s="12">
        <v>1</v>
      </c>
      <c r="AR8" s="12">
        <f t="shared" si="35"/>
        <v>1.5451303968271867E-2</v>
      </c>
      <c r="AS8" s="12">
        <f t="shared" si="18"/>
        <v>8.6042602362523226</v>
      </c>
      <c r="AT8" s="12">
        <f t="shared" si="19"/>
        <v>2.3983726328603096E-2</v>
      </c>
      <c r="AU8" s="13">
        <f t="shared" si="20"/>
        <v>4.9176622770775787E-2</v>
      </c>
      <c r="AW8" s="11">
        <f t="shared" si="21"/>
        <v>5.4643427671908757E-5</v>
      </c>
      <c r="AX8" s="12">
        <f t="shared" si="22"/>
        <v>0.34848484848484851</v>
      </c>
      <c r="AY8" s="12">
        <f t="shared" si="36"/>
        <v>1.5451303968271867E-2</v>
      </c>
      <c r="AZ8" s="12">
        <f t="shared" si="23"/>
        <v>8.6042602362523226</v>
      </c>
      <c r="BA8" s="12">
        <f t="shared" si="24"/>
        <v>2.3983726328603096E-2</v>
      </c>
      <c r="BB8" s="13">
        <f t="shared" si="25"/>
        <v>4.9176622770775787E-2</v>
      </c>
      <c r="BD8" s="11">
        <f t="shared" si="26"/>
        <v>1.5680287940634686E-4</v>
      </c>
      <c r="BE8" s="12">
        <f>1</f>
        <v>1</v>
      </c>
      <c r="BF8" s="12">
        <f t="shared" si="37"/>
        <v>1.5451303968271867E-2</v>
      </c>
      <c r="BG8" s="12">
        <f t="shared" si="27"/>
        <v>8.6042602362523226</v>
      </c>
      <c r="BH8" s="12">
        <f t="shared" si="28"/>
        <v>2.3983726328603096E-2</v>
      </c>
      <c r="BI8" s="13">
        <f t="shared" si="29"/>
        <v>4.9176622770775787E-2</v>
      </c>
    </row>
    <row r="9" spans="3:61" x14ac:dyDescent="0.35">
      <c r="C9" s="1">
        <v>44</v>
      </c>
      <c r="D9" s="1">
        <v>11</v>
      </c>
      <c r="E9" s="1">
        <v>1</v>
      </c>
      <c r="G9" s="3">
        <f t="shared" si="0"/>
        <v>0.66666666666666663</v>
      </c>
      <c r="H9" s="3">
        <f t="shared" si="1"/>
        <v>0.2</v>
      </c>
      <c r="I9">
        <f t="shared" si="2"/>
        <v>1</v>
      </c>
      <c r="K9" s="6">
        <f t="shared" si="30"/>
        <v>0.98034119918934293</v>
      </c>
      <c r="M9" s="6">
        <f t="shared" si="3"/>
        <v>3.8646844931309118E-4</v>
      </c>
      <c r="O9" s="20" t="s">
        <v>12</v>
      </c>
      <c r="P9" s="49">
        <v>-1.983181251518938</v>
      </c>
      <c r="R9" s="6">
        <f t="shared" si="31"/>
        <v>3.9093755570556294</v>
      </c>
      <c r="S9" s="6">
        <f t="shared" si="4"/>
        <v>2.1731758259575482</v>
      </c>
      <c r="T9" s="6">
        <f t="shared" si="32"/>
        <v>0.98034119918934293</v>
      </c>
      <c r="U9" s="6">
        <f t="shared" si="33"/>
        <v>0.89781469616461795</v>
      </c>
      <c r="W9" s="6"/>
      <c r="X9" s="11">
        <f t="shared" si="5"/>
        <v>-6.8031180123727776E-4</v>
      </c>
      <c r="Y9" s="12">
        <f t="shared" si="6"/>
        <v>0.89781469616461795</v>
      </c>
      <c r="Z9" s="12">
        <f t="shared" si="7"/>
        <v>1.9272332361343982E-2</v>
      </c>
      <c r="AA9" s="13">
        <f t="shared" si="8"/>
        <v>-3.9317601621314147E-2</v>
      </c>
      <c r="AC9" s="11">
        <f t="shared" si="9"/>
        <v>-7.5774188609688329E-4</v>
      </c>
      <c r="AD9" s="12">
        <v>1</v>
      </c>
      <c r="AE9" s="12">
        <f t="shared" si="10"/>
        <v>1.9272332361343982E-2</v>
      </c>
      <c r="AF9" s="13">
        <f t="shared" si="11"/>
        <v>-3.9317601621314147E-2</v>
      </c>
      <c r="AG9" s="6"/>
      <c r="AI9" s="11">
        <f t="shared" si="12"/>
        <v>-1.1962996566141408E-4</v>
      </c>
      <c r="AJ9" s="12">
        <f t="shared" si="13"/>
        <v>0.2</v>
      </c>
      <c r="AK9" s="12">
        <f t="shared" si="34"/>
        <v>9.1743467515452704E-2</v>
      </c>
      <c r="AL9" s="12">
        <f t="shared" si="14"/>
        <v>8.6042602362523226</v>
      </c>
      <c r="AM9" s="12">
        <f t="shared" si="15"/>
        <v>1.9272332361343982E-2</v>
      </c>
      <c r="AN9" s="13">
        <f t="shared" si="16"/>
        <v>-3.9317601621314147E-2</v>
      </c>
      <c r="AP9" s="11">
        <f t="shared" si="17"/>
        <v>-5.9814982830707036E-4</v>
      </c>
      <c r="AQ9" s="12">
        <v>1</v>
      </c>
      <c r="AR9" s="12">
        <f t="shared" si="35"/>
        <v>9.1743467515452704E-2</v>
      </c>
      <c r="AS9" s="12">
        <f t="shared" si="18"/>
        <v>8.6042602362523226</v>
      </c>
      <c r="AT9" s="12">
        <f t="shared" si="19"/>
        <v>1.9272332361343982E-2</v>
      </c>
      <c r="AU9" s="13">
        <f t="shared" si="20"/>
        <v>-3.9317601621314147E-2</v>
      </c>
      <c r="AW9" s="11">
        <f t="shared" si="21"/>
        <v>-3.9876655220471354E-4</v>
      </c>
      <c r="AX9" s="12">
        <f t="shared" si="22"/>
        <v>0.66666666666666663</v>
      </c>
      <c r="AY9" s="12">
        <f t="shared" si="36"/>
        <v>9.1743467515452704E-2</v>
      </c>
      <c r="AZ9" s="12">
        <f t="shared" si="23"/>
        <v>8.6042602362523226</v>
      </c>
      <c r="BA9" s="12">
        <f t="shared" si="24"/>
        <v>1.9272332361343982E-2</v>
      </c>
      <c r="BB9" s="13">
        <f t="shared" si="25"/>
        <v>-3.9317601621314147E-2</v>
      </c>
      <c r="BD9" s="11">
        <f t="shared" si="26"/>
        <v>-5.9814982830707036E-4</v>
      </c>
      <c r="BE9" s="12">
        <f>1</f>
        <v>1</v>
      </c>
      <c r="BF9" s="12">
        <f t="shared" si="37"/>
        <v>9.1743467515452704E-2</v>
      </c>
      <c r="BG9" s="12">
        <f t="shared" si="27"/>
        <v>8.6042602362523226</v>
      </c>
      <c r="BH9" s="12">
        <f t="shared" si="28"/>
        <v>1.9272332361343982E-2</v>
      </c>
      <c r="BI9" s="13">
        <f t="shared" si="29"/>
        <v>-3.9317601621314147E-2</v>
      </c>
    </row>
    <row r="10" spans="3:61" ht="15" thickBot="1" x14ac:dyDescent="0.4">
      <c r="C10" s="1">
        <v>66</v>
      </c>
      <c r="D10" s="1">
        <v>21</v>
      </c>
      <c r="E10" s="1">
        <v>1</v>
      </c>
      <c r="G10" s="3">
        <f t="shared" si="0"/>
        <v>1</v>
      </c>
      <c r="H10" s="3">
        <f t="shared" si="1"/>
        <v>0.38181818181818183</v>
      </c>
      <c r="I10">
        <f t="shared" si="2"/>
        <v>1</v>
      </c>
      <c r="K10" s="6">
        <f t="shared" si="30"/>
        <v>0.98974784299241414</v>
      </c>
      <c r="M10" s="6">
        <f t="shared" si="3"/>
        <v>1.0510672330819186E-4</v>
      </c>
      <c r="O10" s="21" t="s">
        <v>13</v>
      </c>
      <c r="P10" s="48">
        <v>-3.8156557326765532</v>
      </c>
      <c r="R10" s="6">
        <f t="shared" si="31"/>
        <v>4.5699620834284396</v>
      </c>
      <c r="S10" s="6">
        <f t="shared" si="4"/>
        <v>3.6468357419973367</v>
      </c>
      <c r="T10" s="6">
        <f t="shared" si="32"/>
        <v>0.98974784299241414</v>
      </c>
      <c r="U10" s="6">
        <f t="shared" si="33"/>
        <v>0.97458905075579616</v>
      </c>
      <c r="W10" s="6"/>
      <c r="X10" s="11">
        <f t="shared" si="5"/>
        <v>-2.0277134631931603E-4</v>
      </c>
      <c r="Y10" s="12">
        <f t="shared" si="6"/>
        <v>0.97458905075579616</v>
      </c>
      <c r="Z10" s="12">
        <f t="shared" si="7"/>
        <v>1.0147050284277669E-2</v>
      </c>
      <c r="AA10" s="13">
        <f t="shared" si="8"/>
        <v>-2.0504314015171721E-2</v>
      </c>
      <c r="AC10" s="11">
        <f t="shared" si="9"/>
        <v>-2.0805830535656678E-4</v>
      </c>
      <c r="AD10" s="12">
        <v>1</v>
      </c>
      <c r="AE10" s="12">
        <f t="shared" si="10"/>
        <v>1.0147050284277669E-2</v>
      </c>
      <c r="AF10" s="13">
        <f t="shared" si="11"/>
        <v>-2.0504314015171721E-2</v>
      </c>
      <c r="AG10" s="6"/>
      <c r="AI10" s="11">
        <f t="shared" si="12"/>
        <v>-1.6927686832937034E-5</v>
      </c>
      <c r="AJ10" s="12">
        <f t="shared" si="13"/>
        <v>0.38181818181818183</v>
      </c>
      <c r="AK10" s="12">
        <f t="shared" si="34"/>
        <v>2.4765232902712337E-2</v>
      </c>
      <c r="AL10" s="12">
        <f t="shared" si="14"/>
        <v>8.6042602362523226</v>
      </c>
      <c r="AM10" s="12">
        <f t="shared" si="15"/>
        <v>1.0147050284277669E-2</v>
      </c>
      <c r="AN10" s="13">
        <f t="shared" si="16"/>
        <v>-2.0504314015171721E-2</v>
      </c>
      <c r="AP10" s="11">
        <f t="shared" si="17"/>
        <v>-4.4334417895787466E-5</v>
      </c>
      <c r="AQ10" s="12">
        <v>1</v>
      </c>
      <c r="AR10" s="12">
        <f t="shared" si="35"/>
        <v>2.4765232902712337E-2</v>
      </c>
      <c r="AS10" s="12">
        <f t="shared" si="18"/>
        <v>8.6042602362523226</v>
      </c>
      <c r="AT10" s="12">
        <f t="shared" si="19"/>
        <v>1.0147050284277669E-2</v>
      </c>
      <c r="AU10" s="13">
        <f t="shared" si="20"/>
        <v>-2.0504314015171721E-2</v>
      </c>
      <c r="AW10" s="11">
        <f t="shared" si="21"/>
        <v>-4.4334417895787466E-5</v>
      </c>
      <c r="AX10" s="12">
        <f t="shared" si="22"/>
        <v>1</v>
      </c>
      <c r="AY10" s="12">
        <f t="shared" si="36"/>
        <v>2.4765232902712337E-2</v>
      </c>
      <c r="AZ10" s="12">
        <f t="shared" si="23"/>
        <v>8.6042602362523226</v>
      </c>
      <c r="BA10" s="12">
        <f t="shared" si="24"/>
        <v>1.0147050284277669E-2</v>
      </c>
      <c r="BB10" s="13">
        <f t="shared" si="25"/>
        <v>-2.0504314015171721E-2</v>
      </c>
      <c r="BD10" s="11">
        <f t="shared" si="26"/>
        <v>-4.4334417895787466E-5</v>
      </c>
      <c r="BE10" s="12">
        <f>1</f>
        <v>1</v>
      </c>
      <c r="BF10" s="12">
        <f t="shared" si="37"/>
        <v>2.4765232902712337E-2</v>
      </c>
      <c r="BG10" s="12">
        <f t="shared" si="27"/>
        <v>8.6042602362523226</v>
      </c>
      <c r="BH10" s="12">
        <f t="shared" si="28"/>
        <v>1.0147050284277669E-2</v>
      </c>
      <c r="BI10" s="13">
        <f t="shared" si="29"/>
        <v>-2.0504314015171721E-2</v>
      </c>
    </row>
    <row r="11" spans="3:61" x14ac:dyDescent="0.35">
      <c r="C11" s="1">
        <v>45</v>
      </c>
      <c r="D11" s="1">
        <v>23</v>
      </c>
      <c r="E11" s="1">
        <v>1</v>
      </c>
      <c r="G11" s="3">
        <f t="shared" si="0"/>
        <v>0.68181818181818177</v>
      </c>
      <c r="H11" s="3">
        <f t="shared" si="1"/>
        <v>0.41818181818181815</v>
      </c>
      <c r="I11">
        <f t="shared" si="2"/>
        <v>1</v>
      </c>
      <c r="K11" s="6">
        <f t="shared" si="30"/>
        <v>0.91459906274960789</v>
      </c>
      <c r="M11" s="6">
        <f t="shared" si="3"/>
        <v>7.2933200832454104E-3</v>
      </c>
      <c r="R11" s="6">
        <f t="shared" si="31"/>
        <v>2.3711287108948276</v>
      </c>
      <c r="S11" s="6">
        <f t="shared" si="4"/>
        <v>0.93969154079755657</v>
      </c>
      <c r="T11" s="6">
        <f t="shared" si="32"/>
        <v>0.91459906274960789</v>
      </c>
      <c r="U11" s="6">
        <f t="shared" si="33"/>
        <v>0.7190373458841478</v>
      </c>
      <c r="W11" s="6"/>
      <c r="X11" s="11">
        <f t="shared" si="5"/>
        <v>-9.5926250472606646E-3</v>
      </c>
      <c r="Y11" s="12">
        <f t="shared" si="6"/>
        <v>0.7190373458841478</v>
      </c>
      <c r="Z11" s="12">
        <f t="shared" si="7"/>
        <v>7.810761716714669E-2</v>
      </c>
      <c r="AA11" s="13">
        <f t="shared" si="8"/>
        <v>-0.17080187450078421</v>
      </c>
      <c r="AC11" s="11">
        <f t="shared" si="9"/>
        <v>-1.3340927424938287E-2</v>
      </c>
      <c r="AD11" s="12">
        <v>1</v>
      </c>
      <c r="AE11" s="12">
        <f t="shared" si="10"/>
        <v>7.810761716714669E-2</v>
      </c>
      <c r="AF11" s="13">
        <f t="shared" si="11"/>
        <v>-0.17080187450078421</v>
      </c>
      <c r="AG11" s="6"/>
      <c r="AI11" s="11">
        <f t="shared" si="12"/>
        <v>-9.6976107876436957E-3</v>
      </c>
      <c r="AJ11" s="12">
        <f t="shared" si="13"/>
        <v>0.41818181818181815</v>
      </c>
      <c r="AK11" s="12">
        <f t="shared" si="34"/>
        <v>0.2020226411080282</v>
      </c>
      <c r="AL11" s="12">
        <f t="shared" si="14"/>
        <v>8.6042602362523226</v>
      </c>
      <c r="AM11" s="12">
        <f t="shared" si="15"/>
        <v>7.810761716714669E-2</v>
      </c>
      <c r="AN11" s="13">
        <f t="shared" si="16"/>
        <v>-0.17080187450078421</v>
      </c>
      <c r="AP11" s="11">
        <f t="shared" si="17"/>
        <v>-2.3189938840017531E-2</v>
      </c>
      <c r="AQ11" s="12">
        <v>1</v>
      </c>
      <c r="AR11" s="12">
        <f t="shared" si="35"/>
        <v>0.2020226411080282</v>
      </c>
      <c r="AS11" s="12">
        <f t="shared" si="18"/>
        <v>8.6042602362523226</v>
      </c>
      <c r="AT11" s="12">
        <f t="shared" si="19"/>
        <v>7.810761716714669E-2</v>
      </c>
      <c r="AU11" s="13">
        <f t="shared" si="20"/>
        <v>-0.17080187450078421</v>
      </c>
      <c r="AW11" s="11">
        <f t="shared" si="21"/>
        <v>-1.5811321936375591E-2</v>
      </c>
      <c r="AX11" s="12">
        <f t="shared" si="22"/>
        <v>0.68181818181818177</v>
      </c>
      <c r="AY11" s="12">
        <f t="shared" si="36"/>
        <v>0.2020226411080282</v>
      </c>
      <c r="AZ11" s="12">
        <f t="shared" si="23"/>
        <v>8.6042602362523226</v>
      </c>
      <c r="BA11" s="12">
        <f t="shared" si="24"/>
        <v>7.810761716714669E-2</v>
      </c>
      <c r="BB11" s="13">
        <f t="shared" si="25"/>
        <v>-0.17080187450078421</v>
      </c>
      <c r="BD11" s="11">
        <f t="shared" si="26"/>
        <v>-2.3189938840017531E-2</v>
      </c>
      <c r="BE11" s="12">
        <f>1</f>
        <v>1</v>
      </c>
      <c r="BF11" s="12">
        <f t="shared" si="37"/>
        <v>0.2020226411080282</v>
      </c>
      <c r="BG11" s="12">
        <f t="shared" si="27"/>
        <v>8.6042602362523226</v>
      </c>
      <c r="BH11" s="12">
        <f t="shared" si="28"/>
        <v>7.810761716714669E-2</v>
      </c>
      <c r="BI11" s="13">
        <f t="shared" si="29"/>
        <v>-0.17080187450078421</v>
      </c>
    </row>
    <row r="12" spans="3:61" x14ac:dyDescent="0.35">
      <c r="C12" s="1">
        <v>34</v>
      </c>
      <c r="D12" s="1">
        <v>8</v>
      </c>
      <c r="E12" s="1">
        <v>1</v>
      </c>
      <c r="G12" s="3">
        <f t="shared" si="0"/>
        <v>0.51515151515151514</v>
      </c>
      <c r="H12" s="3">
        <f t="shared" si="1"/>
        <v>0.14545454545454545</v>
      </c>
      <c r="I12">
        <f t="shared" si="2"/>
        <v>1</v>
      </c>
      <c r="K12" s="6">
        <f t="shared" si="30"/>
        <v>0.95202347846549185</v>
      </c>
      <c r="M12" s="6">
        <f t="shared" si="3"/>
        <v>2.3017466185511247E-3</v>
      </c>
      <c r="O12" s="23" t="s">
        <v>62</v>
      </c>
      <c r="P12" s="22">
        <v>6</v>
      </c>
      <c r="R12" s="6">
        <f t="shared" si="31"/>
        <v>2.987877940196181</v>
      </c>
      <c r="S12" s="6">
        <f t="shared" si="4"/>
        <v>1.3292519052012681</v>
      </c>
      <c r="T12" s="6">
        <f t="shared" ref="T12" si="38">1/(1+ EXP(-R12))</f>
        <v>0.95202347846549185</v>
      </c>
      <c r="U12" s="6">
        <f t="shared" ref="U12" si="39">1/(1+ EXP(-S12))</f>
        <v>0.79071686421191811</v>
      </c>
      <c r="W12" s="6"/>
      <c r="X12" s="11">
        <f t="shared" si="5"/>
        <v>-3.4654223325097937E-3</v>
      </c>
      <c r="Y12" s="12">
        <f t="shared" si="6"/>
        <v>0.79071686421191811</v>
      </c>
      <c r="Z12" s="12">
        <f t="shared" si="7"/>
        <v>4.5674774915957027E-2</v>
      </c>
      <c r="AA12" s="13">
        <f t="shared" si="8"/>
        <v>-9.5953043069016308E-2</v>
      </c>
      <c r="AC12" s="11">
        <f t="shared" si="9"/>
        <v>-4.3826336446784507E-3</v>
      </c>
      <c r="AD12" s="12">
        <v>1</v>
      </c>
      <c r="AE12" s="12">
        <f t="shared" si="10"/>
        <v>4.5674774915957027E-2</v>
      </c>
      <c r="AF12" s="13">
        <f t="shared" si="11"/>
        <v>-9.5953043069016308E-2</v>
      </c>
      <c r="AG12" s="6"/>
      <c r="AI12" s="11">
        <f t="shared" si="12"/>
        <v>-9.0767680690607088E-4</v>
      </c>
      <c r="AJ12" s="12">
        <f t="shared" si="13"/>
        <v>0.14545454545454545</v>
      </c>
      <c r="AK12" s="12">
        <f t="shared" si="34"/>
        <v>0.16548370486278915</v>
      </c>
      <c r="AL12" s="12">
        <f t="shared" si="14"/>
        <v>8.6042602362523226</v>
      </c>
      <c r="AM12" s="12">
        <f t="shared" si="15"/>
        <v>4.5674774915957027E-2</v>
      </c>
      <c r="AN12" s="13">
        <f t="shared" si="16"/>
        <v>-9.5953043069016308E-2</v>
      </c>
      <c r="AP12" s="11">
        <f t="shared" si="17"/>
        <v>-6.2402780474792377E-3</v>
      </c>
      <c r="AQ12" s="12">
        <v>1</v>
      </c>
      <c r="AR12" s="12">
        <f t="shared" si="35"/>
        <v>0.16548370486278915</v>
      </c>
      <c r="AS12" s="12">
        <f t="shared" si="18"/>
        <v>8.6042602362523226</v>
      </c>
      <c r="AT12" s="12">
        <f t="shared" si="19"/>
        <v>4.5674774915957027E-2</v>
      </c>
      <c r="AU12" s="13">
        <f t="shared" si="20"/>
        <v>-9.5953043069016308E-2</v>
      </c>
      <c r="AW12" s="11">
        <f t="shared" si="21"/>
        <v>-3.2146886911256682E-3</v>
      </c>
      <c r="AX12" s="12">
        <f t="shared" si="22"/>
        <v>0.51515151515151514</v>
      </c>
      <c r="AY12" s="12">
        <f t="shared" si="36"/>
        <v>0.16548370486278915</v>
      </c>
      <c r="AZ12" s="12">
        <f t="shared" si="23"/>
        <v>8.6042602362523226</v>
      </c>
      <c r="BA12" s="12">
        <f t="shared" si="24"/>
        <v>4.5674774915957027E-2</v>
      </c>
      <c r="BB12" s="13">
        <f t="shared" si="25"/>
        <v>-9.5953043069016308E-2</v>
      </c>
      <c r="BD12" s="11">
        <f t="shared" si="26"/>
        <v>-6.2402780474792377E-3</v>
      </c>
      <c r="BE12" s="12">
        <f>1</f>
        <v>1</v>
      </c>
      <c r="BF12" s="12">
        <f t="shared" si="37"/>
        <v>0.16548370486278915</v>
      </c>
      <c r="BG12" s="12">
        <f t="shared" si="27"/>
        <v>8.6042602362523226</v>
      </c>
      <c r="BH12" s="12">
        <f t="shared" si="28"/>
        <v>4.5674774915957027E-2</v>
      </c>
      <c r="BI12" s="13">
        <f t="shared" si="29"/>
        <v>-9.5953043069016308E-2</v>
      </c>
    </row>
    <row r="13" spans="3:61" x14ac:dyDescent="0.35">
      <c r="M13" s="6"/>
      <c r="X13" s="8"/>
      <c r="Y13" s="9"/>
      <c r="Z13" s="9"/>
      <c r="AA13" s="10"/>
      <c r="AC13" s="8"/>
      <c r="AD13" s="9"/>
      <c r="AE13" s="9"/>
      <c r="AF13" s="10"/>
      <c r="AI13" s="8"/>
      <c r="AJ13" s="9"/>
      <c r="AK13" s="9"/>
      <c r="AL13" s="9"/>
      <c r="AM13" s="9"/>
      <c r="AN13" s="10"/>
      <c r="AP13" s="8"/>
      <c r="AQ13" s="9"/>
      <c r="AR13" s="9"/>
      <c r="AS13" s="9"/>
      <c r="AT13" s="9"/>
      <c r="AU13" s="10"/>
      <c r="AW13" s="8"/>
      <c r="AX13" s="9"/>
      <c r="AY13" s="9"/>
      <c r="AZ13" s="9"/>
      <c r="BA13" s="9"/>
      <c r="BB13" s="10"/>
      <c r="BD13" s="8"/>
      <c r="BE13" s="9"/>
      <c r="BF13" s="9"/>
      <c r="BG13" s="9"/>
      <c r="BH13" s="9"/>
      <c r="BI13" s="10"/>
    </row>
    <row r="14" spans="3:61" ht="15" thickBot="1" x14ac:dyDescent="0.4">
      <c r="M14" s="6">
        <f>SUM(M5:M12)</f>
        <v>2.1803154574501604E-2</v>
      </c>
      <c r="W14" s="6" t="s">
        <v>61</v>
      </c>
      <c r="X14" s="14" t="s">
        <v>60</v>
      </c>
      <c r="Y14" s="16">
        <f>SUM(X5:X12)</f>
        <v>-1.0935125135356966E-2</v>
      </c>
      <c r="Z14" s="17"/>
      <c r="AA14" s="48">
        <f>P7-(Y14*P12)</f>
        <v>8.6698709870644652</v>
      </c>
      <c r="AB14" s="7"/>
      <c r="AC14" s="14" t="s">
        <v>60</v>
      </c>
      <c r="AD14" s="18">
        <f>SUM(AC5:AC12)</f>
        <v>3.0618755513828659E-3</v>
      </c>
      <c r="AE14" s="17"/>
      <c r="AF14" s="48">
        <f>P10-(AD14*P12)</f>
        <v>-3.8340269859848504</v>
      </c>
      <c r="AG14" s="7"/>
      <c r="AH14" s="7"/>
      <c r="AI14" s="14" t="s">
        <v>60</v>
      </c>
      <c r="AJ14" s="18">
        <f>SUM(AI5:AI12)</f>
        <v>1.8062368694290699E-3</v>
      </c>
      <c r="AK14" s="17"/>
      <c r="AL14" s="17"/>
      <c r="AM14" s="17"/>
      <c r="AN14" s="48">
        <f>P6-(AJ14*P12)</f>
        <v>-6.2059841945464065</v>
      </c>
      <c r="AO14" s="7"/>
      <c r="AP14" s="14" t="s">
        <v>60</v>
      </c>
      <c r="AQ14" s="18">
        <f>SUM(AP5:AP12)</f>
        <v>-8.2096786754417804E-3</v>
      </c>
      <c r="AR14" s="17"/>
      <c r="AS14" s="17"/>
      <c r="AT14" s="17"/>
      <c r="AU14" s="48">
        <f>P9-(P12*AJ14)</f>
        <v>-1.9940186727355125</v>
      </c>
      <c r="AV14" s="7"/>
      <c r="AW14" s="14" t="s">
        <v>60</v>
      </c>
      <c r="AX14" s="18">
        <f>SUM(AW5:AW12)</f>
        <v>-9.3371630662819234E-3</v>
      </c>
      <c r="AY14" s="17"/>
      <c r="AZ14" s="17"/>
      <c r="BA14" s="17"/>
      <c r="BB14" s="48">
        <f>P5-(P12*AX14)</f>
        <v>7.856173693787877</v>
      </c>
      <c r="BC14" s="7"/>
      <c r="BD14" s="14" t="s">
        <v>60</v>
      </c>
      <c r="BE14" s="18">
        <f>SUM(BD5:BD12)</f>
        <v>-8.2096786754417804E-3</v>
      </c>
      <c r="BF14" s="15"/>
      <c r="BG14" s="15"/>
      <c r="BH14" s="15"/>
      <c r="BI14" s="48">
        <f>P8-(P12*BE14)</f>
        <v>0.24454402726831265</v>
      </c>
    </row>
    <row r="16" spans="3:61" x14ac:dyDescent="0.35">
      <c r="C16" t="s">
        <v>0</v>
      </c>
      <c r="F16" t="s">
        <v>1</v>
      </c>
      <c r="I16" t="s">
        <v>2</v>
      </c>
      <c r="M16" s="5"/>
    </row>
    <row r="17" spans="2:58" x14ac:dyDescent="0.35">
      <c r="M17" s="5"/>
      <c r="X17" t="s">
        <v>32</v>
      </c>
      <c r="Y17" t="s">
        <v>25</v>
      </c>
      <c r="AC17" t="s">
        <v>34</v>
      </c>
      <c r="AD17" t="s">
        <v>25</v>
      </c>
      <c r="AW17" t="s">
        <v>38</v>
      </c>
      <c r="AX17" t="s">
        <v>25</v>
      </c>
    </row>
    <row r="18" spans="2:58" x14ac:dyDescent="0.35">
      <c r="AI18" t="s">
        <v>36</v>
      </c>
      <c r="AJ18" t="s">
        <v>25</v>
      </c>
      <c r="AP18" t="s">
        <v>37</v>
      </c>
      <c r="AQ18" t="s">
        <v>25</v>
      </c>
      <c r="BD18" t="s">
        <v>39</v>
      </c>
      <c r="BE18" t="s">
        <v>25</v>
      </c>
    </row>
    <row r="19" spans="2:58" x14ac:dyDescent="0.35">
      <c r="M19" s="5"/>
    </row>
    <row r="20" spans="2:58" x14ac:dyDescent="0.35">
      <c r="M20" s="5"/>
    </row>
    <row r="21" spans="2:58" x14ac:dyDescent="0.35">
      <c r="M21" s="5"/>
    </row>
    <row r="22" spans="2:58" x14ac:dyDescent="0.35">
      <c r="M22" s="5"/>
      <c r="X22" t="s">
        <v>33</v>
      </c>
      <c r="Y22" t="s">
        <v>25</v>
      </c>
    </row>
    <row r="23" spans="2:58" x14ac:dyDescent="0.35">
      <c r="M23" s="5"/>
      <c r="AC23" t="s">
        <v>35</v>
      </c>
      <c r="AD23" t="s">
        <v>25</v>
      </c>
      <c r="AJ23" t="s">
        <v>45</v>
      </c>
      <c r="AK23" t="s">
        <v>25</v>
      </c>
      <c r="AQ23" t="s">
        <v>46</v>
      </c>
      <c r="AR23" t="s">
        <v>25</v>
      </c>
      <c r="AX23" t="s">
        <v>48</v>
      </c>
      <c r="AY23" t="s">
        <v>25</v>
      </c>
      <c r="BE23" t="s">
        <v>47</v>
      </c>
      <c r="BF23" t="s">
        <v>25</v>
      </c>
    </row>
    <row r="24" spans="2:58" x14ac:dyDescent="0.35">
      <c r="M24" s="5"/>
    </row>
    <row r="26" spans="2:58" x14ac:dyDescent="0.35">
      <c r="M26" s="5"/>
    </row>
    <row r="27" spans="2:58" x14ac:dyDescent="0.35">
      <c r="M27" s="5"/>
      <c r="X27" t="s">
        <v>29</v>
      </c>
      <c r="Y27" t="s">
        <v>25</v>
      </c>
    </row>
    <row r="28" spans="2:58" x14ac:dyDescent="0.35">
      <c r="AJ28" t="s">
        <v>44</v>
      </c>
      <c r="AK28" t="s">
        <v>25</v>
      </c>
    </row>
    <row r="29" spans="2:58" x14ac:dyDescent="0.35">
      <c r="M29" s="5"/>
    </row>
    <row r="30" spans="2:58" x14ac:dyDescent="0.35">
      <c r="M30" s="5"/>
    </row>
    <row r="32" spans="2:58" x14ac:dyDescent="0.35">
      <c r="B32" t="s">
        <v>24</v>
      </c>
      <c r="C32" t="s">
        <v>25</v>
      </c>
      <c r="X32" t="s">
        <v>30</v>
      </c>
      <c r="Y32" t="s">
        <v>25</v>
      </c>
    </row>
    <row r="33" spans="2:37" x14ac:dyDescent="0.35">
      <c r="AJ33" t="s">
        <v>43</v>
      </c>
      <c r="AK33" t="s">
        <v>25</v>
      </c>
    </row>
    <row r="39" spans="2:37" x14ac:dyDescent="0.35">
      <c r="B39" t="s">
        <v>26</v>
      </c>
      <c r="C39" t="s">
        <v>25</v>
      </c>
    </row>
    <row r="44" spans="2:37" x14ac:dyDescent="0.35">
      <c r="B44" t="s">
        <v>27</v>
      </c>
      <c r="C44" t="s">
        <v>25</v>
      </c>
    </row>
    <row r="47" spans="2:37" x14ac:dyDescent="0.35">
      <c r="X47" s="6"/>
    </row>
    <row r="49" spans="2:61" x14ac:dyDescent="0.35">
      <c r="B49" t="s">
        <v>41</v>
      </c>
      <c r="C49" t="s">
        <v>25</v>
      </c>
    </row>
    <row r="50" spans="2:61" x14ac:dyDescent="0.35">
      <c r="X50" s="65"/>
      <c r="Y50" s="65"/>
      <c r="Z50" s="65"/>
      <c r="AA50" s="65"/>
      <c r="AC50" s="65"/>
      <c r="AD50" s="65"/>
      <c r="AE50" s="65"/>
      <c r="AF50" s="65"/>
      <c r="AI50" s="65"/>
      <c r="AJ50" s="65"/>
      <c r="AK50" s="65"/>
      <c r="AL50" s="65"/>
      <c r="AM50" s="65"/>
      <c r="AN50" s="65"/>
      <c r="AP50" s="65"/>
      <c r="AQ50" s="65"/>
      <c r="AR50" s="65"/>
      <c r="AS50" s="65"/>
      <c r="AT50" s="65"/>
      <c r="AU50" s="65"/>
      <c r="AW50" s="65"/>
      <c r="AX50" s="65"/>
      <c r="AY50" s="65"/>
      <c r="AZ50" s="65"/>
      <c r="BA50" s="65"/>
      <c r="BB50" s="65"/>
      <c r="BD50" s="65"/>
      <c r="BE50" s="65"/>
      <c r="BF50" s="65"/>
      <c r="BG50" s="65"/>
      <c r="BH50" s="65"/>
      <c r="BI50" s="65"/>
    </row>
    <row r="54" spans="2:61" x14ac:dyDescent="0.35">
      <c r="B54" t="s">
        <v>28</v>
      </c>
      <c r="C54" t="s">
        <v>25</v>
      </c>
    </row>
    <row r="59" spans="2:61" x14ac:dyDescent="0.35">
      <c r="B59" t="s">
        <v>40</v>
      </c>
      <c r="C59" t="s">
        <v>25</v>
      </c>
    </row>
    <row r="62" spans="2:61" x14ac:dyDescent="0.35">
      <c r="B62" t="s">
        <v>42</v>
      </c>
    </row>
    <row r="107" spans="2:24" ht="15" thickBot="1" x14ac:dyDescent="0.4"/>
    <row r="108" spans="2:24" ht="21.5" thickBot="1" x14ac:dyDescent="0.55000000000000004">
      <c r="B108" s="59" t="s">
        <v>63</v>
      </c>
      <c r="C108" s="60"/>
      <c r="D108" s="60"/>
      <c r="E108" s="60"/>
      <c r="F108" s="60"/>
      <c r="G108" s="60"/>
      <c r="H108" s="60"/>
      <c r="I108" s="60"/>
      <c r="J108" s="60"/>
      <c r="K108" s="60"/>
      <c r="L108" s="60"/>
      <c r="M108" s="60"/>
      <c r="N108" s="60"/>
      <c r="O108" s="60"/>
      <c r="P108" s="60"/>
      <c r="Q108" s="60"/>
      <c r="R108" s="60"/>
      <c r="S108" s="60"/>
      <c r="T108" s="60"/>
      <c r="U108" s="60"/>
      <c r="V108" s="60"/>
      <c r="W108" s="60"/>
      <c r="X108" s="61"/>
    </row>
    <row r="109" spans="2:24" x14ac:dyDescent="0.35">
      <c r="B109" s="62" t="s">
        <v>6</v>
      </c>
      <c r="C109" s="27">
        <v>1</v>
      </c>
      <c r="D109" s="40">
        <f>1/(1+EXP(-D135))</f>
        <v>2.1610660340781213E-2</v>
      </c>
      <c r="E109" s="39">
        <f t="shared" ref="E109:W110" si="40">1/(1+EXP(-E135))</f>
        <v>2.1640263424121023E-2</v>
      </c>
      <c r="F109" s="39">
        <f t="shared" si="40"/>
        <v>2.1684041829725588E-2</v>
      </c>
      <c r="G109" s="39">
        <f t="shared" si="40"/>
        <v>2.1748822028245351E-2</v>
      </c>
      <c r="H109" s="39">
        <f t="shared" si="40"/>
        <v>2.1844763636442176E-2</v>
      </c>
      <c r="I109" s="39">
        <f t="shared" si="40"/>
        <v>2.1987040753629585E-2</v>
      </c>
      <c r="J109" s="39">
        <f t="shared" si="40"/>
        <v>2.2198434455974234E-2</v>
      </c>
      <c r="K109" s="39">
        <f t="shared" si="40"/>
        <v>2.251340253303049E-2</v>
      </c>
      <c r="L109" s="39">
        <f t="shared" si="40"/>
        <v>2.2984623357338273E-2</v>
      </c>
      <c r="M109" s="39">
        <f t="shared" si="40"/>
        <v>2.3693848961780128E-2</v>
      </c>
      <c r="N109" s="39">
        <f t="shared" si="40"/>
        <v>2.477060640982108E-2</v>
      </c>
      <c r="O109" s="39">
        <f t="shared" si="40"/>
        <v>2.6425898784538274E-2</v>
      </c>
      <c r="P109" s="39">
        <f t="shared" si="40"/>
        <v>2.9016015858298657E-2</v>
      </c>
      <c r="Q109" s="39">
        <f t="shared" si="40"/>
        <v>3.316968230726771E-2</v>
      </c>
      <c r="R109" s="39">
        <f t="shared" si="40"/>
        <v>4.0053809536858227E-2</v>
      </c>
      <c r="S109" s="39">
        <f t="shared" si="40"/>
        <v>5.1949086620600174E-2</v>
      </c>
      <c r="T109" s="39">
        <f t="shared" si="40"/>
        <v>7.3500722872396063E-2</v>
      </c>
      <c r="U109" s="39">
        <f t="shared" si="40"/>
        <v>0.11421526410636007</v>
      </c>
      <c r="V109" s="39">
        <f t="shared" si="40"/>
        <v>0.1918044956291852</v>
      </c>
      <c r="W109" s="39">
        <f t="shared" si="40"/>
        <v>0.32888481776316691</v>
      </c>
      <c r="X109" s="41">
        <f>1/(1+EXP(-X135))</f>
        <v>0.5235216594711487</v>
      </c>
    </row>
    <row r="110" spans="2:24" x14ac:dyDescent="0.35">
      <c r="B110" s="63"/>
      <c r="C110" s="24">
        <v>0.95</v>
      </c>
      <c r="D110" s="42">
        <f>1/(1+EXP(-D136))</f>
        <v>2.1633191981211022E-2</v>
      </c>
      <c r="E110" s="38">
        <f t="shared" si="40"/>
        <v>2.1673582333798756E-2</v>
      </c>
      <c r="F110" s="38">
        <f t="shared" si="40"/>
        <v>2.1733340613238134E-2</v>
      </c>
      <c r="G110" s="38">
        <f t="shared" si="40"/>
        <v>2.1821826003031109E-2</v>
      </c>
      <c r="H110" s="38">
        <f t="shared" si="40"/>
        <v>2.1953005291228067E-2</v>
      </c>
      <c r="I110" s="38">
        <f t="shared" si="40"/>
        <v>2.2147821309829719E-2</v>
      </c>
      <c r="J110" s="38">
        <f t="shared" si="40"/>
        <v>2.2437895557517299E-2</v>
      </c>
      <c r="K110" s="38">
        <f t="shared" si="40"/>
        <v>2.287144921601331E-2</v>
      </c>
      <c r="L110" s="38">
        <f t="shared" si="40"/>
        <v>2.352305502148757E-2</v>
      </c>
      <c r="M110" s="38">
        <f t="shared" si="40"/>
        <v>2.4510299851034697E-2</v>
      </c>
      <c r="N110" s="38">
        <f t="shared" si="40"/>
        <v>2.6023522553941105E-2</v>
      </c>
      <c r="O110" s="38">
        <f t="shared" si="40"/>
        <v>2.8381536526166068E-2</v>
      </c>
      <c r="P110" s="38">
        <f t="shared" si="40"/>
        <v>3.2141509608159168E-2</v>
      </c>
      <c r="Q110" s="38">
        <f t="shared" si="40"/>
        <v>3.8326514490324162E-2</v>
      </c>
      <c r="R110" s="38">
        <f t="shared" si="40"/>
        <v>4.8915614996004518E-2</v>
      </c>
      <c r="S110" s="38">
        <f t="shared" si="40"/>
        <v>6.7912837279089533E-2</v>
      </c>
      <c r="T110" s="38">
        <f t="shared" si="40"/>
        <v>0.10354681043867692</v>
      </c>
      <c r="U110" s="38">
        <f t="shared" si="40"/>
        <v>0.17166256398810448</v>
      </c>
      <c r="V110" s="38">
        <f t="shared" si="40"/>
        <v>0.29513209174998317</v>
      </c>
      <c r="W110" s="38">
        <f t="shared" si="40"/>
        <v>0.48093013305140803</v>
      </c>
      <c r="X110" s="43">
        <f>1/(1+EXP(-X136))</f>
        <v>0.68113787312068275</v>
      </c>
    </row>
    <row r="111" spans="2:24" x14ac:dyDescent="0.35">
      <c r="B111" s="63"/>
      <c r="C111" s="24">
        <v>0.9</v>
      </c>
      <c r="D111" s="42">
        <f t="shared" ref="D111:X111" si="41">1/(1+EXP(-D137))</f>
        <v>2.166393273112098E-2</v>
      </c>
      <c r="E111" s="38">
        <f t="shared" si="41"/>
        <v>2.1719060277733352E-2</v>
      </c>
      <c r="F111" s="38">
        <f t="shared" si="41"/>
        <v>2.1800673008349036E-2</v>
      </c>
      <c r="G111" s="38">
        <f t="shared" si="41"/>
        <v>2.1921629038259675E-2</v>
      </c>
      <c r="H111" s="38">
        <f t="shared" si="41"/>
        <v>2.2101186877942255E-2</v>
      </c>
      <c r="I111" s="38">
        <f t="shared" si="41"/>
        <v>2.2368377278878488E-2</v>
      </c>
      <c r="J111" s="38">
        <f t="shared" si="41"/>
        <v>2.2767367363752258E-2</v>
      </c>
      <c r="K111" s="38">
        <f t="shared" si="41"/>
        <v>2.3366236685676708E-2</v>
      </c>
      <c r="L111" s="38">
        <f t="shared" si="41"/>
        <v>2.4271850774775401E-2</v>
      </c>
      <c r="M111" s="38">
        <f t="shared" si="41"/>
        <v>2.5656156295082094E-2</v>
      </c>
      <c r="N111" s="38">
        <f t="shared" si="41"/>
        <v>2.7804946654632821E-2</v>
      </c>
      <c r="O111" s="38">
        <f t="shared" si="41"/>
        <v>3.1213018238666478E-2</v>
      </c>
      <c r="P111" s="38">
        <f t="shared" si="41"/>
        <v>3.6779344497516353E-2</v>
      </c>
      <c r="Q111" s="38">
        <f t="shared" si="41"/>
        <v>4.6224636185721556E-2</v>
      </c>
      <c r="R111" s="38">
        <f t="shared" si="41"/>
        <v>6.3003061561044987E-2</v>
      </c>
      <c r="S111" s="38">
        <f t="shared" si="41"/>
        <v>9.4220309908473354E-2</v>
      </c>
      <c r="T111" s="38">
        <f t="shared" si="41"/>
        <v>0.15389886738425934</v>
      </c>
      <c r="U111" s="38">
        <f t="shared" si="41"/>
        <v>0.26424699926261114</v>
      </c>
      <c r="V111" s="38">
        <f t="shared" si="41"/>
        <v>0.43905214333143</v>
      </c>
      <c r="W111" s="38">
        <f t="shared" si="41"/>
        <v>0.64261446386621934</v>
      </c>
      <c r="X111" s="43">
        <f t="shared" si="41"/>
        <v>0.80392957927608377</v>
      </c>
    </row>
    <row r="112" spans="2:24" x14ac:dyDescent="0.35">
      <c r="B112" s="63"/>
      <c r="C112" s="24">
        <v>0.85</v>
      </c>
      <c r="D112" s="42">
        <f t="shared" ref="D112:X112" si="42">1/(1+EXP(-D138))</f>
        <v>2.1705887326282487E-2</v>
      </c>
      <c r="E112" s="38">
        <f t="shared" si="42"/>
        <v>2.1781164680706542E-2</v>
      </c>
      <c r="F112" s="38">
        <f t="shared" si="42"/>
        <v>2.1892701786478012E-2</v>
      </c>
      <c r="G112" s="38">
        <f t="shared" si="42"/>
        <v>2.2058213063501583E-2</v>
      </c>
      <c r="H112" s="38">
        <f t="shared" si="42"/>
        <v>2.2304361090051197E-2</v>
      </c>
      <c r="I112" s="38">
        <f t="shared" si="42"/>
        <v>2.2671621981251038E-2</v>
      </c>
      <c r="J112" s="38">
        <f t="shared" si="42"/>
        <v>2.3222195086612291E-2</v>
      </c>
      <c r="K112" s="38">
        <f t="shared" si="42"/>
        <v>2.4053303413085956E-2</v>
      </c>
      <c r="L112" s="38">
        <f t="shared" si="42"/>
        <v>2.5320492003364985E-2</v>
      </c>
      <c r="M112" s="38">
        <f t="shared" si="42"/>
        <v>2.7280397704846658E-2</v>
      </c>
      <c r="N112" s="38">
        <f t="shared" si="42"/>
        <v>3.0373330618487283E-2</v>
      </c>
      <c r="O112" s="38">
        <f t="shared" si="42"/>
        <v>3.5390984693923745E-2</v>
      </c>
      <c r="P112" s="38">
        <f t="shared" si="42"/>
        <v>4.3832548659883792E-2</v>
      </c>
      <c r="Q112" s="38">
        <f t="shared" si="42"/>
        <v>5.868131924765535E-2</v>
      </c>
      <c r="R112" s="38">
        <f t="shared" si="42"/>
        <v>8.6064468261854127E-2</v>
      </c>
      <c r="S112" s="38">
        <f t="shared" si="42"/>
        <v>0.13828892873338317</v>
      </c>
      <c r="T112" s="38">
        <f t="shared" si="42"/>
        <v>0.23628202433944906</v>
      </c>
      <c r="U112" s="38">
        <f t="shared" si="42"/>
        <v>0.39857214048832584</v>
      </c>
      <c r="V112" s="38">
        <f t="shared" si="42"/>
        <v>0.6020780964998298</v>
      </c>
      <c r="W112" s="38">
        <f t="shared" si="42"/>
        <v>0.77644091200997922</v>
      </c>
      <c r="X112" s="43">
        <f t="shared" si="42"/>
        <v>0.88302409550078587</v>
      </c>
    </row>
    <row r="113" spans="2:24" x14ac:dyDescent="0.35">
      <c r="B113" s="63"/>
      <c r="C113" s="24">
        <v>0.8</v>
      </c>
      <c r="D113" s="42">
        <f t="shared" ref="D113:X113" si="43">1/(1+EXP(-D139))</f>
        <v>2.176317219186678E-2</v>
      </c>
      <c r="E113" s="38">
        <f t="shared" si="43"/>
        <v>2.1866030304211505E-2</v>
      </c>
      <c r="F113" s="38">
        <f t="shared" si="43"/>
        <v>2.2018607983862529E-2</v>
      </c>
      <c r="G113" s="38">
        <f t="shared" si="43"/>
        <v>2.2245401621924107E-2</v>
      </c>
      <c r="H113" s="38">
        <f t="shared" si="43"/>
        <v>2.2583523760133988E-2</v>
      </c>
      <c r="I113" s="38">
        <f t="shared" si="43"/>
        <v>2.3089842150806731E-2</v>
      </c>
      <c r="J113" s="38">
        <f t="shared" si="43"/>
        <v>2.3852894090436644E-2</v>
      </c>
      <c r="K113" s="38">
        <f t="shared" si="43"/>
        <v>2.5013570713248025E-2</v>
      </c>
      <c r="L113" s="38">
        <f t="shared" si="43"/>
        <v>2.6802708872066035E-2</v>
      </c>
      <c r="M113" s="38">
        <f t="shared" si="43"/>
        <v>2.9612914296317815E-2</v>
      </c>
      <c r="N113" s="38">
        <f t="shared" si="43"/>
        <v>3.4142950446874168E-2</v>
      </c>
      <c r="O113" s="38">
        <f t="shared" si="43"/>
        <v>4.1701812615210526E-2</v>
      </c>
      <c r="P113" s="38">
        <f t="shared" si="43"/>
        <v>5.4869846686576788E-2</v>
      </c>
      <c r="Q113" s="38">
        <f t="shared" si="43"/>
        <v>7.8926866544594618E-2</v>
      </c>
      <c r="R113" s="38">
        <f t="shared" si="43"/>
        <v>0.12460643503224157</v>
      </c>
      <c r="S113" s="38">
        <f t="shared" si="43"/>
        <v>0.21118626290138837</v>
      </c>
      <c r="T113" s="38">
        <f t="shared" si="43"/>
        <v>0.36006919071533477</v>
      </c>
      <c r="U113" s="38">
        <f t="shared" si="43"/>
        <v>0.56014871085743312</v>
      </c>
      <c r="V113" s="38">
        <f t="shared" si="43"/>
        <v>0.74586661466685988</v>
      </c>
      <c r="W113" s="38">
        <f t="shared" si="43"/>
        <v>0.86629964854710606</v>
      </c>
      <c r="X113" s="43">
        <f t="shared" si="43"/>
        <v>0.92879273874843737</v>
      </c>
    </row>
    <row r="114" spans="2:24" x14ac:dyDescent="0.35">
      <c r="B114" s="63"/>
      <c r="C114" s="24">
        <v>0.75</v>
      </c>
      <c r="D114" s="42">
        <f t="shared" ref="D114:X114" si="44">1/(1+EXP(-D140))</f>
        <v>2.184143691279582E-2</v>
      </c>
      <c r="E114" s="38">
        <f t="shared" si="44"/>
        <v>2.1982103696818647E-2</v>
      </c>
      <c r="F114" s="38">
        <f t="shared" si="44"/>
        <v>2.2191091004693044E-2</v>
      </c>
      <c r="G114" s="38">
        <f t="shared" si="44"/>
        <v>2.2502443528796073E-2</v>
      </c>
      <c r="H114" s="38">
        <f t="shared" si="44"/>
        <v>2.2968189254532523E-2</v>
      </c>
      <c r="I114" s="38">
        <f t="shared" si="44"/>
        <v>2.366903003746559E-2</v>
      </c>
      <c r="J114" s="38">
        <f t="shared" si="44"/>
        <v>2.4732740872372139E-2</v>
      </c>
      <c r="K114" s="38">
        <f t="shared" si="44"/>
        <v>2.6367281138716191E-2</v>
      </c>
      <c r="L114" s="38">
        <f t="shared" si="44"/>
        <v>2.892339678190408E-2</v>
      </c>
      <c r="M114" s="38">
        <f t="shared" si="44"/>
        <v>3.3019179155270535E-2</v>
      </c>
      <c r="N114" s="38">
        <f t="shared" si="44"/>
        <v>3.9800075459755613E-2</v>
      </c>
      <c r="O114" s="38">
        <f t="shared" si="44"/>
        <v>5.1501640824532818E-2</v>
      </c>
      <c r="P114" s="38">
        <f t="shared" si="44"/>
        <v>7.2673258350275438E-2</v>
      </c>
      <c r="Q114" s="38">
        <f t="shared" si="44"/>
        <v>0.11263282357378274</v>
      </c>
      <c r="R114" s="38">
        <f t="shared" si="44"/>
        <v>0.18883118266100962</v>
      </c>
      <c r="S114" s="38">
        <f t="shared" si="44"/>
        <v>0.32398837023300076</v>
      </c>
      <c r="T114" s="38">
        <f t="shared" si="44"/>
        <v>0.51753890372493017</v>
      </c>
      <c r="U114" s="38">
        <f t="shared" si="44"/>
        <v>0.71227674822505094</v>
      </c>
      <c r="V114" s="38">
        <f t="shared" si="44"/>
        <v>0.84708092426583703</v>
      </c>
      <c r="W114" s="38">
        <f t="shared" si="44"/>
        <v>0.91934979907333325</v>
      </c>
      <c r="X114" s="43">
        <f t="shared" si="44"/>
        <v>0.95432693457877793</v>
      </c>
    </row>
    <row r="115" spans="2:24" x14ac:dyDescent="0.35">
      <c r="B115" s="63"/>
      <c r="C115" s="24">
        <v>0.7</v>
      </c>
      <c r="D115" s="42">
        <f t="shared" ref="D115:X115" si="45">1/(1+EXP(-D141))</f>
        <v>2.1948454140144926E-2</v>
      </c>
      <c r="E115" s="38">
        <f t="shared" si="45"/>
        <v>2.2141055502043566E-2</v>
      </c>
      <c r="F115" s="38">
        <f t="shared" si="45"/>
        <v>2.2427806559810443E-2</v>
      </c>
      <c r="G115" s="38">
        <f t="shared" si="45"/>
        <v>2.2856337186431302E-2</v>
      </c>
      <c r="H115" s="38">
        <f t="shared" si="45"/>
        <v>2.3500270836339029E-2</v>
      </c>
      <c r="I115" s="38">
        <f t="shared" si="45"/>
        <v>2.4475622266763412E-2</v>
      </c>
      <c r="J115" s="38">
        <f t="shared" si="45"/>
        <v>2.5970023521600442E-2</v>
      </c>
      <c r="K115" s="38">
        <f t="shared" si="45"/>
        <v>2.829740787127091E-2</v>
      </c>
      <c r="L115" s="38">
        <f t="shared" si="45"/>
        <v>3.2005683371677397E-2</v>
      </c>
      <c r="M115" s="38">
        <f t="shared" si="45"/>
        <v>3.8099418813868829E-2</v>
      </c>
      <c r="N115" s="38">
        <f t="shared" si="45"/>
        <v>4.8519033048778859E-2</v>
      </c>
      <c r="O115" s="38">
        <f t="shared" si="45"/>
        <v>6.718630855888405E-2</v>
      </c>
      <c r="P115" s="38">
        <f t="shared" si="45"/>
        <v>0.10216340869475343</v>
      </c>
      <c r="Q115" s="38">
        <f t="shared" si="45"/>
        <v>0.16903556801960193</v>
      </c>
      <c r="R115" s="38">
        <f t="shared" si="45"/>
        <v>0.29062974463493413</v>
      </c>
      <c r="S115" s="38">
        <f t="shared" si="45"/>
        <v>0.47500328795206104</v>
      </c>
      <c r="T115" s="38">
        <f t="shared" si="45"/>
        <v>0.67588165291958013</v>
      </c>
      <c r="U115" s="38">
        <f t="shared" si="45"/>
        <v>0.82513354169565811</v>
      </c>
      <c r="V115" s="38">
        <f t="shared" si="45"/>
        <v>0.90836377102255272</v>
      </c>
      <c r="W115" s="38">
        <f t="shared" si="45"/>
        <v>0.94906856147840968</v>
      </c>
      <c r="X115" s="43">
        <f t="shared" si="45"/>
        <v>0.9686883806237403</v>
      </c>
    </row>
    <row r="116" spans="2:24" x14ac:dyDescent="0.35">
      <c r="B116" s="63"/>
      <c r="C116" s="24">
        <v>0.65</v>
      </c>
      <c r="D116" s="42">
        <f t="shared" ref="D116:X116" si="46">1/(1+EXP(-D142))</f>
        <v>2.2094952476517632E-2</v>
      </c>
      <c r="E116" s="38">
        <f t="shared" si="46"/>
        <v>2.235908747702689E-2</v>
      </c>
      <c r="F116" s="38">
        <f t="shared" si="46"/>
        <v>2.2753467248760501E-2</v>
      </c>
      <c r="G116" s="38">
        <f t="shared" si="46"/>
        <v>2.334531213590128E-2</v>
      </c>
      <c r="H116" s="38">
        <f t="shared" si="46"/>
        <v>2.4240074689726273E-2</v>
      </c>
      <c r="I116" s="38">
        <f t="shared" si="46"/>
        <v>2.5607289661270537E-2</v>
      </c>
      <c r="J116" s="38">
        <f t="shared" si="46"/>
        <v>2.7728445210050922E-2</v>
      </c>
      <c r="K116" s="38">
        <f t="shared" si="46"/>
        <v>3.1090256137788604E-2</v>
      </c>
      <c r="L116" s="38">
        <f t="shared" si="46"/>
        <v>3.6575713325982646E-2</v>
      </c>
      <c r="M116" s="38">
        <f t="shared" si="46"/>
        <v>4.5872407977077874E-2</v>
      </c>
      <c r="N116" s="38">
        <f t="shared" si="46"/>
        <v>6.236404620703092E-2</v>
      </c>
      <c r="O116" s="38">
        <f t="shared" si="46"/>
        <v>9.3010806818170283E-2</v>
      </c>
      <c r="P116" s="38">
        <f t="shared" si="46"/>
        <v>0.15158731353113514</v>
      </c>
      <c r="Q116" s="38">
        <f t="shared" si="46"/>
        <v>0.26015324665843448</v>
      </c>
      <c r="R116" s="38">
        <f t="shared" si="46"/>
        <v>0.43328193684521038</v>
      </c>
      <c r="S116" s="38">
        <f t="shared" si="46"/>
        <v>0.63704343124897012</v>
      </c>
      <c r="T116" s="38">
        <f t="shared" si="46"/>
        <v>0.80026345311391966</v>
      </c>
      <c r="U116" s="38">
        <f t="shared" si="46"/>
        <v>0.89560355368265465</v>
      </c>
      <c r="V116" s="38">
        <f t="shared" si="46"/>
        <v>0.94295495580369326</v>
      </c>
      <c r="W116" s="38">
        <f t="shared" si="46"/>
        <v>0.96570006119512242</v>
      </c>
      <c r="X116" s="43">
        <f t="shared" si="46"/>
        <v>0.9770158418487116</v>
      </c>
    </row>
    <row r="117" spans="2:24" x14ac:dyDescent="0.35">
      <c r="B117" s="63"/>
      <c r="C117" s="24">
        <v>0.6</v>
      </c>
      <c r="D117" s="42">
        <f t="shared" ref="D117:X117" si="47">1/(1+EXP(-D143))</f>
        <v>2.2295805691387262E-2</v>
      </c>
      <c r="E117" s="38">
        <f t="shared" si="47"/>
        <v>2.2658833352585554E-2</v>
      </c>
      <c r="F117" s="38">
        <f t="shared" si="47"/>
        <v>2.3202971328477054E-2</v>
      </c>
      <c r="G117" s="38">
        <f t="shared" si="47"/>
        <v>2.4024170671825718E-2</v>
      </c>
      <c r="H117" s="38">
        <f t="shared" si="47"/>
        <v>2.5275823194503742E-2</v>
      </c>
      <c r="I117" s="38">
        <f t="shared" si="47"/>
        <v>2.7210759501281559E-2</v>
      </c>
      <c r="J117" s="38">
        <f t="shared" si="47"/>
        <v>3.0262220642417785E-2</v>
      </c>
      <c r="K117" s="38">
        <f t="shared" si="47"/>
        <v>3.5208067809825223E-2</v>
      </c>
      <c r="L117" s="38">
        <f t="shared" si="47"/>
        <v>4.3519070927604764E-2</v>
      </c>
      <c r="M117" s="38">
        <f t="shared" si="47"/>
        <v>5.8118217171279567E-2</v>
      </c>
      <c r="N117" s="38">
        <f t="shared" si="47"/>
        <v>8.5006380251894123E-2</v>
      </c>
      <c r="O117" s="38">
        <f t="shared" si="47"/>
        <v>0.13626095929108506</v>
      </c>
      <c r="P117" s="38">
        <f t="shared" si="47"/>
        <v>0.23259538337884658</v>
      </c>
      <c r="Q117" s="38">
        <f t="shared" si="47"/>
        <v>0.39304689003299209</v>
      </c>
      <c r="R117" s="38">
        <f t="shared" si="47"/>
        <v>0.59627195997242788</v>
      </c>
      <c r="S117" s="38">
        <f t="shared" si="47"/>
        <v>0.77234294420670879</v>
      </c>
      <c r="T117" s="38">
        <f t="shared" si="47"/>
        <v>0.88082180406784782</v>
      </c>
      <c r="U117" s="38">
        <f t="shared" si="47"/>
        <v>0.93583970786343662</v>
      </c>
      <c r="V117" s="38">
        <f t="shared" si="47"/>
        <v>0.96225110302685701</v>
      </c>
      <c r="W117" s="38">
        <f t="shared" si="47"/>
        <v>0.97525637602222737</v>
      </c>
      <c r="X117" s="43">
        <f t="shared" si="47"/>
        <v>0.98203335470156028</v>
      </c>
    </row>
    <row r="118" spans="2:24" x14ac:dyDescent="0.35">
      <c r="B118" s="63"/>
      <c r="C118" s="24">
        <v>0.55000000000000004</v>
      </c>
      <c r="D118" s="42">
        <f t="shared" ref="D118:X118" si="48">1/(1+EXP(-D144))</f>
        <v>2.2571754982407554E-2</v>
      </c>
      <c r="E118" s="38">
        <f t="shared" si="48"/>
        <v>2.3072174925472682E-2</v>
      </c>
      <c r="F118" s="38">
        <f t="shared" si="48"/>
        <v>2.3826171694085258E-2</v>
      </c>
      <c r="G118" s="38">
        <f t="shared" si="48"/>
        <v>2.4972710596796135E-2</v>
      </c>
      <c r="H118" s="38">
        <f t="shared" si="48"/>
        <v>2.6739256327877742E-2</v>
      </c>
      <c r="I118" s="38">
        <f t="shared" si="48"/>
        <v>2.9512217425529425E-2</v>
      </c>
      <c r="J118" s="38">
        <f t="shared" si="48"/>
        <v>3.3978360051892857E-2</v>
      </c>
      <c r="K118" s="38">
        <f t="shared" si="48"/>
        <v>4.1422258604639356E-2</v>
      </c>
      <c r="L118" s="38">
        <f t="shared" si="48"/>
        <v>5.437265635181053E-2</v>
      </c>
      <c r="M118" s="38">
        <f t="shared" si="48"/>
        <v>7.8000314740939936E-2</v>
      </c>
      <c r="N118" s="38">
        <f t="shared" si="48"/>
        <v>0.12283078775074696</v>
      </c>
      <c r="O118" s="38">
        <f t="shared" si="48"/>
        <v>0.20789280841867705</v>
      </c>
      <c r="P118" s="38">
        <f t="shared" si="48"/>
        <v>0.35485976360295685</v>
      </c>
      <c r="Q118" s="38">
        <f t="shared" si="48"/>
        <v>0.55420277199330115</v>
      </c>
      <c r="R118" s="38">
        <f t="shared" si="48"/>
        <v>0.74133891807616137</v>
      </c>
      <c r="S118" s="38">
        <f t="shared" si="48"/>
        <v>0.86376291197626576</v>
      </c>
      <c r="T118" s="38">
        <f t="shared" si="48"/>
        <v>0.9275545950799684</v>
      </c>
      <c r="U118" s="38">
        <f t="shared" si="48"/>
        <v>0.9582614398672249</v>
      </c>
      <c r="V118" s="38">
        <f t="shared" si="48"/>
        <v>0.97324564146961201</v>
      </c>
      <c r="W118" s="38">
        <f t="shared" si="48"/>
        <v>0.98095613401474469</v>
      </c>
      <c r="X118" s="43">
        <f t="shared" si="48"/>
        <v>0.98517407245152222</v>
      </c>
    </row>
    <row r="119" spans="2:24" x14ac:dyDescent="0.35">
      <c r="B119" s="63"/>
      <c r="C119" s="24">
        <v>0.5</v>
      </c>
      <c r="D119" s="42">
        <f t="shared" ref="D119:X119" si="49">1/(1+EXP(-D145))</f>
        <v>2.2951947407163636E-2</v>
      </c>
      <c r="E119" s="38">
        <f t="shared" si="49"/>
        <v>2.3644507394488416E-2</v>
      </c>
      <c r="F119" s="38">
        <f t="shared" si="49"/>
        <v>2.4695340388132297E-2</v>
      </c>
      <c r="G119" s="38">
        <f t="shared" si="49"/>
        <v>2.6309412038074586E-2</v>
      </c>
      <c r="H119" s="38">
        <f t="shared" si="49"/>
        <v>2.8832023346084291E-2</v>
      </c>
      <c r="I119" s="38">
        <f t="shared" si="49"/>
        <v>3.2870837799029003E-2</v>
      </c>
      <c r="J119" s="38">
        <f t="shared" si="49"/>
        <v>3.9550282415406243E-2</v>
      </c>
      <c r="K119" s="38">
        <f t="shared" si="49"/>
        <v>5.1061751203429491E-2</v>
      </c>
      <c r="L119" s="38">
        <f t="shared" si="49"/>
        <v>7.186081821185708E-2</v>
      </c>
      <c r="M119" s="38">
        <f t="shared" si="49"/>
        <v>0.11107988134790583</v>
      </c>
      <c r="N119" s="38">
        <f t="shared" si="49"/>
        <v>0.18590815905771499</v>
      </c>
      <c r="O119" s="38">
        <f t="shared" si="49"/>
        <v>0.31914558501912599</v>
      </c>
      <c r="P119" s="38">
        <f t="shared" si="49"/>
        <v>0.51155762831297058</v>
      </c>
      <c r="Q119" s="38">
        <f t="shared" si="49"/>
        <v>0.70733994138245881</v>
      </c>
      <c r="R119" s="38">
        <f t="shared" si="49"/>
        <v>0.84417533760026953</v>
      </c>
      <c r="S119" s="38">
        <f t="shared" si="49"/>
        <v>0.91790863820347124</v>
      </c>
      <c r="T119" s="38">
        <f t="shared" si="49"/>
        <v>0.95363680988299993</v>
      </c>
      <c r="U119" s="38">
        <f t="shared" si="49"/>
        <v>0.97094166793114556</v>
      </c>
      <c r="V119" s="38">
        <f t="shared" si="49"/>
        <v>0.97973740873908211</v>
      </c>
      <c r="W119" s="38">
        <f t="shared" si="49"/>
        <v>0.98448985882771978</v>
      </c>
      <c r="X119" s="43">
        <f t="shared" si="49"/>
        <v>0.98720806104995684</v>
      </c>
    </row>
    <row r="120" spans="2:24" x14ac:dyDescent="0.35">
      <c r="B120" s="63"/>
      <c r="C120" s="24">
        <v>0.45</v>
      </c>
      <c r="D120" s="42">
        <f t="shared" ref="D120:X120" si="50">1/(1+EXP(-D146))</f>
        <v>2.3477757351815707E-2</v>
      </c>
      <c r="E120" s="38">
        <f t="shared" si="50"/>
        <v>2.4441367768344928E-2</v>
      </c>
      <c r="F120" s="38">
        <f t="shared" si="50"/>
        <v>2.5917201545930999E-2</v>
      </c>
      <c r="G120" s="38">
        <f t="shared" si="50"/>
        <v>2.8214397403105041E-2</v>
      </c>
      <c r="H120" s="38">
        <f t="shared" si="50"/>
        <v>3.1871779715754056E-2</v>
      </c>
      <c r="I120" s="38">
        <f t="shared" si="50"/>
        <v>3.7875791406256201E-2</v>
      </c>
      <c r="J120" s="38">
        <f t="shared" si="50"/>
        <v>4.8129035171409845E-2</v>
      </c>
      <c r="K120" s="38">
        <f t="shared" si="50"/>
        <v>6.6472805260495607E-2</v>
      </c>
      <c r="L120" s="38">
        <f t="shared" si="50"/>
        <v>0.10080582484708206</v>
      </c>
      <c r="M120" s="38">
        <f t="shared" si="50"/>
        <v>0.16645466976697126</v>
      </c>
      <c r="N120" s="38">
        <f t="shared" si="50"/>
        <v>0.28618417132543233</v>
      </c>
      <c r="O120" s="38">
        <f t="shared" si="50"/>
        <v>0.46909253795050315</v>
      </c>
      <c r="P120" s="38">
        <f t="shared" si="50"/>
        <v>0.67057723465832453</v>
      </c>
      <c r="Q120" s="38">
        <f t="shared" si="50"/>
        <v>0.82182893292070869</v>
      </c>
      <c r="R120" s="38">
        <f t="shared" si="50"/>
        <v>0.90668839189715833</v>
      </c>
      <c r="S120" s="38">
        <f t="shared" si="50"/>
        <v>0.94826666095062062</v>
      </c>
      <c r="T120" s="38">
        <f t="shared" si="50"/>
        <v>0.96829479793268358</v>
      </c>
      <c r="U120" s="38">
        <f t="shared" si="50"/>
        <v>0.97835507358404072</v>
      </c>
      <c r="V120" s="38">
        <f t="shared" si="50"/>
        <v>0.98372278750316922</v>
      </c>
      <c r="W120" s="38">
        <f t="shared" si="50"/>
        <v>0.98675941923110266</v>
      </c>
      <c r="X120" s="43">
        <f t="shared" si="50"/>
        <v>0.98856343603430141</v>
      </c>
    </row>
    <row r="121" spans="2:24" x14ac:dyDescent="0.35">
      <c r="B121" s="63"/>
      <c r="C121" s="24">
        <v>0.4</v>
      </c>
      <c r="D121" s="42">
        <f t="shared" ref="D121:X121" si="51">1/(1+EXP(-D147))</f>
        <v>2.4208683893510406E-2</v>
      </c>
      <c r="E121" s="38">
        <f t="shared" si="51"/>
        <v>2.5559036239075815E-2</v>
      </c>
      <c r="F121" s="38">
        <f t="shared" si="51"/>
        <v>2.7652949253872131E-2</v>
      </c>
      <c r="G121" s="38">
        <f t="shared" si="51"/>
        <v>3.0969207378136739E-2</v>
      </c>
      <c r="H121" s="38">
        <f t="shared" si="51"/>
        <v>3.6375141091893264E-2</v>
      </c>
      <c r="I121" s="38">
        <f t="shared" si="51"/>
        <v>4.5525927351642556E-2</v>
      </c>
      <c r="J121" s="38">
        <f t="shared" si="51"/>
        <v>6.1736326524917971E-2</v>
      </c>
      <c r="K121" s="38">
        <f t="shared" si="51"/>
        <v>9.1823811347073805E-2</v>
      </c>
      <c r="L121" s="38">
        <f t="shared" si="51"/>
        <v>0.14931741084421893</v>
      </c>
      <c r="M121" s="38">
        <f t="shared" si="51"/>
        <v>0.2561169456653527</v>
      </c>
      <c r="N121" s="38">
        <f t="shared" si="51"/>
        <v>0.42754108628909343</v>
      </c>
      <c r="O121" s="38">
        <f t="shared" si="51"/>
        <v>0.63143424477093635</v>
      </c>
      <c r="P121" s="38">
        <f t="shared" si="51"/>
        <v>0.79653729709027921</v>
      </c>
      <c r="Q121" s="38">
        <f t="shared" si="51"/>
        <v>0.8936601395228394</v>
      </c>
      <c r="R121" s="38">
        <f t="shared" si="51"/>
        <v>0.94202202360707454</v>
      </c>
      <c r="S121" s="38">
        <f t="shared" si="51"/>
        <v>0.96524628706755022</v>
      </c>
      <c r="T121" s="38">
        <f t="shared" si="51"/>
        <v>0.97678308014453452</v>
      </c>
      <c r="U121" s="38">
        <f t="shared" si="51"/>
        <v>0.98286090024995187</v>
      </c>
      <c r="V121" s="38">
        <f t="shared" si="51"/>
        <v>0.98626031004508097</v>
      </c>
      <c r="W121" s="38">
        <f t="shared" si="51"/>
        <v>0.98826145168044111</v>
      </c>
      <c r="X121" s="43">
        <f t="shared" si="51"/>
        <v>0.98948761305335753</v>
      </c>
    </row>
    <row r="122" spans="2:24" x14ac:dyDescent="0.35">
      <c r="B122" s="63"/>
      <c r="C122" s="24">
        <v>0.35</v>
      </c>
      <c r="D122" s="42">
        <f t="shared" ref="D122:X122" si="52">1/(1+EXP(-D148))</f>
        <v>2.5231710471754144E-2</v>
      </c>
      <c r="E122" s="38">
        <f t="shared" si="52"/>
        <v>2.7142026920223401E-2</v>
      </c>
      <c r="F122" s="38">
        <f t="shared" si="52"/>
        <v>3.0152640576296609E-2</v>
      </c>
      <c r="G122" s="38">
        <f t="shared" si="52"/>
        <v>3.5027854772767805E-2</v>
      </c>
      <c r="H122" s="38">
        <f t="shared" si="52"/>
        <v>4.3210620508235535E-2</v>
      </c>
      <c r="I122" s="38">
        <f t="shared" si="52"/>
        <v>5.7564918163675399E-2</v>
      </c>
      <c r="J122" s="38">
        <f t="shared" si="52"/>
        <v>8.3967860459578839E-2</v>
      </c>
      <c r="K122" s="38">
        <f t="shared" si="52"/>
        <v>0.13427019594284312</v>
      </c>
      <c r="L122" s="38">
        <f t="shared" si="52"/>
        <v>0.2289649083950194</v>
      </c>
      <c r="M122" s="38">
        <f t="shared" si="52"/>
        <v>0.38756206191778769</v>
      </c>
      <c r="N122" s="38">
        <f t="shared" si="52"/>
        <v>0.59044020898316463</v>
      </c>
      <c r="O122" s="38">
        <f t="shared" si="52"/>
        <v>0.76818425244600308</v>
      </c>
      <c r="P122" s="38">
        <f t="shared" si="52"/>
        <v>0.87857480825383893</v>
      </c>
      <c r="Q122" s="38">
        <f t="shared" si="52"/>
        <v>0.93475352043929905</v>
      </c>
      <c r="R122" s="38">
        <f t="shared" si="52"/>
        <v>0.96172669979559966</v>
      </c>
      <c r="S122" s="38">
        <f t="shared" si="52"/>
        <v>0.9749906847503208</v>
      </c>
      <c r="T122" s="38">
        <f t="shared" si="52"/>
        <v>0.9818902209864222</v>
      </c>
      <c r="U122" s="38">
        <f t="shared" si="52"/>
        <v>0.9857040254242283</v>
      </c>
      <c r="V122" s="38">
        <f t="shared" si="52"/>
        <v>0.98792759108597206</v>
      </c>
      <c r="W122" s="38">
        <f t="shared" si="52"/>
        <v>0.9892800612143291</v>
      </c>
      <c r="X122" s="43">
        <f t="shared" si="52"/>
        <v>0.99012924120041634</v>
      </c>
    </row>
    <row r="123" spans="2:24" x14ac:dyDescent="0.35">
      <c r="B123" s="63"/>
      <c r="C123" s="24">
        <v>0.3</v>
      </c>
      <c r="D123" s="42">
        <f t="shared" ref="D123:X123" si="53">1/(1+EXP(-D149))</f>
        <v>2.6676620725043246E-2</v>
      </c>
      <c r="E123" s="38">
        <f t="shared" si="53"/>
        <v>2.9412889295764303E-2</v>
      </c>
      <c r="F123" s="38">
        <f t="shared" si="53"/>
        <v>3.381616483854312E-2</v>
      </c>
      <c r="G123" s="38">
        <f t="shared" si="53"/>
        <v>4.1147111058076627E-2</v>
      </c>
      <c r="H123" s="38">
        <f t="shared" si="53"/>
        <v>5.3883983410012923E-2</v>
      </c>
      <c r="I123" s="38">
        <f t="shared" si="53"/>
        <v>7.7090746320076134E-2</v>
      </c>
      <c r="J123" s="38">
        <f t="shared" si="53"/>
        <v>0.12108807962338929</v>
      </c>
      <c r="K123" s="38">
        <f t="shared" si="53"/>
        <v>0.2046527836417015</v>
      </c>
      <c r="L123" s="38">
        <f t="shared" si="53"/>
        <v>0.34969911519533636</v>
      </c>
      <c r="M123" s="38">
        <f t="shared" si="53"/>
        <v>0.54824547150404856</v>
      </c>
      <c r="N123" s="38">
        <f t="shared" si="53"/>
        <v>0.7367522011889287</v>
      </c>
      <c r="O123" s="38">
        <f t="shared" si="53"/>
        <v>0.86117650569650295</v>
      </c>
      <c r="P123" s="38">
        <f t="shared" si="53"/>
        <v>0.92628977529118417</v>
      </c>
      <c r="Q123" s="38">
        <f t="shared" si="53"/>
        <v>0.9576541029725707</v>
      </c>
      <c r="R123" s="38">
        <f t="shared" si="53"/>
        <v>0.9729415564543864</v>
      </c>
      <c r="S123" s="38">
        <f t="shared" si="53"/>
        <v>0.9807943766522822</v>
      </c>
      <c r="T123" s="38">
        <f t="shared" si="53"/>
        <v>0.98508280245336877</v>
      </c>
      <c r="U123" s="38">
        <f t="shared" si="53"/>
        <v>0.98755794093215565</v>
      </c>
      <c r="V123" s="38">
        <f t="shared" si="53"/>
        <v>0.98905172870133828</v>
      </c>
      <c r="W123" s="38">
        <f t="shared" si="53"/>
        <v>0.98998425857446004</v>
      </c>
      <c r="X123" s="43">
        <f t="shared" si="53"/>
        <v>0.99058093283355109</v>
      </c>
    </row>
    <row r="124" spans="2:24" x14ac:dyDescent="0.35">
      <c r="B124" s="63"/>
      <c r="C124" s="24">
        <v>0.25</v>
      </c>
      <c r="D124" s="42">
        <f t="shared" ref="D124:X124" si="54">1/(1+EXP(-D150))</f>
        <v>2.8741876724918045E-2</v>
      </c>
      <c r="E124" s="38">
        <f t="shared" si="54"/>
        <v>3.2724622743109763E-2</v>
      </c>
      <c r="F124" s="38">
        <f t="shared" si="54"/>
        <v>3.9304359961668409E-2</v>
      </c>
      <c r="G124" s="38">
        <f t="shared" si="54"/>
        <v>5.0629272592333185E-2</v>
      </c>
      <c r="H124" s="38">
        <f t="shared" si="54"/>
        <v>7.1063104954522005E-2</v>
      </c>
      <c r="I124" s="38">
        <f t="shared" si="54"/>
        <v>0.109555900158871</v>
      </c>
      <c r="J124" s="38">
        <f t="shared" si="54"/>
        <v>0.18303486481398859</v>
      </c>
      <c r="K124" s="38">
        <f t="shared" si="54"/>
        <v>0.31435705925282026</v>
      </c>
      <c r="L124" s="38">
        <f t="shared" si="54"/>
        <v>0.50557992416023056</v>
      </c>
      <c r="M124" s="38">
        <f t="shared" si="54"/>
        <v>0.70234863657730262</v>
      </c>
      <c r="N124" s="38">
        <f t="shared" si="54"/>
        <v>0.8412155275274199</v>
      </c>
      <c r="O124" s="38">
        <f>1/(1+EXP(-O150))</f>
        <v>0.91643660806596772</v>
      </c>
      <c r="P124" s="38">
        <f t="shared" si="54"/>
        <v>0.95293208066130664</v>
      </c>
      <c r="Q124" s="38">
        <f t="shared" si="54"/>
        <v>0.97059272488584636</v>
      </c>
      <c r="R124" s="38">
        <f t="shared" si="54"/>
        <v>0.97955414343144043</v>
      </c>
      <c r="S124" s="38">
        <f t="shared" si="54"/>
        <v>0.98438763382751282</v>
      </c>
      <c r="T124" s="38">
        <f t="shared" si="54"/>
        <v>0.98714801842609179</v>
      </c>
      <c r="U124" s="38">
        <f t="shared" si="54"/>
        <v>0.98880024333969796</v>
      </c>
      <c r="V124" s="38">
        <f t="shared" si="54"/>
        <v>0.98982536570550728</v>
      </c>
      <c r="W124" s="38">
        <f t="shared" si="54"/>
        <v>0.990478391187812</v>
      </c>
      <c r="X124" s="43">
        <f t="shared" si="54"/>
        <v>0.99090228581941919</v>
      </c>
    </row>
    <row r="125" spans="2:24" x14ac:dyDescent="0.35">
      <c r="B125" s="63"/>
      <c r="C125" s="24">
        <v>0.2</v>
      </c>
      <c r="D125" s="42">
        <f t="shared" ref="D125:X125" si="55">1/(1+EXP(-D151))</f>
        <v>3.1739767621927026E-2</v>
      </c>
      <c r="E125" s="38">
        <f t="shared" si="55"/>
        <v>3.765557132347673E-2</v>
      </c>
      <c r="F125" s="38">
        <f t="shared" si="55"/>
        <v>4.7745496471980564E-2</v>
      </c>
      <c r="G125" s="38">
        <f t="shared" si="55"/>
        <v>6.5772069567637856E-2</v>
      </c>
      <c r="H125" s="38">
        <f t="shared" si="55"/>
        <v>9.9473572562368537E-2</v>
      </c>
      <c r="I125" s="38">
        <f t="shared" si="55"/>
        <v>0.16391925481480019</v>
      </c>
      <c r="J125" s="38">
        <f t="shared" si="55"/>
        <v>0.28179560359293587</v>
      </c>
      <c r="K125" s="38">
        <f t="shared" si="55"/>
        <v>0.4631998447494628</v>
      </c>
      <c r="L125" s="38">
        <f t="shared" si="55"/>
        <v>0.66522585506249876</v>
      </c>
      <c r="M125" s="38">
        <f t="shared" si="55"/>
        <v>0.81846639887368322</v>
      </c>
      <c r="N125" s="38">
        <f t="shared" si="55"/>
        <v>0.90497754810154907</v>
      </c>
      <c r="O125" s="38">
        <f t="shared" si="55"/>
        <v>0.94744762755152379</v>
      </c>
      <c r="P125" s="38">
        <f t="shared" si="55"/>
        <v>0.96789334837509311</v>
      </c>
      <c r="Q125" s="38">
        <f t="shared" si="55"/>
        <v>0.97814690419650996</v>
      </c>
      <c r="R125" s="38">
        <f t="shared" si="55"/>
        <v>0.98360804122193279</v>
      </c>
      <c r="S125" s="38">
        <f t="shared" si="55"/>
        <v>0.98669267496870505</v>
      </c>
      <c r="T125" s="38">
        <f t="shared" si="55"/>
        <v>0.98852291402155867</v>
      </c>
      <c r="U125" s="38">
        <f t="shared" si="55"/>
        <v>0.98965107285855303</v>
      </c>
      <c r="V125" s="38">
        <f t="shared" si="55"/>
        <v>0.99036633650528805</v>
      </c>
      <c r="W125" s="38">
        <f t="shared" si="55"/>
        <v>0.99082907639678963</v>
      </c>
      <c r="X125" s="43">
        <f t="shared" si="55"/>
        <v>0.99113273255985124</v>
      </c>
    </row>
    <row r="126" spans="2:24" x14ac:dyDescent="0.35">
      <c r="B126" s="63"/>
      <c r="C126" s="24">
        <v>0.15</v>
      </c>
      <c r="D126" s="42">
        <f t="shared" ref="D126:X126" si="56">1/(1+EXP(-D152))</f>
        <v>3.6177574970568914E-2</v>
      </c>
      <c r="E126" s="38">
        <f t="shared" si="56"/>
        <v>4.5185086806481707E-2</v>
      </c>
      <c r="F126" s="38">
        <f t="shared" si="56"/>
        <v>6.111967982440418E-2</v>
      </c>
      <c r="G126" s="38">
        <f t="shared" si="56"/>
        <v>9.0658889559083883E-2</v>
      </c>
      <c r="H126" s="38">
        <f t="shared" si="56"/>
        <v>0.14708853162096464</v>
      </c>
      <c r="I126" s="38">
        <f t="shared" si="56"/>
        <v>0.25213802277536379</v>
      </c>
      <c r="J126" s="38">
        <f t="shared" si="56"/>
        <v>0.42183128985563062</v>
      </c>
      <c r="K126" s="38">
        <f t="shared" si="56"/>
        <v>0.62578852543013008</v>
      </c>
      <c r="L126" s="38">
        <f t="shared" si="56"/>
        <v>0.79275088902176849</v>
      </c>
      <c r="M126" s="38">
        <f t="shared" si="56"/>
        <v>0.89167635804227574</v>
      </c>
      <c r="N126" s="38">
        <f t="shared" si="56"/>
        <v>0.94106902898294853</v>
      </c>
      <c r="O126" s="38">
        <f t="shared" si="56"/>
        <v>0.96478328599726693</v>
      </c>
      <c r="P126" s="38">
        <f t="shared" si="56"/>
        <v>0.97654600100904654</v>
      </c>
      <c r="Q126" s="38">
        <f t="shared" si="56"/>
        <v>0.9827318040830938</v>
      </c>
      <c r="R126" s="38">
        <f t="shared" si="56"/>
        <v>0.98618598163085835</v>
      </c>
      <c r="S126" s="38">
        <f t="shared" si="56"/>
        <v>0.98821668036056287</v>
      </c>
      <c r="T126" s="38">
        <f t="shared" si="56"/>
        <v>0.98945970481342582</v>
      </c>
      <c r="U126" s="38">
        <f t="shared" si="56"/>
        <v>0.99024380354435071</v>
      </c>
      <c r="V126" s="38">
        <f t="shared" si="56"/>
        <v>0.99074924977157786</v>
      </c>
      <c r="W126" s="38">
        <f t="shared" si="56"/>
        <v>0.99108009484315163</v>
      </c>
      <c r="X126" s="43">
        <f t="shared" si="56"/>
        <v>0.99129897263826061</v>
      </c>
    </row>
    <row r="127" spans="2:24" x14ac:dyDescent="0.35">
      <c r="B127" s="63"/>
      <c r="C127" s="24">
        <v>0.1</v>
      </c>
      <c r="D127" s="42">
        <f t="shared" ref="D127:X127" si="57">1/(1+EXP(-D153))</f>
        <v>4.2907104783323789E-2</v>
      </c>
      <c r="E127" s="38">
        <f t="shared" si="57"/>
        <v>5.7021230292755964E-2</v>
      </c>
      <c r="F127" s="38">
        <f t="shared" si="57"/>
        <v>8.2948525900459799E-2</v>
      </c>
      <c r="G127" s="38">
        <f t="shared" si="57"/>
        <v>0.13231602697180167</v>
      </c>
      <c r="H127" s="38">
        <f t="shared" si="57"/>
        <v>0.22539029173910982</v>
      </c>
      <c r="I127" s="38">
        <f t="shared" si="57"/>
        <v>0.38211899760600904</v>
      </c>
      <c r="J127" s="38">
        <f t="shared" si="57"/>
        <v>0.58458475880152039</v>
      </c>
      <c r="K127" s="38">
        <f t="shared" si="57"/>
        <v>0.76396491960833035</v>
      </c>
      <c r="L127" s="38">
        <f t="shared" si="57"/>
        <v>0.87628240137721392</v>
      </c>
      <c r="M127" s="38">
        <f t="shared" si="57"/>
        <v>0.93364390798128993</v>
      </c>
      <c r="N127" s="38">
        <f t="shared" si="57"/>
        <v>0.96119146451866333</v>
      </c>
      <c r="O127" s="38">
        <f t="shared" si="57"/>
        <v>0.97471996457558197</v>
      </c>
      <c r="P127" s="38">
        <f t="shared" si="57"/>
        <v>0.98174463490933017</v>
      </c>
      <c r="Q127" s="38">
        <f t="shared" si="57"/>
        <v>0.98562109276186394</v>
      </c>
      <c r="R127" s="38">
        <f t="shared" si="57"/>
        <v>0.98787805331076806</v>
      </c>
      <c r="S127" s="38">
        <f t="shared" si="57"/>
        <v>0.98924937366629406</v>
      </c>
      <c r="T127" s="38">
        <f t="shared" si="57"/>
        <v>0.99010971516297486</v>
      </c>
      <c r="U127" s="38">
        <f t="shared" si="57"/>
        <v>0.99066216366575188</v>
      </c>
      <c r="V127" s="38">
        <f t="shared" si="57"/>
        <v>0.99102279312035413</v>
      </c>
      <c r="W127" s="38">
        <f t="shared" si="57"/>
        <v>0.99126092638750374</v>
      </c>
      <c r="X127" s="43">
        <f t="shared" si="57"/>
        <v>0.99141942553508655</v>
      </c>
    </row>
    <row r="128" spans="2:24" x14ac:dyDescent="0.35">
      <c r="B128" s="63"/>
      <c r="C128" s="24">
        <v>0.05</v>
      </c>
      <c r="D128" s="42">
        <f t="shared" ref="D128:X128" si="58">1/(1+EXP(-D154))</f>
        <v>5.3403662649066992E-2</v>
      </c>
      <c r="E128" s="38">
        <f t="shared" si="58"/>
        <v>7.6197826035799082E-2</v>
      </c>
      <c r="F128" s="38">
        <f t="shared" si="58"/>
        <v>0.1193777340550778</v>
      </c>
      <c r="G128" s="38">
        <f t="shared" si="58"/>
        <v>0.20146571777505026</v>
      </c>
      <c r="H128" s="38">
        <f t="shared" si="58"/>
        <v>0.34458818629734445</v>
      </c>
      <c r="I128" s="38">
        <f t="shared" si="58"/>
        <v>0.54227888622445486</v>
      </c>
      <c r="J128" s="38">
        <f t="shared" si="58"/>
        <v>0.7321069204545162</v>
      </c>
      <c r="K128" s="38">
        <f t="shared" si="58"/>
        <v>0.8585397578777495</v>
      </c>
      <c r="L128" s="38">
        <f t="shared" si="58"/>
        <v>0.92499771815478771</v>
      </c>
      <c r="M128" s="38">
        <f t="shared" si="58"/>
        <v>0.95703404484606613</v>
      </c>
      <c r="N128" s="38">
        <f t="shared" si="58"/>
        <v>0.97263160102578394</v>
      </c>
      <c r="O128" s="38">
        <f t="shared" si="58"/>
        <v>0.98062979044259413</v>
      </c>
      <c r="P128" s="38">
        <f t="shared" si="58"/>
        <v>0.98499008329622273</v>
      </c>
      <c r="Q128" s="38">
        <f t="shared" si="58"/>
        <v>0.98750304497541763</v>
      </c>
      <c r="R128" s="38">
        <f t="shared" si="58"/>
        <v>0.98901794703335899</v>
      </c>
      <c r="S128" s="38">
        <f t="shared" si="58"/>
        <v>0.98996286709827563</v>
      </c>
      <c r="T128" s="38">
        <f t="shared" si="58"/>
        <v>0.99056710594764719</v>
      </c>
      <c r="U128" s="38">
        <f t="shared" si="58"/>
        <v>0.99096039050378126</v>
      </c>
      <c r="V128" s="38">
        <f t="shared" si="58"/>
        <v>0.99121955940060669</v>
      </c>
      <c r="W128" s="38">
        <f t="shared" si="58"/>
        <v>0.99139181828103884</v>
      </c>
      <c r="X128" s="43">
        <f t="shared" si="58"/>
        <v>0.99150698814100779</v>
      </c>
    </row>
    <row r="129" spans="2:24" ht="15" thickBot="1" x14ac:dyDescent="0.4">
      <c r="B129" s="64"/>
      <c r="C129" s="25">
        <v>0</v>
      </c>
      <c r="D129" s="44">
        <f t="shared" ref="D129:X129" si="59">1/(1+EXP(-D155))</f>
        <v>7.0279826912114124E-2</v>
      </c>
      <c r="E129" s="45">
        <f t="shared" si="59"/>
        <v>0.10806034963910176</v>
      </c>
      <c r="F129" s="45">
        <f t="shared" si="59"/>
        <v>0.18021072935477689</v>
      </c>
      <c r="G129" s="45">
        <f t="shared" si="59"/>
        <v>0.30962333603119657</v>
      </c>
      <c r="H129" s="45">
        <f t="shared" si="59"/>
        <v>0.49960787326600348</v>
      </c>
      <c r="I129" s="45">
        <f t="shared" si="59"/>
        <v>0.69730370722901425</v>
      </c>
      <c r="J129" s="45">
        <f t="shared" si="59"/>
        <v>0.83820091285499765</v>
      </c>
      <c r="K129" s="45">
        <f t="shared" si="59"/>
        <v>0.91493308752439806</v>
      </c>
      <c r="L129" s="45">
        <f t="shared" si="59"/>
        <v>0.95221241541894053</v>
      </c>
      <c r="M129" s="45">
        <f t="shared" si="59"/>
        <v>0.97023691572372051</v>
      </c>
      <c r="N129" s="45">
        <f t="shared" si="59"/>
        <v>0.97936760635052333</v>
      </c>
      <c r="O129" s="45">
        <f t="shared" si="59"/>
        <v>0.98428375441815863</v>
      </c>
      <c r="P129" s="45">
        <f t="shared" si="59"/>
        <v>0.98708708546312518</v>
      </c>
      <c r="Q129" s="45">
        <f t="shared" si="59"/>
        <v>0.98876301079196594</v>
      </c>
      <c r="R129" s="45">
        <f t="shared" si="59"/>
        <v>0.98980191033623866</v>
      </c>
      <c r="S129" s="45">
        <f t="shared" si="59"/>
        <v>0.99046328580634879</v>
      </c>
      <c r="T129" s="45">
        <f t="shared" si="59"/>
        <v>0.99089240513886545</v>
      </c>
      <c r="U129" s="45">
        <f t="shared" si="59"/>
        <v>0.99117456917857261</v>
      </c>
      <c r="V129" s="45">
        <f t="shared" si="59"/>
        <v>0.99136182850090127</v>
      </c>
      <c r="W129" s="45">
        <f t="shared" si="59"/>
        <v>0.99148689766526465</v>
      </c>
      <c r="X129" s="46">
        <f t="shared" si="59"/>
        <v>0.99157079529804859</v>
      </c>
    </row>
    <row r="130" spans="2:24" x14ac:dyDescent="0.35">
      <c r="C130" s="9"/>
      <c r="D130" s="28">
        <v>0</v>
      </c>
      <c r="E130" s="26">
        <v>0.05</v>
      </c>
      <c r="F130" s="26">
        <v>0.1</v>
      </c>
      <c r="G130" s="26">
        <v>0.15</v>
      </c>
      <c r="H130" s="26">
        <v>0.2</v>
      </c>
      <c r="I130" s="26">
        <v>0.25</v>
      </c>
      <c r="J130" s="26">
        <v>0.3</v>
      </c>
      <c r="K130" s="26">
        <v>0.35</v>
      </c>
      <c r="L130" s="26">
        <v>0.4</v>
      </c>
      <c r="M130" s="26">
        <v>0.45</v>
      </c>
      <c r="N130" s="26">
        <v>0.5</v>
      </c>
      <c r="O130" s="26">
        <v>0.55000000000000004</v>
      </c>
      <c r="P130" s="26">
        <v>0.6</v>
      </c>
      <c r="Q130" s="26">
        <v>0.65</v>
      </c>
      <c r="R130" s="26">
        <v>0.7</v>
      </c>
      <c r="S130" s="26">
        <v>0.75</v>
      </c>
      <c r="T130" s="26">
        <v>0.8</v>
      </c>
      <c r="U130" s="26">
        <v>0.85</v>
      </c>
      <c r="V130" s="26">
        <v>0.9</v>
      </c>
      <c r="W130" s="26">
        <v>0.95</v>
      </c>
      <c r="X130" s="27">
        <v>1</v>
      </c>
    </row>
    <row r="131" spans="2:24" ht="21.5" thickBot="1" x14ac:dyDescent="0.55000000000000004">
      <c r="C131" s="9"/>
      <c r="D131" s="56" t="s">
        <v>64</v>
      </c>
      <c r="E131" s="57"/>
      <c r="F131" s="57"/>
      <c r="G131" s="57"/>
      <c r="H131" s="57"/>
      <c r="I131" s="57"/>
      <c r="J131" s="57"/>
      <c r="K131" s="57"/>
      <c r="L131" s="57"/>
      <c r="M131" s="57"/>
      <c r="N131" s="57"/>
      <c r="O131" s="57"/>
      <c r="P131" s="57"/>
      <c r="Q131" s="57"/>
      <c r="R131" s="57"/>
      <c r="S131" s="57"/>
      <c r="T131" s="57"/>
      <c r="U131" s="57"/>
      <c r="V131" s="57"/>
      <c r="W131" s="57"/>
      <c r="X131" s="58"/>
    </row>
    <row r="133" spans="2:24" ht="15" thickBot="1" x14ac:dyDescent="0.4"/>
    <row r="134" spans="2:24" ht="21.5" thickBot="1" x14ac:dyDescent="0.55000000000000004">
      <c r="B134" s="59" t="s">
        <v>15</v>
      </c>
      <c r="C134" s="60"/>
      <c r="D134" s="60"/>
      <c r="E134" s="60"/>
      <c r="F134" s="60"/>
      <c r="G134" s="60"/>
      <c r="H134" s="60"/>
      <c r="I134" s="60"/>
      <c r="J134" s="60"/>
      <c r="K134" s="60"/>
      <c r="L134" s="60"/>
      <c r="M134" s="60"/>
      <c r="N134" s="60"/>
      <c r="O134" s="60"/>
      <c r="P134" s="60"/>
      <c r="Q134" s="60"/>
      <c r="R134" s="60"/>
      <c r="S134" s="60"/>
      <c r="T134" s="60"/>
      <c r="U134" s="60"/>
      <c r="V134" s="60"/>
      <c r="W134" s="60"/>
      <c r="X134" s="61"/>
    </row>
    <row r="135" spans="2:24" x14ac:dyDescent="0.35">
      <c r="B135" s="62" t="s">
        <v>6</v>
      </c>
      <c r="C135" s="27">
        <v>1</v>
      </c>
      <c r="D135" s="40">
        <f>(D161*$P$7) + $P$10</f>
        <v>-3.8127209613884183</v>
      </c>
      <c r="E135" s="39">
        <f t="shared" ref="E135:X135" si="60">(E161*$P$7) + $P$10</f>
        <v>-3.8113218042893555</v>
      </c>
      <c r="F135" s="39">
        <f t="shared" si="60"/>
        <v>-3.8092560930184334</v>
      </c>
      <c r="G135" s="39">
        <f t="shared" si="60"/>
        <v>-3.8062068688049768</v>
      </c>
      <c r="H135" s="39">
        <f t="shared" si="60"/>
        <v>-3.8017071435121466</v>
      </c>
      <c r="I135" s="39">
        <f t="shared" si="60"/>
        <v>-3.7950696975671039</v>
      </c>
      <c r="J135" s="39">
        <f t="shared" si="60"/>
        <v>-3.7852849848410259</v>
      </c>
      <c r="K135" s="39">
        <f t="shared" si="60"/>
        <v>-3.7708737807290706</v>
      </c>
      <c r="L135" s="39">
        <f t="shared" si="60"/>
        <v>-3.7496769478808982</v>
      </c>
      <c r="M135" s="39">
        <f t="shared" si="60"/>
        <v>-3.7185607395906777</v>
      </c>
      <c r="N135" s="39">
        <f t="shared" si="60"/>
        <v>-3.673014993976639</v>
      </c>
      <c r="O135" s="39">
        <f t="shared" si="60"/>
        <v>-3.6066293964293838</v>
      </c>
      <c r="P135" s="39">
        <f t="shared" si="60"/>
        <v>-3.510462025448692</v>
      </c>
      <c r="Q135" s="39">
        <f t="shared" si="60"/>
        <v>-3.3723867319423779</v>
      </c>
      <c r="R135" s="39">
        <f t="shared" si="60"/>
        <v>-3.1766534427771917</v>
      </c>
      <c r="S135" s="39">
        <f t="shared" si="60"/>
        <v>-2.9041440714127669</v>
      </c>
      <c r="T135" s="39">
        <f t="shared" si="60"/>
        <v>-2.5341180243376442</v>
      </c>
      <c r="U135" s="39">
        <f t="shared" si="60"/>
        <v>-2.0483890098731834</v>
      </c>
      <c r="V135" s="39">
        <f t="shared" si="60"/>
        <v>-1.4383273887824903</v>
      </c>
      <c r="W135" s="39">
        <f t="shared" si="60"/>
        <v>-0.71323318833870841</v>
      </c>
      <c r="X135" s="41">
        <f t="shared" si="60"/>
        <v>9.4156137084948188E-2</v>
      </c>
    </row>
    <row r="136" spans="2:24" x14ac:dyDescent="0.35">
      <c r="B136" s="63"/>
      <c r="C136" s="24">
        <v>0.95</v>
      </c>
      <c r="D136" s="42">
        <f>(D162*$P$7) + $P$10</f>
        <v>-3.8116558580173865</v>
      </c>
      <c r="E136" s="38">
        <f t="shared" ref="E136:X136" si="61">(E162*$P$7) + $P$10</f>
        <v>-3.8097492598082821</v>
      </c>
      <c r="F136" s="38">
        <f t="shared" si="61"/>
        <v>-3.8069347755007068</v>
      </c>
      <c r="G136" s="38">
        <f t="shared" si="61"/>
        <v>-3.8027811737072814</v>
      </c>
      <c r="H136" s="38">
        <f t="shared" si="61"/>
        <v>-3.7966536752627831</v>
      </c>
      <c r="I136" s="38">
        <f t="shared" si="61"/>
        <v>-3.787619381154085</v>
      </c>
      <c r="J136" s="38">
        <f t="shared" si="61"/>
        <v>-3.7743105284003331</v>
      </c>
      <c r="K136" s="38">
        <f t="shared" si="61"/>
        <v>-3.7547288468601794</v>
      </c>
      <c r="L136" s="38">
        <f t="shared" si="61"/>
        <v>-3.7259701352202108</v>
      </c>
      <c r="M136" s="38">
        <f t="shared" si="61"/>
        <v>-3.6838461701827447</v>
      </c>
      <c r="N136" s="38">
        <f t="shared" si="61"/>
        <v>-3.622386310256938</v>
      </c>
      <c r="O136" s="38">
        <f t="shared" si="61"/>
        <v>-3.5332243886832302</v>
      </c>
      <c r="P136" s="38">
        <f t="shared" si="61"/>
        <v>-3.404937560009806</v>
      </c>
      <c r="Q136" s="38">
        <f t="shared" si="61"/>
        <v>-3.222533039889262</v>
      </c>
      <c r="R136" s="38">
        <f t="shared" si="61"/>
        <v>-2.9675061209466889</v>
      </c>
      <c r="S136" s="38">
        <f t="shared" si="61"/>
        <v>-2.6192012543029177</v>
      </c>
      <c r="T136" s="38">
        <f t="shared" si="61"/>
        <v>-2.1584222917965885</v>
      </c>
      <c r="U136" s="38">
        <f t="shared" si="61"/>
        <v>-1.5738898901706015</v>
      </c>
      <c r="V136" s="38">
        <f t="shared" si="61"/>
        <v>-0.87058739630766713</v>
      </c>
      <c r="W136" s="38">
        <f t="shared" si="61"/>
        <v>-7.6316486479633738E-2</v>
      </c>
      <c r="X136" s="43">
        <f t="shared" si="61"/>
        <v>0.75900593729880983</v>
      </c>
    </row>
    <row r="137" spans="2:24" x14ac:dyDescent="0.35">
      <c r="B137" s="63"/>
      <c r="C137" s="24">
        <v>0.9</v>
      </c>
      <c r="D137" s="42">
        <f t="shared" ref="D137:X137" si="62">(D163*$P$7) + $P$10</f>
        <v>-3.8102044464474685</v>
      </c>
      <c r="E137" s="38">
        <f t="shared" si="62"/>
        <v>-3.8076066593814106</v>
      </c>
      <c r="F137" s="38">
        <f t="shared" si="62"/>
        <v>-3.8037726188369896</v>
      </c>
      <c r="G137" s="38">
        <f t="shared" si="62"/>
        <v>-3.7981160239747127</v>
      </c>
      <c r="H137" s="38">
        <f t="shared" si="62"/>
        <v>-3.7897748896508481</v>
      </c>
      <c r="I137" s="38">
        <f t="shared" si="62"/>
        <v>-3.7774847023830187</v>
      </c>
      <c r="J137" s="38">
        <f t="shared" si="62"/>
        <v>-3.7593964780864928</v>
      </c>
      <c r="K137" s="38">
        <f t="shared" si="62"/>
        <v>-3.732819619602016</v>
      </c>
      <c r="L137" s="38">
        <f t="shared" si="62"/>
        <v>-3.6938667374375753</v>
      </c>
      <c r="M137" s="38">
        <f t="shared" si="62"/>
        <v>-3.6369807093063393</v>
      </c>
      <c r="N137" s="38">
        <f t="shared" si="62"/>
        <v>-3.5543425144098384</v>
      </c>
      <c r="O137" s="38">
        <f t="shared" si="62"/>
        <v>-3.4352094956306418</v>
      </c>
      <c r="P137" s="38">
        <f t="shared" si="62"/>
        <v>-3.2653461222269637</v>
      </c>
      <c r="Q137" s="38">
        <f t="shared" si="62"/>
        <v>-3.0269152692882795</v>
      </c>
      <c r="R137" s="38">
        <f t="shared" si="62"/>
        <v>-2.6994966934075135</v>
      </c>
      <c r="S137" s="38">
        <f t="shared" si="62"/>
        <v>-2.2631603463365217</v>
      </c>
      <c r="T137" s="38">
        <f t="shared" si="62"/>
        <v>-1.7043432131693823</v>
      </c>
      <c r="U137" s="38">
        <f t="shared" si="62"/>
        <v>-1.0240101965696113</v>
      </c>
      <c r="V137" s="38">
        <f t="shared" si="62"/>
        <v>-0.24500977054597506</v>
      </c>
      <c r="W137" s="38">
        <f t="shared" si="62"/>
        <v>0.586729822560073</v>
      </c>
      <c r="X137" s="43">
        <f t="shared" si="62"/>
        <v>1.4110377932685769</v>
      </c>
    </row>
    <row r="138" spans="2:24" x14ac:dyDescent="0.35">
      <c r="B138" s="63"/>
      <c r="C138" s="24">
        <v>0.85</v>
      </c>
      <c r="D138" s="42">
        <f t="shared" ref="D138:X138" si="63">(D164*$P$7) + $P$10</f>
        <v>-3.8082268244218263</v>
      </c>
      <c r="E138" s="38">
        <f t="shared" si="63"/>
        <v>-3.8046878121449144</v>
      </c>
      <c r="F138" s="38">
        <f t="shared" si="63"/>
        <v>-3.7994660463689236</v>
      </c>
      <c r="G138" s="38">
        <f t="shared" si="63"/>
        <v>-3.7917651386268068</v>
      </c>
      <c r="H138" s="38">
        <f t="shared" si="63"/>
        <v>-3.7804161900190247</v>
      </c>
      <c r="I138" s="38">
        <f t="shared" si="63"/>
        <v>-3.7637086946508327</v>
      </c>
      <c r="J138" s="38">
        <f t="shared" si="63"/>
        <v>-3.7391506941868782</v>
      </c>
      <c r="K138" s="38">
        <f t="shared" si="63"/>
        <v>-3.703135627596172</v>
      </c>
      <c r="L138" s="38">
        <f t="shared" si="63"/>
        <v>-3.6504946787142081</v>
      </c>
      <c r="M138" s="38">
        <f t="shared" si="63"/>
        <v>-3.573927450637167</v>
      </c>
      <c r="N138" s="38">
        <f t="shared" si="63"/>
        <v>-3.4633461793987586</v>
      </c>
      <c r="O138" s="38">
        <f t="shared" si="63"/>
        <v>-3.3052657357086095</v>
      </c>
      <c r="P138" s="38">
        <f t="shared" si="63"/>
        <v>-3.0825563945244845</v>
      </c>
      <c r="Q138" s="38">
        <f t="shared" si="63"/>
        <v>-2.7751603089624242</v>
      </c>
      <c r="R138" s="38">
        <f t="shared" si="63"/>
        <v>-2.3626633883907981</v>
      </c>
      <c r="S138" s="38">
        <f t="shared" si="63"/>
        <v>-1.8295748474075602</v>
      </c>
      <c r="T138" s="38">
        <f t="shared" si="63"/>
        <v>-1.173172469264371</v>
      </c>
      <c r="U138" s="38">
        <f t="shared" si="63"/>
        <v>-0.41141808198067809</v>
      </c>
      <c r="V138" s="38">
        <f t="shared" si="63"/>
        <v>0.4141314016309221</v>
      </c>
      <c r="W138" s="38">
        <f t="shared" si="63"/>
        <v>1.2450447895000019</v>
      </c>
      <c r="X138" s="43">
        <f t="shared" si="63"/>
        <v>2.0213845193173792</v>
      </c>
    </row>
    <row r="139" spans="2:24" x14ac:dyDescent="0.35">
      <c r="B139" s="63"/>
      <c r="C139" s="24">
        <v>0.8</v>
      </c>
      <c r="D139" s="42">
        <f t="shared" ref="D139:X139" si="64">(D165*$P$7) + $P$10</f>
        <v>-3.8055326037040405</v>
      </c>
      <c r="E139" s="38">
        <f t="shared" si="64"/>
        <v>-3.8007123390655679</v>
      </c>
      <c r="F139" s="38">
        <f t="shared" si="64"/>
        <v>-3.7936027299808353</v>
      </c>
      <c r="G139" s="38">
        <f t="shared" si="64"/>
        <v>-3.7831233980690744</v>
      </c>
      <c r="H139" s="38">
        <f t="shared" si="64"/>
        <v>-3.7676922386676455</v>
      </c>
      <c r="I139" s="38">
        <f t="shared" si="64"/>
        <v>-3.7450019035636397</v>
      </c>
      <c r="J139" s="38">
        <f t="shared" si="64"/>
        <v>-3.7117077428399274</v>
      </c>
      <c r="K139" s="38">
        <f t="shared" si="64"/>
        <v>-3.6630050461007162</v>
      </c>
      <c r="L139" s="38">
        <f t="shared" si="64"/>
        <v>-3.5920838677117173</v>
      </c>
      <c r="M139" s="38">
        <f t="shared" si="64"/>
        <v>-3.4894844893455947</v>
      </c>
      <c r="N139" s="38">
        <f t="shared" si="64"/>
        <v>-3.3424597058069643</v>
      </c>
      <c r="O139" s="38">
        <f t="shared" si="64"/>
        <v>-3.1346143940068592</v>
      </c>
      <c r="P139" s="38">
        <f t="shared" si="64"/>
        <v>-2.8463586894381452</v>
      </c>
      <c r="Q139" s="38">
        <f t="shared" si="64"/>
        <v>-2.4570177559142614</v>
      </c>
      <c r="R139" s="38">
        <f t="shared" si="64"/>
        <v>-1.9495133232242778</v>
      </c>
      <c r="S139" s="38">
        <f t="shared" si="64"/>
        <v>-1.3177897116864838</v>
      </c>
      <c r="T139" s="38">
        <f t="shared" si="64"/>
        <v>-0.57506385060237308</v>
      </c>
      <c r="U139" s="38">
        <f t="shared" si="64"/>
        <v>0.24176561301522037</v>
      </c>
      <c r="V139" s="38">
        <f t="shared" si="64"/>
        <v>1.0766875152142421</v>
      </c>
      <c r="W139" s="38">
        <f t="shared" si="64"/>
        <v>1.8686297504294926</v>
      </c>
      <c r="X139" s="43">
        <f t="shared" si="64"/>
        <v>2.5682908153799606</v>
      </c>
    </row>
    <row r="140" spans="2:24" x14ac:dyDescent="0.35">
      <c r="B140" s="63"/>
      <c r="C140" s="24">
        <v>0.75</v>
      </c>
      <c r="D140" s="42">
        <f t="shared" ref="D140:X140" si="65">(D166*$P$7) + $P$10</f>
        <v>-3.8018628454163044</v>
      </c>
      <c r="E140" s="38">
        <f t="shared" si="65"/>
        <v>-3.7952993147589136</v>
      </c>
      <c r="F140" s="38">
        <f t="shared" si="65"/>
        <v>-3.7856233591299513</v>
      </c>
      <c r="G140" s="38">
        <f t="shared" si="65"/>
        <v>-3.7713718874891842</v>
      </c>
      <c r="H140" s="38">
        <f t="shared" si="65"/>
        <v>-3.7504090284223901</v>
      </c>
      <c r="I140" s="38">
        <f t="shared" si="65"/>
        <v>-3.7196341933715109</v>
      </c>
      <c r="J140" s="38">
        <f t="shared" si="65"/>
        <v>-3.6745836380907027</v>
      </c>
      <c r="K140" s="38">
        <f t="shared" si="65"/>
        <v>-3.6089102564542275</v>
      </c>
      <c r="L140" s="38">
        <f t="shared" si="65"/>
        <v>-3.5137545114223707</v>
      </c>
      <c r="M140" s="38">
        <f t="shared" si="65"/>
        <v>-3.3770900824239964</v>
      </c>
      <c r="N140" s="38">
        <f t="shared" si="65"/>
        <v>-3.1832727092469435</v>
      </c>
      <c r="O140" s="38">
        <f t="shared" si="65"/>
        <v>-2.9132663916257187</v>
      </c>
      <c r="P140" s="38">
        <f t="shared" si="65"/>
        <v>-2.5463324943269168</v>
      </c>
      <c r="Q140" s="38">
        <f t="shared" si="65"/>
        <v>-2.0641256705746787</v>
      </c>
      <c r="R140" s="38">
        <f t="shared" si="65"/>
        <v>-1.457622789461102</v>
      </c>
      <c r="S140" s="38">
        <f t="shared" si="65"/>
        <v>-0.73550265888679478</v>
      </c>
      <c r="T140" s="38">
        <f t="shared" si="65"/>
        <v>7.018441054739899E-2</v>
      </c>
      <c r="U140" s="38">
        <f t="shared" si="65"/>
        <v>0.90646744040992777</v>
      </c>
      <c r="V140" s="38">
        <f t="shared" si="65"/>
        <v>1.7118873676182349</v>
      </c>
      <c r="W140" s="38">
        <f t="shared" si="65"/>
        <v>2.4335453841375627</v>
      </c>
      <c r="X140" s="43">
        <f t="shared" si="65"/>
        <v>3.0394975654031877</v>
      </c>
    </row>
    <row r="141" spans="2:24" x14ac:dyDescent="0.35">
      <c r="B141" s="63"/>
      <c r="C141" s="24">
        <v>0.7</v>
      </c>
      <c r="D141" s="42">
        <f t="shared" ref="D141:X141" si="66">(D167*$P$7) + $P$10</f>
        <v>-3.7968656634000766</v>
      </c>
      <c r="E141" s="38">
        <f t="shared" si="66"/>
        <v>-3.7879318309733558</v>
      </c>
      <c r="F141" s="38">
        <f t="shared" si="66"/>
        <v>-3.7747705910314808</v>
      </c>
      <c r="G141" s="38">
        <f t="shared" si="66"/>
        <v>-3.7554052686140986</v>
      </c>
      <c r="H141" s="38">
        <f t="shared" si="66"/>
        <v>-3.7269625269282347</v>
      </c>
      <c r="I141" s="38">
        <f t="shared" si="66"/>
        <v>-3.6852975370586272</v>
      </c>
      <c r="J141" s="38">
        <f t="shared" si="66"/>
        <v>-3.6244991484445603</v>
      </c>
      <c r="K141" s="38">
        <f t="shared" si="66"/>
        <v>-3.5362795766648722</v>
      </c>
      <c r="L141" s="38">
        <f t="shared" si="66"/>
        <v>-3.4093127236129286</v>
      </c>
      <c r="M141" s="38">
        <f t="shared" si="66"/>
        <v>-3.2287120715776383</v>
      </c>
      <c r="N141" s="38">
        <f t="shared" si="66"/>
        <v>-2.9760635283751586</v>
      </c>
      <c r="O141" s="38">
        <f t="shared" si="66"/>
        <v>-2.6307360081893392</v>
      </c>
      <c r="P141" s="38">
        <f t="shared" si="66"/>
        <v>-2.1734145047459954</v>
      </c>
      <c r="Q141" s="38">
        <f t="shared" si="66"/>
        <v>-1.5924778380382318</v>
      </c>
      <c r="R141" s="38">
        <f t="shared" si="66"/>
        <v>-0.89232751034130686</v>
      </c>
      <c r="S141" s="38">
        <f t="shared" si="66"/>
        <v>-0.10007027379115874</v>
      </c>
      <c r="T141" s="38">
        <f t="shared" si="66"/>
        <v>0.73490927320623145</v>
      </c>
      <c r="U141" s="38">
        <f t="shared" si="66"/>
        <v>1.5515226547431129</v>
      </c>
      <c r="V141" s="38">
        <f t="shared" si="66"/>
        <v>2.2938182209107141</v>
      </c>
      <c r="W141" s="38">
        <f t="shared" si="66"/>
        <v>2.92500065645496</v>
      </c>
      <c r="X141" s="43">
        <f t="shared" si="66"/>
        <v>3.4319537168091236</v>
      </c>
    </row>
    <row r="142" spans="2:24" x14ac:dyDescent="0.35">
      <c r="B142" s="63"/>
      <c r="C142" s="24">
        <v>0.65</v>
      </c>
      <c r="D142" s="42">
        <f t="shared" ref="D142:X142" si="67">(D168*$P$7) + $P$10</f>
        <v>-3.790063389189684</v>
      </c>
      <c r="E142" s="38">
        <f t="shared" si="67"/>
        <v>-3.7779096005582797</v>
      </c>
      <c r="F142" s="38">
        <f t="shared" si="67"/>
        <v>-3.760021416378621</v>
      </c>
      <c r="G142" s="38">
        <f t="shared" si="67"/>
        <v>-3.7337369493810799</v>
      </c>
      <c r="H142" s="38">
        <f t="shared" si="67"/>
        <v>-3.6952093355340971</v>
      </c>
      <c r="I142" s="38">
        <f t="shared" si="67"/>
        <v>-3.6389373524035546</v>
      </c>
      <c r="J142" s="38">
        <f t="shared" si="67"/>
        <v>-3.5571763536186336</v>
      </c>
      <c r="K142" s="38">
        <f t="shared" si="67"/>
        <v>-3.4392770013360381</v>
      </c>
      <c r="L142" s="38">
        <f t="shared" si="67"/>
        <v>-3.2711094533953315</v>
      </c>
      <c r="M142" s="38">
        <f t="shared" si="67"/>
        <v>-3.0349336038477674</v>
      </c>
      <c r="N142" s="38">
        <f t="shared" si="67"/>
        <v>-2.7103728379709517</v>
      </c>
      <c r="O142" s="38">
        <f t="shared" si="67"/>
        <v>-2.2774148463916832</v>
      </c>
      <c r="P142" s="38">
        <f t="shared" si="67"/>
        <v>-1.7222053901087788</v>
      </c>
      <c r="Q142" s="38">
        <f t="shared" si="67"/>
        <v>-1.045172207066845</v>
      </c>
      <c r="R142" s="38">
        <f t="shared" si="67"/>
        <v>-0.2684732964813179</v>
      </c>
      <c r="S142" s="38">
        <f t="shared" si="67"/>
        <v>0.56255465237973779</v>
      </c>
      <c r="T142" s="38">
        <f t="shared" si="67"/>
        <v>1.3879417572260926</v>
      </c>
      <c r="U142" s="38">
        <f t="shared" si="67"/>
        <v>2.1493022168884957</v>
      </c>
      <c r="V142" s="38">
        <f t="shared" si="67"/>
        <v>2.8051773097722159</v>
      </c>
      <c r="W142" s="38">
        <f t="shared" si="67"/>
        <v>3.3377097202855928</v>
      </c>
      <c r="X142" s="43">
        <f t="shared" si="67"/>
        <v>3.7496976641171593</v>
      </c>
    </row>
    <row r="143" spans="2:24" x14ac:dyDescent="0.35">
      <c r="B143" s="63"/>
      <c r="C143" s="24">
        <v>0.6</v>
      </c>
      <c r="D143" s="42">
        <f t="shared" ref="D143:X143" si="68">(D169*$P$7) + $P$10</f>
        <v>-3.7808085892897347</v>
      </c>
      <c r="E143" s="38">
        <f t="shared" si="68"/>
        <v>-3.7642860199004518</v>
      </c>
      <c r="F143" s="38">
        <f t="shared" si="68"/>
        <v>-3.7399985359165515</v>
      </c>
      <c r="G143" s="38">
        <f t="shared" si="68"/>
        <v>-3.7043773861961817</v>
      </c>
      <c r="H143" s="38">
        <f t="shared" si="68"/>
        <v>-3.6523062014995973</v>
      </c>
      <c r="I143" s="38">
        <f t="shared" si="68"/>
        <v>-3.5765549858232739</v>
      </c>
      <c r="J143" s="38">
        <f t="shared" si="68"/>
        <v>-3.4671256133176453</v>
      </c>
      <c r="K143" s="38">
        <f t="shared" si="68"/>
        <v>-3.3106372082954763</v>
      </c>
      <c r="L143" s="38">
        <f t="shared" si="68"/>
        <v>-3.0900615962914806</v>
      </c>
      <c r="M143" s="38">
        <f t="shared" si="68"/>
        <v>-2.7854006074947306</v>
      </c>
      <c r="N143" s="38">
        <f t="shared" si="68"/>
        <v>-2.3761907768380093</v>
      </c>
      <c r="O143" s="38">
        <f t="shared" si="68"/>
        <v>-1.8466988214928513</v>
      </c>
      <c r="P143" s="38">
        <f t="shared" si="68"/>
        <v>-1.1937138017309041</v>
      </c>
      <c r="Q143" s="38">
        <f t="shared" si="68"/>
        <v>-0.43452262144381404</v>
      </c>
      <c r="R143" s="38">
        <f t="shared" si="68"/>
        <v>0.38995538863368884</v>
      </c>
      <c r="S143" s="38">
        <f t="shared" si="68"/>
        <v>1.2215883242907917</v>
      </c>
      <c r="T143" s="38">
        <f t="shared" si="68"/>
        <v>2.0002355220804362</v>
      </c>
      <c r="U143" s="38">
        <f t="shared" si="68"/>
        <v>2.6800596927310223</v>
      </c>
      <c r="V143" s="38">
        <f t="shared" si="68"/>
        <v>3.2383191824492195</v>
      </c>
      <c r="W143" s="38">
        <f t="shared" si="68"/>
        <v>3.6741325474329671</v>
      </c>
      <c r="X143" s="43">
        <f t="shared" si="68"/>
        <v>4.0011082739488728</v>
      </c>
    </row>
    <row r="144" spans="2:24" x14ac:dyDescent="0.35">
      <c r="B144" s="63"/>
      <c r="C144" s="24">
        <v>0.55000000000000004</v>
      </c>
      <c r="D144" s="42">
        <f t="shared" ref="D144:X144" si="69">(D170*$P$7) + $P$10</f>
        <v>-3.7682255374205083</v>
      </c>
      <c r="E144" s="38">
        <f t="shared" si="69"/>
        <v>-3.7457854324907953</v>
      </c>
      <c r="F144" s="38">
        <f t="shared" si="69"/>
        <v>-3.7128560458110105</v>
      </c>
      <c r="G144" s="38">
        <f t="shared" si="69"/>
        <v>-3.6646818072007323</v>
      </c>
      <c r="H144" s="38">
        <f t="shared" si="69"/>
        <v>-3.5945192653307183</v>
      </c>
      <c r="I144" s="38">
        <f t="shared" si="69"/>
        <v>-3.492994486107571</v>
      </c>
      <c r="J144" s="38">
        <f t="shared" si="69"/>
        <v>-3.3474623826424321</v>
      </c>
      <c r="K144" s="38">
        <f t="shared" si="69"/>
        <v>-3.1416322827413614</v>
      </c>
      <c r="L144" s="38">
        <f t="shared" si="69"/>
        <v>-2.8559871760473317</v>
      </c>
      <c r="M144" s="38">
        <f t="shared" si="69"/>
        <v>-2.4698320203672157</v>
      </c>
      <c r="N144" s="38">
        <f t="shared" si="69"/>
        <v>-1.9658922193006998</v>
      </c>
      <c r="O144" s="38">
        <f t="shared" si="69"/>
        <v>-1.3376741228372007</v>
      </c>
      <c r="P144" s="38">
        <f t="shared" si="69"/>
        <v>-0.59774503460857886</v>
      </c>
      <c r="Q144" s="38">
        <f t="shared" si="69"/>
        <v>0.21766643129621466</v>
      </c>
      <c r="R144" s="38">
        <f t="shared" si="69"/>
        <v>1.0529392592686979</v>
      </c>
      <c r="S144" s="38">
        <f t="shared" si="69"/>
        <v>1.8469016614581526</v>
      </c>
      <c r="T144" s="38">
        <f t="shared" si="69"/>
        <v>2.5497184127680241</v>
      </c>
      <c r="U144" s="38">
        <f t="shared" si="69"/>
        <v>3.1336952375264819</v>
      </c>
      <c r="V144" s="38">
        <f t="shared" si="69"/>
        <v>3.5939391123700664</v>
      </c>
      <c r="W144" s="38">
        <f t="shared" si="69"/>
        <v>3.9417826887879248</v>
      </c>
      <c r="X144" s="43">
        <f t="shared" si="69"/>
        <v>4.1964408394250476</v>
      </c>
    </row>
    <row r="145" spans="2:24" x14ac:dyDescent="0.35">
      <c r="B145" s="63"/>
      <c r="C145" s="24">
        <v>0.5</v>
      </c>
      <c r="D145" s="42">
        <f t="shared" ref="D145:X145" si="70">(D171*$P$7) + $P$10</f>
        <v>-3.7511330474047409</v>
      </c>
      <c r="E145" s="38">
        <f t="shared" si="70"/>
        <v>-3.7206959118342597</v>
      </c>
      <c r="F145" s="38">
        <f t="shared" si="70"/>
        <v>-3.6761353160017567</v>
      </c>
      <c r="G145" s="38">
        <f t="shared" si="70"/>
        <v>-3.6111668343443761</v>
      </c>
      <c r="H145" s="38">
        <f t="shared" si="70"/>
        <v>-3.5170127556402355</v>
      </c>
      <c r="I145" s="38">
        <f t="shared" si="70"/>
        <v>-3.3817461809360005</v>
      </c>
      <c r="J145" s="38">
        <f t="shared" si="70"/>
        <v>-3.1898287956815921</v>
      </c>
      <c r="K145" s="38">
        <f t="shared" si="70"/>
        <v>-2.9223080185335686</v>
      </c>
      <c r="L145" s="38">
        <f t="shared" si="70"/>
        <v>-2.5584505341014809</v>
      </c>
      <c r="M145" s="38">
        <f t="shared" si="70"/>
        <v>-2.0797577819220994</v>
      </c>
      <c r="N145" s="38">
        <f t="shared" si="70"/>
        <v>-1.476820403086029</v>
      </c>
      <c r="O145" s="38">
        <f t="shared" si="70"/>
        <v>-0.75770112401709566</v>
      </c>
      <c r="P145" s="38">
        <f t="shared" si="70"/>
        <v>4.6238749779516919E-2</v>
      </c>
      <c r="Q145" s="38">
        <f t="shared" si="70"/>
        <v>0.88249964670514958</v>
      </c>
      <c r="R145" s="38">
        <f t="shared" si="70"/>
        <v>1.6896288028337669</v>
      </c>
      <c r="S145" s="38">
        <f t="shared" si="70"/>
        <v>2.4142650677238051</v>
      </c>
      <c r="T145" s="38">
        <f t="shared" si="70"/>
        <v>3.0237770685877661</v>
      </c>
      <c r="U145" s="38">
        <f t="shared" si="70"/>
        <v>3.508961131887109</v>
      </c>
      <c r="V145" s="38">
        <f t="shared" si="70"/>
        <v>3.8785081945098399</v>
      </c>
      <c r="W145" s="38">
        <f t="shared" si="70"/>
        <v>4.1506295180271024</v>
      </c>
      <c r="X145" s="43">
        <f t="shared" si="70"/>
        <v>4.3460656156774657</v>
      </c>
    </row>
    <row r="146" spans="2:24" x14ac:dyDescent="0.35">
      <c r="B146" s="63"/>
      <c r="C146" s="24">
        <v>0.45</v>
      </c>
      <c r="D146" s="42">
        <f t="shared" ref="D146:X146" si="71">(D172*$P$7) + $P$10</f>
        <v>-3.7279440507140178</v>
      </c>
      <c r="E146" s="38">
        <f t="shared" si="71"/>
        <v>-3.6867331659838327</v>
      </c>
      <c r="F146" s="38">
        <f t="shared" si="71"/>
        <v>-3.6265894081027743</v>
      </c>
      <c r="G146" s="38">
        <f t="shared" si="71"/>
        <v>-3.5393028128014583</v>
      </c>
      <c r="H146" s="38">
        <f t="shared" si="71"/>
        <v>-3.4136435676264885</v>
      </c>
      <c r="I146" s="38">
        <f t="shared" si="71"/>
        <v>-3.2348313984674824</v>
      </c>
      <c r="J146" s="38">
        <f t="shared" si="71"/>
        <v>-2.984543847647863</v>
      </c>
      <c r="K146" s="38">
        <f t="shared" si="71"/>
        <v>-2.6421771740057616</v>
      </c>
      <c r="L146" s="38">
        <f t="shared" si="71"/>
        <v>-2.1883028611589976</v>
      </c>
      <c r="M146" s="38">
        <f t="shared" si="71"/>
        <v>-1.6109650674136495</v>
      </c>
      <c r="N146" s="38">
        <f t="shared" si="71"/>
        <v>-0.91398942678105</v>
      </c>
      <c r="O146" s="38">
        <f t="shared" si="71"/>
        <v>-0.12378767691542825</v>
      </c>
      <c r="P146" s="38">
        <f t="shared" si="71"/>
        <v>0.71079695883827165</v>
      </c>
      <c r="Q146" s="38">
        <f t="shared" si="71"/>
        <v>1.5287881228105751</v>
      </c>
      <c r="R146" s="38">
        <f t="shared" si="71"/>
        <v>2.2738543149069081</v>
      </c>
      <c r="S146" s="38">
        <f t="shared" si="71"/>
        <v>2.9085333210520026</v>
      </c>
      <c r="T146" s="38">
        <f t="shared" si="71"/>
        <v>3.4190558137418443</v>
      </c>
      <c r="U146" s="38">
        <f t="shared" si="71"/>
        <v>3.8111015837664399</v>
      </c>
      <c r="V146" s="38">
        <f t="shared" si="71"/>
        <v>4.10157801398387</v>
      </c>
      <c r="W146" s="38">
        <f t="shared" si="71"/>
        <v>4.3111398459420052</v>
      </c>
      <c r="X146" s="43">
        <f t="shared" si="71"/>
        <v>4.4594372263992721</v>
      </c>
    </row>
    <row r="147" spans="2:24" x14ac:dyDescent="0.35">
      <c r="B147" s="63"/>
      <c r="C147" s="24">
        <v>0.4</v>
      </c>
      <c r="D147" s="42">
        <f t="shared" ref="D147:X147" si="72">(D173*$P$7) + $P$10</f>
        <v>-3.6965373407163575</v>
      </c>
      <c r="E147" s="38">
        <f t="shared" si="72"/>
        <v>-3.6408730130845086</v>
      </c>
      <c r="F147" s="38">
        <f t="shared" si="72"/>
        <v>-3.5599804027536517</v>
      </c>
      <c r="G147" s="38">
        <f t="shared" si="72"/>
        <v>-3.4433029886746356</v>
      </c>
      <c r="H147" s="38">
        <f t="shared" si="72"/>
        <v>-3.2768164640625042</v>
      </c>
      <c r="I147" s="38">
        <f t="shared" si="72"/>
        <v>-3.0428784839473617</v>
      </c>
      <c r="J147" s="38">
        <f t="shared" si="72"/>
        <v>-2.7211584930969472</v>
      </c>
      <c r="K147" s="38">
        <f t="shared" si="72"/>
        <v>-2.2915667532863022</v>
      </c>
      <c r="L147" s="38">
        <f t="shared" si="72"/>
        <v>-1.7399647590298959</v>
      </c>
      <c r="M147" s="38">
        <f t="shared" si="72"/>
        <v>-1.0662496782693429</v>
      </c>
      <c r="N147" s="38">
        <f t="shared" si="72"/>
        <v>-0.29189057437193755</v>
      </c>
      <c r="O147" s="38">
        <f t="shared" si="72"/>
        <v>0.5383746749548961</v>
      </c>
      <c r="P147" s="38">
        <f t="shared" si="72"/>
        <v>1.364791244481125</v>
      </c>
      <c r="Q147" s="38">
        <f t="shared" si="72"/>
        <v>2.1286853497316094</v>
      </c>
      <c r="R147" s="38">
        <f t="shared" si="72"/>
        <v>2.7879654328562347</v>
      </c>
      <c r="S147" s="38">
        <f t="shared" si="72"/>
        <v>3.324096875255043</v>
      </c>
      <c r="T147" s="38">
        <f t="shared" si="72"/>
        <v>3.7393832839529764</v>
      </c>
      <c r="U147" s="38">
        <f t="shared" si="72"/>
        <v>4.0491052163376793</v>
      </c>
      <c r="V147" s="38">
        <f t="shared" si="72"/>
        <v>4.273631604494641</v>
      </c>
      <c r="W147" s="38">
        <f t="shared" si="72"/>
        <v>4.4330691357006007</v>
      </c>
      <c r="X147" s="43">
        <f t="shared" si="72"/>
        <v>4.5446329755171142</v>
      </c>
    </row>
    <row r="148" spans="2:24" x14ac:dyDescent="0.35">
      <c r="B148" s="63"/>
      <c r="C148" s="24">
        <v>0.35</v>
      </c>
      <c r="D148" s="42">
        <f t="shared" ref="D148:X148" si="73">(D174*$P$7) + $P$10</f>
        <v>-3.6540982354785689</v>
      </c>
      <c r="E148" s="38">
        <f t="shared" si="73"/>
        <v>-3.5791547679861355</v>
      </c>
      <c r="F148" s="38">
        <f t="shared" si="73"/>
        <v>-3.4708661970544128</v>
      </c>
      <c r="G148" s="38">
        <f t="shared" si="73"/>
        <v>-3.3159556402541641</v>
      </c>
      <c r="H148" s="38">
        <f t="shared" si="73"/>
        <v>-3.0974969729720958</v>
      </c>
      <c r="I148" s="38">
        <f t="shared" si="73"/>
        <v>-2.7955537157704171</v>
      </c>
      <c r="J148" s="38">
        <f t="shared" si="73"/>
        <v>-2.3896173388415018</v>
      </c>
      <c r="K148" s="38">
        <f t="shared" si="73"/>
        <v>-1.8637186979227962</v>
      </c>
      <c r="L148" s="38">
        <f t="shared" si="73"/>
        <v>-1.2141651335685957</v>
      </c>
      <c r="M148" s="38">
        <f t="shared" si="73"/>
        <v>-0.45757161594800566</v>
      </c>
      <c r="N148" s="38">
        <f t="shared" si="73"/>
        <v>0.36578547316967702</v>
      </c>
      <c r="O148" s="38">
        <f t="shared" si="73"/>
        <v>1.1980867518609437</v>
      </c>
      <c r="P148" s="38">
        <f t="shared" si="73"/>
        <v>1.9790026911678003</v>
      </c>
      <c r="Q148" s="38">
        <f t="shared" si="73"/>
        <v>2.6621107883782762</v>
      </c>
      <c r="R148" s="38">
        <f t="shared" si="73"/>
        <v>3.2239777839731256</v>
      </c>
      <c r="S148" s="38">
        <f t="shared" si="73"/>
        <v>3.6631795513964645</v>
      </c>
      <c r="T148" s="38">
        <f t="shared" si="73"/>
        <v>3.9930274414812019</v>
      </c>
      <c r="U148" s="38">
        <f t="shared" si="73"/>
        <v>4.2333781330459264</v>
      </c>
      <c r="V148" s="38">
        <f t="shared" si="73"/>
        <v>4.4046868128643446</v>
      </c>
      <c r="W148" s="38">
        <f t="shared" si="73"/>
        <v>4.5248720223534455</v>
      </c>
      <c r="X148" s="43">
        <f t="shared" si="73"/>
        <v>4.6082587513944695</v>
      </c>
    </row>
    <row r="149" spans="2:24" x14ac:dyDescent="0.35">
      <c r="B149" s="63"/>
      <c r="C149" s="24">
        <v>0.3</v>
      </c>
      <c r="D149" s="42">
        <f t="shared" ref="D149:X149" si="74">(D175*$P$7) + $P$10</f>
        <v>-3.5969288262253234</v>
      </c>
      <c r="E149" s="38">
        <f t="shared" si="74"/>
        <v>-3.4964681674724387</v>
      </c>
      <c r="F149" s="38">
        <f t="shared" si="74"/>
        <v>-3.3524151838317842</v>
      </c>
      <c r="G149" s="38">
        <f t="shared" si="74"/>
        <v>-3.1485839431301601</v>
      </c>
      <c r="H149" s="38">
        <f t="shared" si="74"/>
        <v>-2.8655319206808727</v>
      </c>
      <c r="I149" s="38">
        <f t="shared" si="74"/>
        <v>-2.4825476613857766</v>
      </c>
      <c r="J149" s="38">
        <f t="shared" si="74"/>
        <v>-1.9821664767592306</v>
      </c>
      <c r="K149" s="38">
        <f t="shared" si="74"/>
        <v>-1.3574639646341997</v>
      </c>
      <c r="L149" s="38">
        <f t="shared" si="74"/>
        <v>-0.62036204160007369</v>
      </c>
      <c r="M149" s="38">
        <f t="shared" si="74"/>
        <v>0.19358417359046465</v>
      </c>
      <c r="N149" s="38">
        <f t="shared" si="74"/>
        <v>1.0291558199268809</v>
      </c>
      <c r="O149" s="38">
        <f t="shared" si="74"/>
        <v>1.8250961831620134</v>
      </c>
      <c r="P149" s="38">
        <f t="shared" si="74"/>
        <v>2.5310455942237815</v>
      </c>
      <c r="Q149" s="38">
        <f t="shared" si="74"/>
        <v>3.1186151172216996</v>
      </c>
      <c r="R149" s="38">
        <f t="shared" si="74"/>
        <v>3.5823249126242298</v>
      </c>
      <c r="S149" s="38">
        <f t="shared" si="74"/>
        <v>3.9331597128903355</v>
      </c>
      <c r="T149" s="38">
        <f t="shared" si="74"/>
        <v>4.1902109559056431</v>
      </c>
      <c r="U149" s="38">
        <f t="shared" si="74"/>
        <v>4.3741525758783855</v>
      </c>
      <c r="V149" s="38">
        <f t="shared" si="74"/>
        <v>4.5035650627697112</v>
      </c>
      <c r="W149" s="38">
        <f t="shared" si="74"/>
        <v>4.5935310446880582</v>
      </c>
      <c r="X149" s="43">
        <f t="shared" si="74"/>
        <v>4.6555555151017742</v>
      </c>
    </row>
    <row r="150" spans="2:24" x14ac:dyDescent="0.35">
      <c r="B150" s="63"/>
      <c r="C150" s="24">
        <v>0.25</v>
      </c>
      <c r="D150" s="42">
        <f t="shared" ref="D150:X150" si="75">(D176*$P$7) + $P$10</f>
        <v>-3.5202370867588169</v>
      </c>
      <c r="E150" s="38">
        <f t="shared" si="75"/>
        <v>-3.3863554461037091</v>
      </c>
      <c r="F150" s="38">
        <f t="shared" si="75"/>
        <v>-3.1963221938656048</v>
      </c>
      <c r="G150" s="38">
        <f t="shared" si="75"/>
        <v>-2.9312694541624094</v>
      </c>
      <c r="H150" s="38">
        <f t="shared" si="75"/>
        <v>-2.5704725242092388</v>
      </c>
      <c r="I150" s="38">
        <f t="shared" si="75"/>
        <v>-2.0952854041304811</v>
      </c>
      <c r="J150" s="38">
        <f t="shared" si="75"/>
        <v>-1.4959197669541271</v>
      </c>
      <c r="K150" s="38">
        <f t="shared" si="75"/>
        <v>-0.77982752644145537</v>
      </c>
      <c r="L150" s="38">
        <f t="shared" si="75"/>
        <v>2.2320623291649966E-2</v>
      </c>
      <c r="M150" s="38">
        <f t="shared" si="75"/>
        <v>0.85850703383252336</v>
      </c>
      <c r="N150" s="38">
        <f t="shared" si="75"/>
        <v>1.667300138807335</v>
      </c>
      <c r="O150" s="38">
        <f t="shared" si="75"/>
        <v>2.3948873688140835</v>
      </c>
      <c r="P150" s="38">
        <f t="shared" si="75"/>
        <v>3.0079519812520341</v>
      </c>
      <c r="Q150" s="38">
        <f t="shared" si="75"/>
        <v>3.4966648448661286</v>
      </c>
      <c r="R150" s="38">
        <f t="shared" si="75"/>
        <v>3.8693172632829778</v>
      </c>
      <c r="S150" s="38">
        <f t="shared" si="75"/>
        <v>4.1439564526994044</v>
      </c>
      <c r="T150" s="38">
        <f t="shared" si="75"/>
        <v>4.3413219886610062</v>
      </c>
      <c r="U150" s="38">
        <f t="shared" si="75"/>
        <v>4.4806002814931016</v>
      </c>
      <c r="V150" s="38">
        <f t="shared" si="75"/>
        <v>4.5776307401818102</v>
      </c>
      <c r="W150" s="38">
        <f t="shared" si="75"/>
        <v>4.6446242224333485</v>
      </c>
      <c r="X150" s="43">
        <f t="shared" si="75"/>
        <v>4.690592734851176</v>
      </c>
    </row>
    <row r="151" spans="2:24" x14ac:dyDescent="0.35">
      <c r="B151" s="63"/>
      <c r="C151" s="24">
        <v>0.2</v>
      </c>
      <c r="D151" s="42">
        <f t="shared" ref="D151:X151" si="76">(D177*$P$7) + $P$10</f>
        <v>-3.4179304924770948</v>
      </c>
      <c r="E151" s="38">
        <f t="shared" si="76"/>
        <v>-3.2408915005365229</v>
      </c>
      <c r="F151" s="38">
        <f t="shared" si="76"/>
        <v>-2.9929475869463307</v>
      </c>
      <c r="G151" s="38">
        <f t="shared" si="76"/>
        <v>-2.6535251717617312</v>
      </c>
      <c r="H151" s="38">
        <f t="shared" si="76"/>
        <v>-2.2030875052030661</v>
      </c>
      <c r="I151" s="38">
        <f t="shared" si="76"/>
        <v>-1.6293512356798754</v>
      </c>
      <c r="J151" s="38">
        <f t="shared" si="76"/>
        <v>-0.93557220501547489</v>
      </c>
      <c r="K151" s="38">
        <f t="shared" si="76"/>
        <v>-0.14746728378311502</v>
      </c>
      <c r="L151" s="38">
        <f t="shared" si="76"/>
        <v>0.68667050442947231</v>
      </c>
      <c r="M151" s="38">
        <f t="shared" si="76"/>
        <v>1.5059915771469776</v>
      </c>
      <c r="N151" s="38">
        <f t="shared" si="76"/>
        <v>2.2537969352138068</v>
      </c>
      <c r="O151" s="38">
        <f t="shared" si="76"/>
        <v>2.8919614182749371</v>
      </c>
      <c r="P151" s="38">
        <f t="shared" si="76"/>
        <v>3.4060586795092109</v>
      </c>
      <c r="Q151" s="38">
        <f t="shared" si="76"/>
        <v>3.8013172716689243</v>
      </c>
      <c r="R151" s="38">
        <f t="shared" si="76"/>
        <v>4.0944365894311812</v>
      </c>
      <c r="S151" s="38">
        <f t="shared" si="76"/>
        <v>4.3060439802171953</v>
      </c>
      <c r="T151" s="38">
        <f t="shared" si="76"/>
        <v>4.4558592989010339</v>
      </c>
      <c r="U151" s="38">
        <f t="shared" si="76"/>
        <v>4.5604695728375972</v>
      </c>
      <c r="V151" s="38">
        <f t="shared" si="76"/>
        <v>4.6328113328854492</v>
      </c>
      <c r="W151" s="38">
        <f t="shared" si="76"/>
        <v>4.6825040422833055</v>
      </c>
      <c r="X151" s="43">
        <f t="shared" si="76"/>
        <v>4.7164817821310212</v>
      </c>
    </row>
    <row r="152" spans="2:24" x14ac:dyDescent="0.35">
      <c r="B152" s="63"/>
      <c r="C152" s="24">
        <v>0.15</v>
      </c>
      <c r="D152" s="42">
        <f t="shared" ref="D152:X152" si="77">(D178*$P$7) + $P$10</f>
        <v>-3.2824676203153724</v>
      </c>
      <c r="E152" s="38">
        <f t="shared" si="77"/>
        <v>-3.0507504190361714</v>
      </c>
      <c r="F152" s="38">
        <f t="shared" si="77"/>
        <v>-2.7318541101636784</v>
      </c>
      <c r="G152" s="38">
        <f t="shared" si="77"/>
        <v>-2.3056162857693665</v>
      </c>
      <c r="H152" s="38">
        <f t="shared" si="77"/>
        <v>-1.757621092149213</v>
      </c>
      <c r="I152" s="38">
        <f t="shared" si="77"/>
        <v>-1.0872417915217545</v>
      </c>
      <c r="J152" s="38">
        <f t="shared" si="77"/>
        <v>-0.31526026511696159</v>
      </c>
      <c r="K152" s="38">
        <f t="shared" si="77"/>
        <v>0.51419141758481812</v>
      </c>
      <c r="L152" s="38">
        <f t="shared" si="77"/>
        <v>1.3415875304623506</v>
      </c>
      <c r="M152" s="38">
        <f t="shared" si="77"/>
        <v>2.107979808627221</v>
      </c>
      <c r="N152" s="38">
        <f t="shared" si="77"/>
        <v>2.7706497177639817</v>
      </c>
      <c r="O152" s="38">
        <f t="shared" si="77"/>
        <v>3.3103827024911152</v>
      </c>
      <c r="P152" s="38">
        <f t="shared" si="77"/>
        <v>3.7289808442388614</v>
      </c>
      <c r="Q152" s="38">
        <f t="shared" si="77"/>
        <v>4.0414698255329071</v>
      </c>
      <c r="R152" s="38">
        <f t="shared" si="77"/>
        <v>4.2681610587452461</v>
      </c>
      <c r="S152" s="38">
        <f t="shared" si="77"/>
        <v>4.4292170442756298</v>
      </c>
      <c r="T152" s="38">
        <f t="shared" si="77"/>
        <v>4.5419534924003226</v>
      </c>
      <c r="U152" s="38">
        <f t="shared" si="77"/>
        <v>4.6200485619601448</v>
      </c>
      <c r="V152" s="38">
        <f t="shared" si="77"/>
        <v>4.6737568208266183</v>
      </c>
      <c r="W152" s="38">
        <f t="shared" si="77"/>
        <v>4.7105100394122985</v>
      </c>
      <c r="X152" s="43">
        <f t="shared" si="77"/>
        <v>4.7355750704150772</v>
      </c>
    </row>
    <row r="153" spans="2:24" x14ac:dyDescent="0.35">
      <c r="B153" s="63"/>
      <c r="C153" s="24">
        <v>0.1</v>
      </c>
      <c r="D153" s="42">
        <f t="shared" ref="D153:X153" si="78">(D179*$P$7) + $P$10</f>
        <v>-3.1048630310473762</v>
      </c>
      <c r="E153" s="38">
        <f t="shared" si="78"/>
        <v>-2.8056201090495163</v>
      </c>
      <c r="F153" s="38">
        <f t="shared" si="78"/>
        <v>-2.4029433582944</v>
      </c>
      <c r="G153" s="38">
        <f t="shared" si="78"/>
        <v>-1.8806343570755679</v>
      </c>
      <c r="H153" s="38">
        <f t="shared" si="78"/>
        <v>-1.2345257708361101</v>
      </c>
      <c r="I153" s="38">
        <f t="shared" si="78"/>
        <v>-0.48056381400211201</v>
      </c>
      <c r="J153" s="38">
        <f t="shared" si="78"/>
        <v>0.34162317999597169</v>
      </c>
      <c r="K153" s="38">
        <f t="shared" si="78"/>
        <v>1.174541431662949</v>
      </c>
      <c r="L153" s="38">
        <f t="shared" si="78"/>
        <v>1.9576868771310969</v>
      </c>
      <c r="M153" s="38">
        <f t="shared" si="78"/>
        <v>2.64405953772278</v>
      </c>
      <c r="N153" s="38">
        <f t="shared" si="78"/>
        <v>3.2095334147284178</v>
      </c>
      <c r="O153" s="38">
        <f t="shared" si="78"/>
        <v>3.652135243363531</v>
      </c>
      <c r="P153" s="38">
        <f t="shared" si="78"/>
        <v>3.9848722142229689</v>
      </c>
      <c r="Q153" s="38">
        <f t="shared" si="78"/>
        <v>4.227509635864914</v>
      </c>
      <c r="R153" s="38">
        <f t="shared" si="78"/>
        <v>4.4005416766400067</v>
      </c>
      <c r="S153" s="38">
        <f t="shared" si="78"/>
        <v>4.5219824306484</v>
      </c>
      <c r="T153" s="38">
        <f t="shared" si="78"/>
        <v>4.6062628146571232</v>
      </c>
      <c r="U153" s="38">
        <f t="shared" si="78"/>
        <v>4.6642990021920419</v>
      </c>
      <c r="V153" s="38">
        <f t="shared" si="78"/>
        <v>4.7040487381564926</v>
      </c>
      <c r="W153" s="38">
        <f t="shared" si="78"/>
        <v>4.7311736056695057</v>
      </c>
      <c r="X153" s="43">
        <f t="shared" si="78"/>
        <v>4.7496368142271983</v>
      </c>
    </row>
    <row r="154" spans="2:24" x14ac:dyDescent="0.35">
      <c r="B154" s="63"/>
      <c r="C154" s="24">
        <v>0.05</v>
      </c>
      <c r="D154" s="42">
        <f t="shared" ref="D154:X154" si="79">(D180*$P$7) + $P$10</f>
        <v>-2.8749934156488104</v>
      </c>
      <c r="E154" s="38">
        <f t="shared" si="79"/>
        <v>-2.4951650187065164</v>
      </c>
      <c r="F154" s="38">
        <f t="shared" si="79"/>
        <v>-1.9983360763545717</v>
      </c>
      <c r="G154" s="38">
        <f t="shared" si="79"/>
        <v>-1.3771586682138448</v>
      </c>
      <c r="H154" s="38">
        <f t="shared" si="79"/>
        <v>-0.64291372013966575</v>
      </c>
      <c r="I154" s="38">
        <f t="shared" si="79"/>
        <v>0.16952034257518989</v>
      </c>
      <c r="J154" s="38">
        <f t="shared" si="79"/>
        <v>1.0053386255028429</v>
      </c>
      <c r="K154" s="38">
        <f t="shared" si="79"/>
        <v>1.8032142869288541</v>
      </c>
      <c r="L154" s="38">
        <f t="shared" si="79"/>
        <v>2.5122727329733725</v>
      </c>
      <c r="M154" s="38">
        <f t="shared" si="79"/>
        <v>3.1034309038767396</v>
      </c>
      <c r="N154" s="38">
        <f t="shared" si="79"/>
        <v>3.5706163630315317</v>
      </c>
      <c r="O154" s="38">
        <f t="shared" si="79"/>
        <v>3.9244587125482</v>
      </c>
      <c r="P154" s="38">
        <f t="shared" si="79"/>
        <v>4.1839204771537943</v>
      </c>
      <c r="Q154" s="38">
        <f t="shared" si="79"/>
        <v>4.3696945636899187</v>
      </c>
      <c r="R154" s="38">
        <f t="shared" si="79"/>
        <v>4.5004500862180556</v>
      </c>
      <c r="S154" s="38">
        <f t="shared" si="79"/>
        <v>4.5913759285195894</v>
      </c>
      <c r="T154" s="38">
        <f t="shared" si="79"/>
        <v>4.654074665403849</v>
      </c>
      <c r="U154" s="38">
        <f t="shared" si="79"/>
        <v>4.6970585881618945</v>
      </c>
      <c r="V154" s="38">
        <f t="shared" si="79"/>
        <v>4.7264094746205032</v>
      </c>
      <c r="W154" s="38">
        <f t="shared" si="79"/>
        <v>4.7463967191895762</v>
      </c>
      <c r="X154" s="43">
        <f t="shared" si="79"/>
        <v>4.7599823048620635</v>
      </c>
    </row>
    <row r="155" spans="2:24" ht="15" thickBot="1" x14ac:dyDescent="0.4">
      <c r="B155" s="64"/>
      <c r="C155" s="25">
        <v>0</v>
      </c>
      <c r="D155" s="44">
        <f t="shared" ref="D155:X155" si="80">(D181*$P$7) + $P$10</f>
        <v>-2.5823988512351566</v>
      </c>
      <c r="E155" s="45">
        <f t="shared" si="80"/>
        <v>-2.1107086097329049</v>
      </c>
      <c r="F155" s="45">
        <f t="shared" si="80"/>
        <v>-1.5149204354422743</v>
      </c>
      <c r="G155" s="45">
        <f t="shared" si="80"/>
        <v>-0.801880824804722</v>
      </c>
      <c r="H155" s="45">
        <f t="shared" si="80"/>
        <v>-1.5685072575584158E-3</v>
      </c>
      <c r="I155" s="45">
        <f t="shared" si="80"/>
        <v>0.83449108201349231</v>
      </c>
      <c r="J155" s="45">
        <f t="shared" si="80"/>
        <v>1.6449024618204224</v>
      </c>
      <c r="K155" s="45">
        <f t="shared" si="80"/>
        <v>2.3754127818110535</v>
      </c>
      <c r="L155" s="45">
        <f t="shared" si="80"/>
        <v>2.9920222663806055</v>
      </c>
      <c r="M155" s="45">
        <f t="shared" si="80"/>
        <v>3.4842714417784477</v>
      </c>
      <c r="N155" s="45">
        <f t="shared" si="80"/>
        <v>3.8600447157700928</v>
      </c>
      <c r="O155" s="45">
        <f t="shared" si="80"/>
        <v>4.1372192959884337</v>
      </c>
      <c r="P155" s="45">
        <f t="shared" si="80"/>
        <v>4.3365303305628196</v>
      </c>
      <c r="Q155" s="45">
        <f t="shared" si="80"/>
        <v>4.4772437332944293</v>
      </c>
      <c r="R155" s="45">
        <f t="shared" si="80"/>
        <v>4.5753044176552677</v>
      </c>
      <c r="S155" s="45">
        <f t="shared" si="80"/>
        <v>4.6430237971409181</v>
      </c>
      <c r="T155" s="45">
        <f t="shared" si="80"/>
        <v>4.6894972908639492</v>
      </c>
      <c r="U155" s="45">
        <f t="shared" si="80"/>
        <v>4.7212532534664504</v>
      </c>
      <c r="V155" s="45">
        <f t="shared" si="80"/>
        <v>4.7428886538536084</v>
      </c>
      <c r="W155" s="45">
        <f t="shared" si="80"/>
        <v>4.7575993053879539</v>
      </c>
      <c r="X155" s="46">
        <f t="shared" si="80"/>
        <v>4.7675879214699357</v>
      </c>
    </row>
    <row r="156" spans="2:24" x14ac:dyDescent="0.35">
      <c r="C156" s="9"/>
      <c r="D156" s="28">
        <v>0</v>
      </c>
      <c r="E156" s="26">
        <v>0.05</v>
      </c>
      <c r="F156" s="26">
        <v>0.1</v>
      </c>
      <c r="G156" s="26">
        <v>0.15</v>
      </c>
      <c r="H156" s="26">
        <v>0.2</v>
      </c>
      <c r="I156" s="26">
        <v>0.25</v>
      </c>
      <c r="J156" s="26">
        <v>0.3</v>
      </c>
      <c r="K156" s="26">
        <v>0.35</v>
      </c>
      <c r="L156" s="26">
        <v>0.4</v>
      </c>
      <c r="M156" s="26">
        <v>0.45</v>
      </c>
      <c r="N156" s="26">
        <v>0.5</v>
      </c>
      <c r="O156" s="26">
        <v>0.55000000000000004</v>
      </c>
      <c r="P156" s="26">
        <v>0.6</v>
      </c>
      <c r="Q156" s="26">
        <v>0.65</v>
      </c>
      <c r="R156" s="26">
        <v>0.7</v>
      </c>
      <c r="S156" s="26">
        <v>0.75</v>
      </c>
      <c r="T156" s="26">
        <v>0.8</v>
      </c>
      <c r="U156" s="26">
        <v>0.85</v>
      </c>
      <c r="V156" s="26">
        <v>0.9</v>
      </c>
      <c r="W156" s="26">
        <v>0.95</v>
      </c>
      <c r="X156" s="27">
        <v>1</v>
      </c>
    </row>
    <row r="157" spans="2:24" ht="21.5" thickBot="1" x14ac:dyDescent="0.55000000000000004">
      <c r="C157" s="9"/>
      <c r="D157" s="56" t="s">
        <v>64</v>
      </c>
      <c r="E157" s="57"/>
      <c r="F157" s="57"/>
      <c r="G157" s="57"/>
      <c r="H157" s="57"/>
      <c r="I157" s="57"/>
      <c r="J157" s="57"/>
      <c r="K157" s="57"/>
      <c r="L157" s="57"/>
      <c r="M157" s="57"/>
      <c r="N157" s="57"/>
      <c r="O157" s="57"/>
      <c r="P157" s="57"/>
      <c r="Q157" s="57"/>
      <c r="R157" s="57"/>
      <c r="S157" s="57"/>
      <c r="T157" s="57"/>
      <c r="U157" s="57"/>
      <c r="V157" s="57"/>
      <c r="W157" s="57"/>
      <c r="X157" s="58"/>
    </row>
    <row r="159" spans="2:24" ht="15" thickBot="1" x14ac:dyDescent="0.4"/>
    <row r="160" spans="2:24" ht="21.5" thickBot="1" x14ac:dyDescent="0.55000000000000004">
      <c r="B160" s="59" t="s">
        <v>17</v>
      </c>
      <c r="C160" s="60"/>
      <c r="D160" s="60"/>
      <c r="E160" s="60"/>
      <c r="F160" s="60"/>
      <c r="G160" s="60"/>
      <c r="H160" s="60"/>
      <c r="I160" s="60"/>
      <c r="J160" s="60"/>
      <c r="K160" s="60"/>
      <c r="L160" s="60"/>
      <c r="M160" s="60"/>
      <c r="N160" s="60"/>
      <c r="O160" s="60"/>
      <c r="P160" s="60"/>
      <c r="Q160" s="60"/>
      <c r="R160" s="60"/>
      <c r="S160" s="60"/>
      <c r="T160" s="60"/>
      <c r="U160" s="60"/>
      <c r="V160" s="60"/>
      <c r="W160" s="60"/>
      <c r="X160" s="61"/>
    </row>
    <row r="161" spans="2:24" x14ac:dyDescent="0.35">
      <c r="B161" s="62" t="s">
        <v>6</v>
      </c>
      <c r="C161" s="27">
        <v>1</v>
      </c>
      <c r="D161" s="40">
        <f>1/(1+EXP(-D187))</f>
        <v>3.4108351067415964E-4</v>
      </c>
      <c r="E161" s="39">
        <f>1/(1+EXP(-E187))</f>
        <v>5.036956424141403E-4</v>
      </c>
      <c r="F161" s="39">
        <f t="shared" ref="F161:X161" si="81">1/(1+EXP(-F187))</f>
        <v>7.437756974337399E-4</v>
      </c>
      <c r="G161" s="39">
        <f t="shared" si="81"/>
        <v>1.0981610983551713E-3</v>
      </c>
      <c r="H161" s="39">
        <f t="shared" si="81"/>
        <v>1.6211259052390397E-3</v>
      </c>
      <c r="I161" s="39">
        <f t="shared" si="81"/>
        <v>2.3925398051902408E-3</v>
      </c>
      <c r="J161" s="39">
        <f t="shared" si="81"/>
        <v>3.5297337599769696E-3</v>
      </c>
      <c r="K161" s="39">
        <f t="shared" si="81"/>
        <v>5.2046254666732097E-3</v>
      </c>
      <c r="L161" s="39">
        <f t="shared" si="81"/>
        <v>7.6681530990504489E-3</v>
      </c>
      <c r="M161" s="39">
        <f t="shared" si="81"/>
        <v>1.1284525388572636E-2</v>
      </c>
      <c r="N161" s="39">
        <f t="shared" si="81"/>
        <v>1.657792009810748E-2</v>
      </c>
      <c r="O161" s="39">
        <f t="shared" si="81"/>
        <v>2.4293353583900081E-2</v>
      </c>
      <c r="P161" s="39">
        <f t="shared" si="81"/>
        <v>3.5470069343322391E-2</v>
      </c>
      <c r="Q161" s="39">
        <f t="shared" si="81"/>
        <v>5.1517386569335771E-2</v>
      </c>
      <c r="R161" s="39">
        <f t="shared" si="81"/>
        <v>7.4265802329763736E-2</v>
      </c>
      <c r="S161" s="39">
        <f t="shared" si="81"/>
        <v>0.10593724925047188</v>
      </c>
      <c r="T161" s="39">
        <f t="shared" si="81"/>
        <v>0.14894223014541183</v>
      </c>
      <c r="U161" s="39">
        <f t="shared" si="81"/>
        <v>0.20539438304728933</v>
      </c>
      <c r="V161" s="39">
        <f t="shared" si="81"/>
        <v>0.27629665754153593</v>
      </c>
      <c r="W161" s="39">
        <f t="shared" si="81"/>
        <v>0.36056819054198413</v>
      </c>
      <c r="X161" s="41">
        <f t="shared" si="81"/>
        <v>0.45440418611332722</v>
      </c>
    </row>
    <row r="162" spans="2:24" x14ac:dyDescent="0.35">
      <c r="B162" s="63"/>
      <c r="C162" s="24">
        <v>0.95</v>
      </c>
      <c r="D162" s="42">
        <f>1/(1+EXP(-D188))</f>
        <v>4.6487141826718407E-4</v>
      </c>
      <c r="E162" s="38">
        <f t="shared" ref="E162:X162" si="82">1/(1+EXP(-E188))</f>
        <v>6.8645911514688416E-4</v>
      </c>
      <c r="F162" s="38">
        <f t="shared" si="82"/>
        <v>1.0135626929439318E-3</v>
      </c>
      <c r="G162" s="38">
        <f t="shared" si="82"/>
        <v>1.4963005087906603E-3</v>
      </c>
      <c r="H162" s="38">
        <f t="shared" si="82"/>
        <v>2.2084475471475032E-3</v>
      </c>
      <c r="I162" s="38">
        <f t="shared" si="82"/>
        <v>3.2584267273022098E-3</v>
      </c>
      <c r="J162" s="38">
        <f t="shared" si="82"/>
        <v>4.8052015095987289E-3</v>
      </c>
      <c r="K162" s="38">
        <f t="shared" si="82"/>
        <v>7.081013840059225E-3</v>
      </c>
      <c r="L162" s="38">
        <f t="shared" si="82"/>
        <v>1.0423394341150942E-2</v>
      </c>
      <c r="M162" s="38">
        <f t="shared" si="82"/>
        <v>1.5319104591752751E-2</v>
      </c>
      <c r="N162" s="38">
        <f t="shared" si="82"/>
        <v>2.2462061480348239E-2</v>
      </c>
      <c r="O162" s="38">
        <f t="shared" si="82"/>
        <v>3.2824593426795175E-2</v>
      </c>
      <c r="P162" s="38">
        <f t="shared" si="82"/>
        <v>4.7734280622553533E-2</v>
      </c>
      <c r="Q162" s="38">
        <f t="shared" si="82"/>
        <v>6.8933606899555147E-2</v>
      </c>
      <c r="R162" s="38">
        <f t="shared" si="82"/>
        <v>9.8573217039200675E-2</v>
      </c>
      <c r="S162" s="38">
        <f t="shared" si="82"/>
        <v>0.13905372984101699</v>
      </c>
      <c r="T162" s="38">
        <f t="shared" si="82"/>
        <v>0.19260615036927226</v>
      </c>
      <c r="U162" s="38">
        <f t="shared" si="82"/>
        <v>0.26054138077562106</v>
      </c>
      <c r="V162" s="38">
        <f t="shared" si="82"/>
        <v>0.3422802490283165</v>
      </c>
      <c r="W162" s="38">
        <f t="shared" si="82"/>
        <v>0.43459160270884933</v>
      </c>
      <c r="X162" s="43">
        <f t="shared" si="82"/>
        <v>0.5316740247698396</v>
      </c>
    </row>
    <row r="163" spans="2:24" x14ac:dyDescent="0.35">
      <c r="B163" s="63"/>
      <c r="C163" s="24">
        <v>0.9</v>
      </c>
      <c r="D163" s="42">
        <f t="shared" ref="D163:X163" si="83">1/(1+EXP(-D189))</f>
        <v>6.3355664280315984E-4</v>
      </c>
      <c r="E163" s="38">
        <f t="shared" si="83"/>
        <v>9.3547534292715809E-4</v>
      </c>
      <c r="F163" s="38">
        <f t="shared" si="83"/>
        <v>1.3810732722258565E-3</v>
      </c>
      <c r="G163" s="38">
        <f t="shared" si="83"/>
        <v>2.0384911916007226E-3</v>
      </c>
      <c r="H163" s="38">
        <f t="shared" si="83"/>
        <v>3.0079103043235719E-3</v>
      </c>
      <c r="I163" s="38">
        <f t="shared" si="83"/>
        <v>4.4362942595237301E-3</v>
      </c>
      <c r="J163" s="38">
        <f t="shared" si="83"/>
        <v>6.5385347543329168E-3</v>
      </c>
      <c r="K163" s="38">
        <f t="shared" si="83"/>
        <v>9.6273370167866031E-3</v>
      </c>
      <c r="L163" s="38">
        <f t="shared" si="83"/>
        <v>1.4154499270703643E-2</v>
      </c>
      <c r="M163" s="38">
        <f t="shared" si="83"/>
        <v>2.0765878583890663E-2</v>
      </c>
      <c r="N163" s="38">
        <f t="shared" si="83"/>
        <v>3.0370213253862771E-2</v>
      </c>
      <c r="O163" s="38">
        <f t="shared" si="83"/>
        <v>4.4216030966029787E-2</v>
      </c>
      <c r="P163" s="38">
        <f t="shared" si="83"/>
        <v>6.3957806405130643E-2</v>
      </c>
      <c r="Q163" s="38">
        <f t="shared" si="83"/>
        <v>9.1668596919590381E-2</v>
      </c>
      <c r="R163" s="38">
        <f t="shared" si="83"/>
        <v>0.12972167375486018</v>
      </c>
      <c r="S163" s="38">
        <f t="shared" si="83"/>
        <v>0.18043333694149602</v>
      </c>
      <c r="T163" s="38">
        <f t="shared" si="83"/>
        <v>0.24537990036744584</v>
      </c>
      <c r="U163" s="38">
        <f t="shared" si="83"/>
        <v>0.32444922160128353</v>
      </c>
      <c r="V163" s="38">
        <f t="shared" si="83"/>
        <v>0.41498581680344565</v>
      </c>
      <c r="W163" s="38">
        <f t="shared" si="83"/>
        <v>0.51165183692237237</v>
      </c>
      <c r="X163" s="43">
        <f t="shared" si="83"/>
        <v>0.60745414276563914</v>
      </c>
    </row>
    <row r="164" spans="2:24" x14ac:dyDescent="0.35">
      <c r="B164" s="63"/>
      <c r="C164" s="24">
        <v>0.85</v>
      </c>
      <c r="D164" s="42">
        <f t="shared" ref="D164:X164" si="84">1/(1+EXP(-D190))</f>
        <v>8.6339883392027987E-4</v>
      </c>
      <c r="E164" s="38">
        <f t="shared" si="84"/>
        <v>1.2747081364912487E-3</v>
      </c>
      <c r="F164" s="38">
        <f t="shared" si="84"/>
        <v>1.8815895687833417E-3</v>
      </c>
      <c r="G164" s="38">
        <f t="shared" si="84"/>
        <v>2.7766005901458416E-3</v>
      </c>
      <c r="H164" s="38">
        <f t="shared" si="84"/>
        <v>4.095592379813614E-3</v>
      </c>
      <c r="I164" s="38">
        <f t="shared" si="84"/>
        <v>6.037362492460693E-3</v>
      </c>
      <c r="J164" s="38">
        <f t="shared" si="84"/>
        <v>8.891530054767123E-3</v>
      </c>
      <c r="K164" s="38">
        <f t="shared" si="84"/>
        <v>1.3077254986582132E-2</v>
      </c>
      <c r="L164" s="38">
        <f t="shared" si="84"/>
        <v>1.9195264837117792E-2</v>
      </c>
      <c r="M164" s="38">
        <f t="shared" si="84"/>
        <v>2.8094022658788589E-2</v>
      </c>
      <c r="N164" s="38">
        <f t="shared" si="84"/>
        <v>4.0945943475001953E-2</v>
      </c>
      <c r="O164" s="38">
        <f t="shared" si="84"/>
        <v>5.9318289190919381E-2</v>
      </c>
      <c r="P164" s="38">
        <f t="shared" si="84"/>
        <v>8.5201902083726161E-2</v>
      </c>
      <c r="Q164" s="38">
        <f t="shared" si="84"/>
        <v>0.12092793513266958</v>
      </c>
      <c r="R164" s="38">
        <f t="shared" si="84"/>
        <v>0.16886894449843154</v>
      </c>
      <c r="S164" s="38">
        <f t="shared" si="84"/>
        <v>0.23082529244071909</v>
      </c>
      <c r="T164" s="38">
        <f t="shared" si="84"/>
        <v>0.30711335906352644</v>
      </c>
      <c r="U164" s="38">
        <f t="shared" si="84"/>
        <v>0.39564559383650477</v>
      </c>
      <c r="V164" s="38">
        <f t="shared" si="84"/>
        <v>0.49159219016715888</v>
      </c>
      <c r="W164" s="38">
        <f t="shared" si="84"/>
        <v>0.58816218747711857</v>
      </c>
      <c r="X164" s="43">
        <f t="shared" si="84"/>
        <v>0.67838955258474576</v>
      </c>
    </row>
    <row r="165" spans="2:24" x14ac:dyDescent="0.35">
      <c r="B165" s="63"/>
      <c r="C165" s="24">
        <v>0.8</v>
      </c>
      <c r="D165" s="42">
        <f t="shared" ref="D165:X165" si="85">1/(1+EXP(-D191))</f>
        <v>1.1765251973506318E-3</v>
      </c>
      <c r="E165" s="38">
        <f t="shared" si="85"/>
        <v>1.7367435666374241E-3</v>
      </c>
      <c r="F165" s="38">
        <f t="shared" si="85"/>
        <v>2.5630329732243442E-3</v>
      </c>
      <c r="G165" s="38">
        <f t="shared" si="85"/>
        <v>3.780956609193488E-3</v>
      </c>
      <c r="H165" s="38">
        <f t="shared" si="85"/>
        <v>5.5743890458848974E-3</v>
      </c>
      <c r="I165" s="38">
        <f t="shared" si="85"/>
        <v>8.2114937452992913E-3</v>
      </c>
      <c r="J165" s="38">
        <f t="shared" si="85"/>
        <v>1.2080990925711648E-2</v>
      </c>
      <c r="K165" s="38">
        <f t="shared" si="85"/>
        <v>1.7741291219049132E-2</v>
      </c>
      <c r="L165" s="38">
        <f t="shared" si="85"/>
        <v>2.5983856697274297E-2</v>
      </c>
      <c r="M165" s="38">
        <f t="shared" si="85"/>
        <v>3.7908109979833203E-2</v>
      </c>
      <c r="N165" s="38">
        <f t="shared" si="85"/>
        <v>5.4995550329344119E-2</v>
      </c>
      <c r="O165" s="38">
        <f t="shared" si="85"/>
        <v>7.9151643484731346E-2</v>
      </c>
      <c r="P165" s="38">
        <f t="shared" si="85"/>
        <v>0.11265315281312269</v>
      </c>
      <c r="Q165" s="38">
        <f t="shared" si="85"/>
        <v>0.15790293871377156</v>
      </c>
      <c r="R165" s="38">
        <f t="shared" si="85"/>
        <v>0.21688586330637225</v>
      </c>
      <c r="S165" s="38">
        <f t="shared" si="85"/>
        <v>0.29030572674520144</v>
      </c>
      <c r="T165" s="38">
        <f t="shared" si="85"/>
        <v>0.37662643772913762</v>
      </c>
      <c r="U165" s="38">
        <f t="shared" si="85"/>
        <v>0.47155958028752354</v>
      </c>
      <c r="V165" s="38">
        <f t="shared" si="85"/>
        <v>0.56859545313121629</v>
      </c>
      <c r="W165" s="38">
        <f t="shared" si="85"/>
        <v>0.6606361647636424</v>
      </c>
      <c r="X165" s="43">
        <f t="shared" si="85"/>
        <v>0.74195182069912724</v>
      </c>
    </row>
    <row r="166" spans="2:24" x14ac:dyDescent="0.35">
      <c r="B166" s="63"/>
      <c r="C166" s="24">
        <v>0.75</v>
      </c>
      <c r="D166" s="42">
        <f t="shared" ref="D166:X166" si="86">1/(1+EXP(-D192))</f>
        <v>1.6030299969468013E-3</v>
      </c>
      <c r="E166" s="38">
        <f t="shared" si="86"/>
        <v>2.3658533515608757E-3</v>
      </c>
      <c r="F166" s="38">
        <f t="shared" si="86"/>
        <v>3.4904073937776095E-3</v>
      </c>
      <c r="G166" s="38">
        <f t="shared" si="86"/>
        <v>5.1467347536500703E-3</v>
      </c>
      <c r="H166" s="38">
        <f t="shared" si="86"/>
        <v>7.5830696030391078E-3</v>
      </c>
      <c r="I166" s="38">
        <f t="shared" si="86"/>
        <v>1.1159766983856989E-2</v>
      </c>
      <c r="J166" s="38">
        <f t="shared" si="86"/>
        <v>1.6395609931865101E-2</v>
      </c>
      <c r="K166" s="38">
        <f t="shared" si="86"/>
        <v>2.4028268618752981E-2</v>
      </c>
      <c r="L166" s="38">
        <f t="shared" si="86"/>
        <v>3.5087411696613072E-2</v>
      </c>
      <c r="M166" s="38">
        <f t="shared" si="86"/>
        <v>5.0970756138307934E-2</v>
      </c>
      <c r="N166" s="38">
        <f t="shared" si="86"/>
        <v>7.3496501275634493E-2</v>
      </c>
      <c r="O166" s="38">
        <f t="shared" si="86"/>
        <v>0.1048770395447593</v>
      </c>
      <c r="P166" s="38">
        <f t="shared" si="86"/>
        <v>0.1475226461656283</v>
      </c>
      <c r="Q166" s="38">
        <f t="shared" si="86"/>
        <v>0.20356544479235464</v>
      </c>
      <c r="R166" s="38">
        <f t="shared" si="86"/>
        <v>0.27405411720119216</v>
      </c>
      <c r="S166" s="38">
        <f t="shared" si="86"/>
        <v>0.3579799993510368</v>
      </c>
      <c r="T166" s="38">
        <f t="shared" si="86"/>
        <v>0.451618156184043</v>
      </c>
      <c r="U166" s="38">
        <f t="shared" si="86"/>
        <v>0.54881222132156848</v>
      </c>
      <c r="V166" s="38">
        <f t="shared" si="86"/>
        <v>0.64241933048533273</v>
      </c>
      <c r="W166" s="38">
        <f t="shared" si="86"/>
        <v>0.72629150504820417</v>
      </c>
      <c r="X166" s="43">
        <f t="shared" si="86"/>
        <v>0.79671617429665009</v>
      </c>
    </row>
    <row r="167" spans="2:24" x14ac:dyDescent="0.35">
      <c r="B167" s="63"/>
      <c r="C167" s="24">
        <v>0.7</v>
      </c>
      <c r="D167" s="42">
        <f t="shared" ref="D167:X167" si="87">1/(1+EXP(-D193))</f>
        <v>2.1838099686139977E-3</v>
      </c>
      <c r="E167" s="38">
        <f t="shared" si="87"/>
        <v>3.2221133417592793E-3</v>
      </c>
      <c r="F167" s="38">
        <f t="shared" si="87"/>
        <v>4.751732342172914E-3</v>
      </c>
      <c r="G167" s="38">
        <f t="shared" si="87"/>
        <v>7.0023990916268809E-3</v>
      </c>
      <c r="H167" s="38">
        <f t="shared" si="87"/>
        <v>1.0308057091837771E-2</v>
      </c>
      <c r="I167" s="38">
        <f t="shared" si="87"/>
        <v>1.5150424561624493E-2</v>
      </c>
      <c r="J167" s="38">
        <f t="shared" si="87"/>
        <v>2.2216504264549415E-2</v>
      </c>
      <c r="K167" s="38">
        <f t="shared" si="87"/>
        <v>3.2469514907811074E-2</v>
      </c>
      <c r="L167" s="38">
        <f t="shared" si="87"/>
        <v>4.7225792561640549E-2</v>
      </c>
      <c r="M167" s="38">
        <f t="shared" si="87"/>
        <v>6.8215470590480942E-2</v>
      </c>
      <c r="N167" s="38">
        <f t="shared" si="87"/>
        <v>9.7578662342631337E-2</v>
      </c>
      <c r="O167" s="38">
        <f t="shared" si="87"/>
        <v>0.13771314348382824</v>
      </c>
      <c r="P167" s="38">
        <f t="shared" si="87"/>
        <v>0.19086373294607065</v>
      </c>
      <c r="Q167" s="38">
        <f t="shared" si="87"/>
        <v>0.25838106165959601</v>
      </c>
      <c r="R167" s="38">
        <f t="shared" si="87"/>
        <v>0.33975358044360282</v>
      </c>
      <c r="S167" s="38">
        <f t="shared" si="87"/>
        <v>0.43183090200253604</v>
      </c>
      <c r="T167" s="38">
        <f t="shared" si="87"/>
        <v>0.52887347441095434</v>
      </c>
      <c r="U167" s="38">
        <f t="shared" si="87"/>
        <v>0.62378150358657658</v>
      </c>
      <c r="V167" s="38">
        <f t="shared" si="87"/>
        <v>0.71005220505142619</v>
      </c>
      <c r="W167" s="38">
        <f t="shared" si="87"/>
        <v>0.7834091722064741</v>
      </c>
      <c r="X167" s="43">
        <f t="shared" si="87"/>
        <v>0.84232801548113689</v>
      </c>
    </row>
    <row r="168" spans="2:24" x14ac:dyDescent="0.35">
      <c r="B168" s="63"/>
      <c r="C168" s="24">
        <v>0.65</v>
      </c>
      <c r="D168" s="42">
        <f t="shared" ref="D168:X168" si="88">1/(1+EXP(-D194))</f>
        <v>2.9743804562117984E-3</v>
      </c>
      <c r="E168" s="38">
        <f t="shared" si="88"/>
        <v>4.3869119577808324E-3</v>
      </c>
      <c r="F168" s="38">
        <f t="shared" si="88"/>
        <v>6.4659034908693663E-3</v>
      </c>
      <c r="G168" s="38">
        <f t="shared" si="88"/>
        <v>9.5207235771792437E-3</v>
      </c>
      <c r="H168" s="38">
        <f t="shared" si="88"/>
        <v>1.3998460510873383E-2</v>
      </c>
      <c r="I168" s="38">
        <f t="shared" si="88"/>
        <v>2.0538474595227996E-2</v>
      </c>
      <c r="J168" s="38">
        <f t="shared" si="88"/>
        <v>3.0040860220483395E-2</v>
      </c>
      <c r="K168" s="38">
        <f t="shared" si="88"/>
        <v>4.3743299366367248E-2</v>
      </c>
      <c r="L168" s="38">
        <f t="shared" si="88"/>
        <v>6.3287983432542536E-2</v>
      </c>
      <c r="M168" s="38">
        <f t="shared" si="88"/>
        <v>9.0736694078518199E-2</v>
      </c>
      <c r="N168" s="38">
        <f t="shared" si="88"/>
        <v>0.128457631958726</v>
      </c>
      <c r="O168" s="38">
        <f t="shared" si="88"/>
        <v>0.17877665761477096</v>
      </c>
      <c r="P168" s="38">
        <f t="shared" si="88"/>
        <v>0.24330393143473761</v>
      </c>
      <c r="Q168" s="38">
        <f t="shared" si="88"/>
        <v>0.32198974107464023</v>
      </c>
      <c r="R168" s="38">
        <f t="shared" si="88"/>
        <v>0.41225885070861695</v>
      </c>
      <c r="S168" s="38">
        <f t="shared" si="88"/>
        <v>0.50884216246849212</v>
      </c>
      <c r="T168" s="38">
        <f t="shared" si="88"/>
        <v>0.60476988689606725</v>
      </c>
      <c r="U168" s="38">
        <f t="shared" si="88"/>
        <v>0.69325633881142934</v>
      </c>
      <c r="V168" s="38">
        <f t="shared" si="88"/>
        <v>0.76948312355235593</v>
      </c>
      <c r="W168" s="38">
        <f t="shared" si="88"/>
        <v>0.83137483717924721</v>
      </c>
      <c r="X168" s="43">
        <f t="shared" si="88"/>
        <v>0.87925669250665095</v>
      </c>
    </row>
    <row r="169" spans="2:24" x14ac:dyDescent="0.35">
      <c r="B169" s="63"/>
      <c r="C169" s="24">
        <v>0.6</v>
      </c>
      <c r="D169" s="42">
        <f t="shared" ref="D169:X169" si="89">1/(1+EXP(-D195))</f>
        <v>4.0499871493887224E-3</v>
      </c>
      <c r="E169" s="38">
        <f t="shared" si="89"/>
        <v>5.9702648880452713E-3</v>
      </c>
      <c r="F169" s="38">
        <f t="shared" si="89"/>
        <v>8.7929926202412363E-3</v>
      </c>
      <c r="G169" s="38">
        <f t="shared" si="89"/>
        <v>1.2932935943931904E-2</v>
      </c>
      <c r="H169" s="38">
        <f t="shared" si="89"/>
        <v>1.898472694825239E-2</v>
      </c>
      <c r="I169" s="38">
        <f t="shared" si="89"/>
        <v>2.7788646587637647E-2</v>
      </c>
      <c r="J169" s="38">
        <f t="shared" si="89"/>
        <v>4.0506692009435789E-2</v>
      </c>
      <c r="K169" s="38">
        <f t="shared" si="89"/>
        <v>5.8694008609047277E-2</v>
      </c>
      <c r="L169" s="38">
        <f t="shared" si="89"/>
        <v>8.432963630364497E-2</v>
      </c>
      <c r="M169" s="38">
        <f t="shared" si="89"/>
        <v>0.11973779231374819</v>
      </c>
      <c r="N169" s="38">
        <f t="shared" si="89"/>
        <v>0.16729677117082623</v>
      </c>
      <c r="O169" s="38">
        <f t="shared" si="89"/>
        <v>0.22883511854835556</v>
      </c>
      <c r="P169" s="38">
        <f t="shared" si="89"/>
        <v>0.30472601466638854</v>
      </c>
      <c r="Q169" s="38">
        <f t="shared" si="89"/>
        <v>0.39296034968666033</v>
      </c>
      <c r="R169" s="38">
        <f t="shared" si="89"/>
        <v>0.48878241775983766</v>
      </c>
      <c r="S169" s="38">
        <f t="shared" si="89"/>
        <v>0.58543604199044663</v>
      </c>
      <c r="T169" s="38">
        <f t="shared" si="89"/>
        <v>0.6759315844786864</v>
      </c>
      <c r="U169" s="38">
        <f t="shared" si="89"/>
        <v>0.75494176687487702</v>
      </c>
      <c r="V169" s="38">
        <f t="shared" si="89"/>
        <v>0.81982352014473781</v>
      </c>
      <c r="W169" s="38">
        <f t="shared" si="89"/>
        <v>0.87047440157060818</v>
      </c>
      <c r="X169" s="43">
        <f t="shared" si="89"/>
        <v>0.90847600979001775</v>
      </c>
    </row>
    <row r="170" spans="2:24" x14ac:dyDescent="0.35">
      <c r="B170" s="63"/>
      <c r="C170" s="24">
        <v>0.55000000000000004</v>
      </c>
      <c r="D170" s="42">
        <f t="shared" ref="D170:X170" si="90">1/(1+EXP(-D196))</f>
        <v>5.5124082668034022E-3</v>
      </c>
      <c r="E170" s="38">
        <f t="shared" si="90"/>
        <v>8.1204308409191638E-3</v>
      </c>
      <c r="F170" s="38">
        <f t="shared" si="90"/>
        <v>1.1947533436101441E-2</v>
      </c>
      <c r="G170" s="38">
        <f t="shared" si="90"/>
        <v>1.7546415534914036E-2</v>
      </c>
      <c r="H170" s="38">
        <f t="shared" si="90"/>
        <v>2.5700811141685442E-2</v>
      </c>
      <c r="I170" s="38">
        <f t="shared" si="90"/>
        <v>3.750017290382663E-2</v>
      </c>
      <c r="J170" s="38">
        <f t="shared" si="90"/>
        <v>5.4414131741562462E-2</v>
      </c>
      <c r="K170" s="38">
        <f t="shared" si="90"/>
        <v>7.8336013954497741E-2</v>
      </c>
      <c r="L170" s="38">
        <f t="shared" si="90"/>
        <v>0.11153411569141652</v>
      </c>
      <c r="M170" s="38">
        <f t="shared" si="90"/>
        <v>0.15641364572389146</v>
      </c>
      <c r="N170" s="38">
        <f t="shared" si="90"/>
        <v>0.21498228349512796</v>
      </c>
      <c r="O170" s="38">
        <f t="shared" si="90"/>
        <v>0.28799473072639931</v>
      </c>
      <c r="P170" s="38">
        <f t="shared" si="90"/>
        <v>0.37399039658400313</v>
      </c>
      <c r="Q170" s="38">
        <f t="shared" si="90"/>
        <v>0.46875873732632756</v>
      </c>
      <c r="R170" s="38">
        <f t="shared" si="90"/>
        <v>0.56583539528853433</v>
      </c>
      <c r="S170" s="38">
        <f t="shared" si="90"/>
        <v>0.65811089374966336</v>
      </c>
      <c r="T170" s="38">
        <f t="shared" si="90"/>
        <v>0.73979330827598078</v>
      </c>
      <c r="U170" s="38">
        <f t="shared" si="90"/>
        <v>0.80766396870742474</v>
      </c>
      <c r="V170" s="38">
        <f t="shared" si="90"/>
        <v>0.86115420054681513</v>
      </c>
      <c r="W170" s="38">
        <f t="shared" si="90"/>
        <v>0.90158110150830506</v>
      </c>
      <c r="X170" s="43">
        <f t="shared" si="90"/>
        <v>0.93117785284366938</v>
      </c>
    </row>
    <row r="171" spans="2:24" x14ac:dyDescent="0.35">
      <c r="B171" s="63"/>
      <c r="C171" s="24">
        <v>0.5</v>
      </c>
      <c r="D171" s="42">
        <f t="shared" ref="D171:X171" si="91">1/(1+EXP(-D197))</f>
        <v>7.4989230334943759E-3</v>
      </c>
      <c r="E171" s="38">
        <f t="shared" si="91"/>
        <v>1.1036372475369753E-2</v>
      </c>
      <c r="F171" s="38">
        <f t="shared" si="91"/>
        <v>1.621527160312462E-2</v>
      </c>
      <c r="G171" s="38">
        <f t="shared" si="91"/>
        <v>2.3766005759635701E-2</v>
      </c>
      <c r="H171" s="38">
        <f t="shared" si="91"/>
        <v>3.4708733678003527E-2</v>
      </c>
      <c r="I171" s="38">
        <f t="shared" si="91"/>
        <v>5.0429617401896103E-2</v>
      </c>
      <c r="J171" s="38">
        <f t="shared" si="91"/>
        <v>7.2734543099726934E-2</v>
      </c>
      <c r="K171" s="38">
        <f t="shared" si="91"/>
        <v>0.1038262081357144</v>
      </c>
      <c r="L171" s="38">
        <f t="shared" si="91"/>
        <v>0.14611426944969547</v>
      </c>
      <c r="M171" s="38">
        <f t="shared" si="91"/>
        <v>0.20174865741979725</v>
      </c>
      <c r="N171" s="38">
        <f t="shared" si="91"/>
        <v>0.27182294181855532</v>
      </c>
      <c r="O171" s="38">
        <f t="shared" si="91"/>
        <v>0.35540006051599649</v>
      </c>
      <c r="P171" s="38">
        <f t="shared" si="91"/>
        <v>0.44883515565751408</v>
      </c>
      <c r="Q171" s="38">
        <f t="shared" si="91"/>
        <v>0.546026648471994</v>
      </c>
      <c r="R171" s="38">
        <f t="shared" si="91"/>
        <v>0.63983240677855246</v>
      </c>
      <c r="S171" s="38">
        <f t="shared" si="91"/>
        <v>0.72405071782369368</v>
      </c>
      <c r="T171" s="38">
        <f t="shared" si="91"/>
        <v>0.79488911463274237</v>
      </c>
      <c r="U171" s="38">
        <f t="shared" si="91"/>
        <v>0.85127793249474948</v>
      </c>
      <c r="V171" s="38">
        <f t="shared" si="91"/>
        <v>0.89422724509988416</v>
      </c>
      <c r="W171" s="38">
        <f t="shared" si="91"/>
        <v>0.92585359251912358</v>
      </c>
      <c r="X171" s="43">
        <f t="shared" si="91"/>
        <v>0.94856746823698401</v>
      </c>
    </row>
    <row r="172" spans="2:24" x14ac:dyDescent="0.35">
      <c r="B172" s="63"/>
      <c r="C172" s="24">
        <v>0.45</v>
      </c>
      <c r="D172" s="42">
        <f t="shared" ref="D172:X172" si="92">1/(1+EXP(-D198))</f>
        <v>1.019398292871009E-2</v>
      </c>
      <c r="E172" s="38">
        <f t="shared" si="92"/>
        <v>1.4983573619674014E-2</v>
      </c>
      <c r="F172" s="38">
        <f t="shared" si="92"/>
        <v>2.1973571159224835E-2</v>
      </c>
      <c r="G172" s="38">
        <f t="shared" si="92"/>
        <v>3.2118149880071868E-2</v>
      </c>
      <c r="H172" s="38">
        <f t="shared" si="92"/>
        <v>4.6722455389746002E-2</v>
      </c>
      <c r="I172" s="38">
        <f t="shared" si="92"/>
        <v>6.7504273262433884E-2</v>
      </c>
      <c r="J172" s="38">
        <f t="shared" si="92"/>
        <v>9.659306694687908E-2</v>
      </c>
      <c r="K172" s="38">
        <f t="shared" si="92"/>
        <v>0.1363834340721792</v>
      </c>
      <c r="L172" s="38">
        <f t="shared" si="92"/>
        <v>0.18913338588494003</v>
      </c>
      <c r="M172" s="38">
        <f t="shared" si="92"/>
        <v>0.25623244819745017</v>
      </c>
      <c r="N172" s="38">
        <f t="shared" si="92"/>
        <v>0.337236000100266</v>
      </c>
      <c r="O172" s="38">
        <f t="shared" si="92"/>
        <v>0.4290744299209106</v>
      </c>
      <c r="P172" s="38">
        <f t="shared" si="92"/>
        <v>0.5260711051536453</v>
      </c>
      <c r="Q172" s="38">
        <f t="shared" si="92"/>
        <v>0.62113926226561433</v>
      </c>
      <c r="R172" s="38">
        <f t="shared" si="92"/>
        <v>0.70773197002184263</v>
      </c>
      <c r="S172" s="38">
        <f t="shared" si="92"/>
        <v>0.78149531384436</v>
      </c>
      <c r="T172" s="38">
        <f t="shared" si="92"/>
        <v>0.8408290018863438</v>
      </c>
      <c r="U172" s="38">
        <f t="shared" si="92"/>
        <v>0.88639314793260005</v>
      </c>
      <c r="V172" s="38">
        <f t="shared" si="92"/>
        <v>0.92015275331896029</v>
      </c>
      <c r="W172" s="38">
        <f t="shared" si="92"/>
        <v>0.94450834301570019</v>
      </c>
      <c r="X172" s="43">
        <f t="shared" si="92"/>
        <v>0.96174368648339847</v>
      </c>
    </row>
    <row r="173" spans="2:24" x14ac:dyDescent="0.35">
      <c r="B173" s="63"/>
      <c r="C173" s="24">
        <v>0.4</v>
      </c>
      <c r="D173" s="42">
        <f t="shared" ref="D173:X173" si="93">1/(1+EXP(-D199))</f>
        <v>1.3844117761375249E-2</v>
      </c>
      <c r="E173" s="38">
        <f t="shared" si="93"/>
        <v>2.0313509214381114E-2</v>
      </c>
      <c r="F173" s="38">
        <f t="shared" si="93"/>
        <v>2.9714969434056035E-2</v>
      </c>
      <c r="G173" s="38">
        <f t="shared" si="93"/>
        <v>4.32753930934218E-2</v>
      </c>
      <c r="H173" s="38">
        <f t="shared" si="93"/>
        <v>6.2624706112880929E-2</v>
      </c>
      <c r="I173" s="38">
        <f t="shared" si="93"/>
        <v>8.9813328224691485E-2</v>
      </c>
      <c r="J173" s="38">
        <f t="shared" si="93"/>
        <v>0.12720410698041906</v>
      </c>
      <c r="K173" s="38">
        <f t="shared" si="93"/>
        <v>0.17713190181868377</v>
      </c>
      <c r="L173" s="38">
        <f t="shared" si="93"/>
        <v>0.24123991100375491</v>
      </c>
      <c r="M173" s="38">
        <f t="shared" si="93"/>
        <v>0.31954008583133503</v>
      </c>
      <c r="N173" s="38">
        <f t="shared" si="93"/>
        <v>0.40953725963075116</v>
      </c>
      <c r="O173" s="38">
        <f t="shared" si="93"/>
        <v>0.50603192930946195</v>
      </c>
      <c r="P173" s="38">
        <f t="shared" si="93"/>
        <v>0.6020792996626142</v>
      </c>
      <c r="Q173" s="38">
        <f t="shared" si="93"/>
        <v>0.69086021565954914</v>
      </c>
      <c r="R173" s="38">
        <f t="shared" si="93"/>
        <v>0.76748273346147255</v>
      </c>
      <c r="S173" s="38">
        <f t="shared" si="93"/>
        <v>0.82979273195964975</v>
      </c>
      <c r="T173" s="38">
        <f t="shared" si="93"/>
        <v>0.87805793980961777</v>
      </c>
      <c r="U173" s="38">
        <f t="shared" si="93"/>
        <v>0.91405428625666629</v>
      </c>
      <c r="V173" s="38">
        <f t="shared" si="93"/>
        <v>0.94014907906767009</v>
      </c>
      <c r="W173" s="38">
        <f t="shared" si="93"/>
        <v>0.95867914752540939</v>
      </c>
      <c r="X173" s="43">
        <f t="shared" si="93"/>
        <v>0.97164526393207751</v>
      </c>
    </row>
    <row r="174" spans="2:24" x14ac:dyDescent="0.35">
      <c r="B174" s="63"/>
      <c r="C174" s="24">
        <v>0.35</v>
      </c>
      <c r="D174" s="42">
        <f t="shared" ref="D174:X174" si="94">1/(1+EXP(-D200))</f>
        <v>1.8776454077631698E-2</v>
      </c>
      <c r="E174" s="38">
        <f t="shared" si="94"/>
        <v>2.7486496014377675E-2</v>
      </c>
      <c r="F174" s="38">
        <f t="shared" si="94"/>
        <v>4.0071955770170566E-2</v>
      </c>
      <c r="G174" s="38">
        <f t="shared" si="94"/>
        <v>5.8075892488351648E-2</v>
      </c>
      <c r="H174" s="38">
        <f t="shared" si="94"/>
        <v>8.3465485699588643E-2</v>
      </c>
      <c r="I174" s="38">
        <f t="shared" si="94"/>
        <v>0.11855778287692195</v>
      </c>
      <c r="J174" s="38">
        <f t="shared" si="94"/>
        <v>0.16573631604338568</v>
      </c>
      <c r="K174" s="38">
        <f t="shared" si="94"/>
        <v>0.22685704304126719</v>
      </c>
      <c r="L174" s="38">
        <f t="shared" si="94"/>
        <v>0.30234913027701082</v>
      </c>
      <c r="M174" s="38">
        <f t="shared" si="94"/>
        <v>0.39028156105506134</v>
      </c>
      <c r="N174" s="38">
        <f t="shared" si="94"/>
        <v>0.48597335401695163</v>
      </c>
      <c r="O174" s="38">
        <f t="shared" si="94"/>
        <v>0.58270465407509409</v>
      </c>
      <c r="P174" s="38">
        <f t="shared" si="94"/>
        <v>0.67346387309739009</v>
      </c>
      <c r="Q174" s="38">
        <f t="shared" si="94"/>
        <v>0.75285571835241116</v>
      </c>
      <c r="R174" s="38">
        <f t="shared" si="94"/>
        <v>0.81815674135349792</v>
      </c>
      <c r="S174" s="38">
        <f t="shared" si="94"/>
        <v>0.86920142798127453</v>
      </c>
      <c r="T174" s="38">
        <f t="shared" si="94"/>
        <v>0.90753684334853524</v>
      </c>
      <c r="U174" s="38">
        <f t="shared" si="94"/>
        <v>0.93547076038094379</v>
      </c>
      <c r="V174" s="38">
        <f t="shared" si="94"/>
        <v>0.95538051149431014</v>
      </c>
      <c r="W174" s="38">
        <f t="shared" si="94"/>
        <v>0.9693486163852717</v>
      </c>
      <c r="X174" s="43">
        <f t="shared" si="94"/>
        <v>0.9790399468136205</v>
      </c>
    </row>
    <row r="175" spans="2:24" x14ac:dyDescent="0.35">
      <c r="B175" s="63"/>
      <c r="C175" s="24">
        <v>0.3</v>
      </c>
      <c r="D175" s="42">
        <f t="shared" ref="D175:X175" si="95">1/(1+EXP(-D201))</f>
        <v>2.5420768368867763E-2</v>
      </c>
      <c r="E175" s="38">
        <f t="shared" si="95"/>
        <v>3.7096456457614065E-2</v>
      </c>
      <c r="F175" s="38">
        <f t="shared" si="95"/>
        <v>5.3838509776005843E-2</v>
      </c>
      <c r="G175" s="38">
        <f t="shared" si="95"/>
        <v>7.7528081581705321E-2</v>
      </c>
      <c r="H175" s="38">
        <f t="shared" si="95"/>
        <v>0.11042481118743072</v>
      </c>
      <c r="I175" s="38">
        <f t="shared" si="95"/>
        <v>0.15493581489713587</v>
      </c>
      <c r="J175" s="38">
        <f t="shared" si="95"/>
        <v>0.21309086494063531</v>
      </c>
      <c r="K175" s="38">
        <f t="shared" si="95"/>
        <v>0.28569472569939902</v>
      </c>
      <c r="L175" s="38">
        <f t="shared" si="95"/>
        <v>0.37136181418755226</v>
      </c>
      <c r="M175" s="38">
        <f t="shared" si="95"/>
        <v>0.46595986129927713</v>
      </c>
      <c r="N175" s="38">
        <f t="shared" si="95"/>
        <v>0.56307124837888956</v>
      </c>
      <c r="O175" s="38">
        <f t="shared" si="95"/>
        <v>0.65557662843255149</v>
      </c>
      <c r="P175" s="38">
        <f t="shared" si="95"/>
        <v>0.73762312536291996</v>
      </c>
      <c r="Q175" s="38">
        <f t="shared" si="95"/>
        <v>0.80591133455983754</v>
      </c>
      <c r="R175" s="38">
        <f t="shared" si="95"/>
        <v>0.85980438087296307</v>
      </c>
      <c r="S175" s="38">
        <f t="shared" si="95"/>
        <v>0.90057892634613845</v>
      </c>
      <c r="T175" s="38">
        <f t="shared" si="95"/>
        <v>0.93045380645869891</v>
      </c>
      <c r="U175" s="38">
        <f t="shared" si="95"/>
        <v>0.95183177678062625</v>
      </c>
      <c r="V175" s="38">
        <f t="shared" si="95"/>
        <v>0.9668722896588946</v>
      </c>
      <c r="W175" s="38">
        <f t="shared" si="95"/>
        <v>0.97732827070178463</v>
      </c>
      <c r="X175" s="43">
        <f t="shared" si="95"/>
        <v>0.98453684746616343</v>
      </c>
    </row>
    <row r="176" spans="2:24" x14ac:dyDescent="0.35">
      <c r="B176" s="63"/>
      <c r="C176" s="24">
        <v>0.25</v>
      </c>
      <c r="D176" s="42">
        <f t="shared" ref="D176:X176" si="96">1/(1+EXP(-D202))</f>
        <v>3.4333997090540004E-2</v>
      </c>
      <c r="E176" s="38">
        <f t="shared" si="96"/>
        <v>4.9893921706839324E-2</v>
      </c>
      <c r="F176" s="38">
        <f t="shared" si="96"/>
        <v>7.1979870646114455E-2</v>
      </c>
      <c r="G176" s="38">
        <f t="shared" si="96"/>
        <v>0.1027846966771135</v>
      </c>
      <c r="H176" s="38">
        <f t="shared" si="96"/>
        <v>0.14471705576976682</v>
      </c>
      <c r="I176" s="38">
        <f t="shared" si="96"/>
        <v>0.19994401393133568</v>
      </c>
      <c r="J176" s="38">
        <f t="shared" si="96"/>
        <v>0.2696031851696773</v>
      </c>
      <c r="K176" s="38">
        <f t="shared" si="96"/>
        <v>0.35282849691647461</v>
      </c>
      <c r="L176" s="38">
        <f t="shared" si="96"/>
        <v>0.44605535520621059</v>
      </c>
      <c r="M176" s="38">
        <f t="shared" si="96"/>
        <v>0.54323819110159299</v>
      </c>
      <c r="N176" s="38">
        <f t="shared" si="96"/>
        <v>0.63723733603297528</v>
      </c>
      <c r="O176" s="38">
        <f t="shared" si="96"/>
        <v>0.72179861265977996</v>
      </c>
      <c r="P176" s="38">
        <f t="shared" si="96"/>
        <v>0.79304989930205583</v>
      </c>
      <c r="Q176" s="38">
        <f t="shared" si="96"/>
        <v>0.84984883961711055</v>
      </c>
      <c r="R176" s="38">
        <f t="shared" si="96"/>
        <v>0.89315906131946599</v>
      </c>
      <c r="S176" s="38">
        <f t="shared" si="96"/>
        <v>0.92507803888121964</v>
      </c>
      <c r="T176" s="38">
        <f t="shared" si="96"/>
        <v>0.9480161568068074</v>
      </c>
      <c r="U176" s="38">
        <f t="shared" si="96"/>
        <v>0.96420328841462122</v>
      </c>
      <c r="V176" s="38">
        <f t="shared" si="96"/>
        <v>0.97548031351898645</v>
      </c>
      <c r="W176" s="38">
        <f t="shared" si="96"/>
        <v>0.98326639627474444</v>
      </c>
      <c r="X176" s="43">
        <f t="shared" si="96"/>
        <v>0.98860892557484015</v>
      </c>
    </row>
    <row r="177" spans="2:24" x14ac:dyDescent="0.35">
      <c r="B177" s="63"/>
      <c r="C177" s="24">
        <v>0.2</v>
      </c>
      <c r="D177" s="42">
        <f t="shared" ref="D177:X177" si="97">1/(1+EXP(-D203))</f>
        <v>4.6224222568690208E-2</v>
      </c>
      <c r="E177" s="38">
        <f t="shared" si="97"/>
        <v>6.6799959131684197E-2</v>
      </c>
      <c r="F177" s="38">
        <f t="shared" si="97"/>
        <v>9.5616371790326241E-2</v>
      </c>
      <c r="G177" s="38">
        <f t="shared" si="97"/>
        <v>0.13506455279193186</v>
      </c>
      <c r="H177" s="38">
        <f t="shared" si="97"/>
        <v>0.18741509243052121</v>
      </c>
      <c r="I177" s="38">
        <f t="shared" si="97"/>
        <v>0.25409558020864165</v>
      </c>
      <c r="J177" s="38">
        <f t="shared" si="97"/>
        <v>0.33472761731757306</v>
      </c>
      <c r="K177" s="38">
        <f t="shared" si="97"/>
        <v>0.42632235057678319</v>
      </c>
      <c r="L177" s="38">
        <f t="shared" si="97"/>
        <v>0.52326709251963088</v>
      </c>
      <c r="M177" s="38">
        <f t="shared" si="97"/>
        <v>0.61848981361603161</v>
      </c>
      <c r="N177" s="38">
        <f t="shared" si="97"/>
        <v>0.7054008713402159</v>
      </c>
      <c r="O177" s="38">
        <f t="shared" si="97"/>
        <v>0.77956930250555334</v>
      </c>
      <c r="P177" s="38">
        <f t="shared" si="97"/>
        <v>0.83931845549702466</v>
      </c>
      <c r="Q177" s="38">
        <f t="shared" si="97"/>
        <v>0.88525600053946429</v>
      </c>
      <c r="R177" s="38">
        <f t="shared" si="97"/>
        <v>0.91932276627107923</v>
      </c>
      <c r="S177" s="38">
        <f t="shared" si="97"/>
        <v>0.94391609387575226</v>
      </c>
      <c r="T177" s="38">
        <f t="shared" si="97"/>
        <v>0.96132785439557256</v>
      </c>
      <c r="U177" s="38">
        <f t="shared" si="97"/>
        <v>0.97348581697041525</v>
      </c>
      <c r="V177" s="38">
        <f t="shared" si="97"/>
        <v>0.98189348457477887</v>
      </c>
      <c r="W177" s="38">
        <f t="shared" si="97"/>
        <v>0.98766884562075075</v>
      </c>
      <c r="X177" s="43">
        <f t="shared" si="97"/>
        <v>0.99161778938985679</v>
      </c>
    </row>
    <row r="178" spans="2:24" x14ac:dyDescent="0.35">
      <c r="B178" s="63"/>
      <c r="C178" s="24">
        <v>0.15</v>
      </c>
      <c r="D178" s="42">
        <f t="shared" ref="D178:X178" si="98">1/(1+EXP(-D204))</f>
        <v>6.1967920276829833E-2</v>
      </c>
      <c r="E178" s="38">
        <f t="shared" si="98"/>
        <v>8.8898440149172489E-2</v>
      </c>
      <c r="F178" s="38">
        <f t="shared" si="98"/>
        <v>0.12596104636009195</v>
      </c>
      <c r="G178" s="38">
        <f t="shared" si="98"/>
        <v>0.17549904412989961</v>
      </c>
      <c r="H178" s="38">
        <f t="shared" si="98"/>
        <v>0.23918786554783925</v>
      </c>
      <c r="I178" s="38">
        <f t="shared" si="98"/>
        <v>0.3171003510167178</v>
      </c>
      <c r="J178" s="38">
        <f t="shared" si="98"/>
        <v>0.40682119920215548</v>
      </c>
      <c r="K178" s="38">
        <f t="shared" si="98"/>
        <v>0.50322131495028821</v>
      </c>
      <c r="L178" s="38">
        <f t="shared" si="98"/>
        <v>0.59938252929750946</v>
      </c>
      <c r="M178" s="38">
        <f t="shared" si="98"/>
        <v>0.68845378668879931</v>
      </c>
      <c r="N178" s="38">
        <f t="shared" si="98"/>
        <v>0.76547027514236021</v>
      </c>
      <c r="O178" s="38">
        <f t="shared" si="98"/>
        <v>0.82819885027925311</v>
      </c>
      <c r="P178" s="38">
        <f t="shared" si="98"/>
        <v>0.87684895269991991</v>
      </c>
      <c r="Q178" s="38">
        <f t="shared" si="98"/>
        <v>0.91316688971180116</v>
      </c>
      <c r="R178" s="38">
        <f t="shared" si="98"/>
        <v>0.93951328405459678</v>
      </c>
      <c r="S178" s="38">
        <f t="shared" si="98"/>
        <v>0.95823145169576207</v>
      </c>
      <c r="T178" s="38">
        <f t="shared" si="98"/>
        <v>0.97133385039468789</v>
      </c>
      <c r="U178" s="38">
        <f t="shared" si="98"/>
        <v>0.9804101762397367</v>
      </c>
      <c r="V178" s="38">
        <f t="shared" si="98"/>
        <v>0.98665223045378569</v>
      </c>
      <c r="W178" s="38">
        <f t="shared" si="98"/>
        <v>0.99092374451502119</v>
      </c>
      <c r="X178" s="43">
        <f t="shared" si="98"/>
        <v>0.99383683992526606</v>
      </c>
    </row>
    <row r="179" spans="2:24" x14ac:dyDescent="0.35">
      <c r="B179" s="63"/>
      <c r="C179" s="24">
        <v>0.1</v>
      </c>
      <c r="D179" s="42">
        <f t="shared" ref="D179:X179" si="99">1/(1+EXP(-D205))</f>
        <v>8.2609391407572091E-2</v>
      </c>
      <c r="E179" s="38">
        <f t="shared" si="99"/>
        <v>0.11738785158675871</v>
      </c>
      <c r="F179" s="38">
        <f t="shared" si="99"/>
        <v>0.16418754612162631</v>
      </c>
      <c r="G179" s="38">
        <f t="shared" si="99"/>
        <v>0.22489107982208179</v>
      </c>
      <c r="H179" s="38">
        <f t="shared" si="99"/>
        <v>0.29998278654629368</v>
      </c>
      <c r="I179" s="38">
        <f t="shared" si="99"/>
        <v>0.38760937339188106</v>
      </c>
      <c r="J179" s="38">
        <f t="shared" si="99"/>
        <v>0.4831651761480511</v>
      </c>
      <c r="K179" s="38">
        <f t="shared" si="99"/>
        <v>0.57996818172866371</v>
      </c>
      <c r="L179" s="38">
        <f t="shared" si="99"/>
        <v>0.67098651729323933</v>
      </c>
      <c r="M179" s="38">
        <f t="shared" si="99"/>
        <v>0.75075777498948948</v>
      </c>
      <c r="N179" s="38">
        <f t="shared" si="99"/>
        <v>0.81647799514544517</v>
      </c>
      <c r="O179" s="38">
        <f t="shared" si="99"/>
        <v>0.86791784197507726</v>
      </c>
      <c r="P179" s="38">
        <f t="shared" si="99"/>
        <v>0.90658903063316987</v>
      </c>
      <c r="Q179" s="38">
        <f t="shared" si="99"/>
        <v>0.93478871485699677</v>
      </c>
      <c r="R179" s="38">
        <f t="shared" si="99"/>
        <v>0.95489875755957065</v>
      </c>
      <c r="S179" s="38">
        <f t="shared" si="99"/>
        <v>0.96901278371335053</v>
      </c>
      <c r="T179" s="38">
        <f t="shared" si="99"/>
        <v>0.97880797605930303</v>
      </c>
      <c r="U179" s="38">
        <f t="shared" si="99"/>
        <v>0.98555302861947502</v>
      </c>
      <c r="V179" s="38">
        <f t="shared" si="99"/>
        <v>0.99017280241443451</v>
      </c>
      <c r="W179" s="38">
        <f t="shared" si="99"/>
        <v>0.9933252951062207</v>
      </c>
      <c r="X179" s="43">
        <f t="shared" si="99"/>
        <v>0.99547111683298595</v>
      </c>
    </row>
    <row r="180" spans="2:24" x14ac:dyDescent="0.35">
      <c r="B180" s="63"/>
      <c r="C180" s="24">
        <v>0.05</v>
      </c>
      <c r="D180" s="42">
        <f t="shared" ref="D180:X180" si="100">1/(1+EXP(-D206))</f>
        <v>0.10932518208415536</v>
      </c>
      <c r="E180" s="38">
        <f t="shared" si="100"/>
        <v>0.15346940674881202</v>
      </c>
      <c r="F180" s="38">
        <f t="shared" si="100"/>
        <v>0.21121160987961174</v>
      </c>
      <c r="G180" s="38">
        <f t="shared" si="100"/>
        <v>0.28340577777838366</v>
      </c>
      <c r="H180" s="38">
        <f t="shared" si="100"/>
        <v>0.36874082436153849</v>
      </c>
      <c r="I180" s="38">
        <f t="shared" si="100"/>
        <v>0.46316312684976729</v>
      </c>
      <c r="J180" s="38">
        <f t="shared" si="100"/>
        <v>0.56030317840307808</v>
      </c>
      <c r="K180" s="38">
        <f t="shared" si="100"/>
        <v>0.65303348170844799</v>
      </c>
      <c r="L180" s="38">
        <f t="shared" si="100"/>
        <v>0.73544131533684554</v>
      </c>
      <c r="M180" s="38">
        <f t="shared" si="100"/>
        <v>0.80414660256335702</v>
      </c>
      <c r="N180" s="38">
        <f t="shared" si="100"/>
        <v>0.85844359571872442</v>
      </c>
      <c r="O180" s="38">
        <f t="shared" si="100"/>
        <v>0.89956768306627166</v>
      </c>
      <c r="P180" s="38">
        <f t="shared" si="100"/>
        <v>0.92972271760513925</v>
      </c>
      <c r="Q180" s="38">
        <f t="shared" si="100"/>
        <v>0.95131365993315065</v>
      </c>
      <c r="R180" s="38">
        <f t="shared" si="100"/>
        <v>0.96651026242283644</v>
      </c>
      <c r="S180" s="38">
        <f t="shared" si="100"/>
        <v>0.97707779987578758</v>
      </c>
      <c r="T180" s="38">
        <f t="shared" si="100"/>
        <v>0.98436474089833936</v>
      </c>
      <c r="U180" s="38">
        <f t="shared" si="100"/>
        <v>0.98936039672206055</v>
      </c>
      <c r="V180" s="38">
        <f t="shared" si="100"/>
        <v>0.9927716006667</v>
      </c>
      <c r="W180" s="38">
        <f t="shared" si="100"/>
        <v>0.99509454813926268</v>
      </c>
      <c r="X180" s="43">
        <f t="shared" si="100"/>
        <v>0.99667348523547539</v>
      </c>
    </row>
    <row r="181" spans="2:24" ht="15" thickBot="1" x14ac:dyDescent="0.4">
      <c r="B181" s="64"/>
      <c r="C181" s="25">
        <v>0</v>
      </c>
      <c r="D181" s="44">
        <f t="shared" ref="D181:X181" si="101">1/(1+EXP(-D207))</f>
        <v>0.14333096019635905</v>
      </c>
      <c r="E181" s="45">
        <f t="shared" si="101"/>
        <v>0.19815150589706668</v>
      </c>
      <c r="F181" s="45">
        <f t="shared" si="101"/>
        <v>0.26739489904554409</v>
      </c>
      <c r="G181" s="45">
        <f t="shared" si="101"/>
        <v>0.3502654295803253</v>
      </c>
      <c r="H181" s="45">
        <f t="shared" si="101"/>
        <v>0.44327892470628727</v>
      </c>
      <c r="I181" s="45">
        <f t="shared" si="101"/>
        <v>0.54044702124391653</v>
      </c>
      <c r="J181" s="45">
        <f t="shared" si="101"/>
        <v>0.63463424449786054</v>
      </c>
      <c r="K181" s="45">
        <f t="shared" si="101"/>
        <v>0.71953524701667937</v>
      </c>
      <c r="L181" s="45">
        <f t="shared" si="101"/>
        <v>0.79119852400260682</v>
      </c>
      <c r="M181" s="45">
        <f t="shared" si="101"/>
        <v>0.848408459764876</v>
      </c>
      <c r="N181" s="45">
        <f t="shared" si="101"/>
        <v>0.8920813919721563</v>
      </c>
      <c r="O181" s="45">
        <f t="shared" si="101"/>
        <v>0.92429503644684585</v>
      </c>
      <c r="P181" s="45">
        <f t="shared" si="101"/>
        <v>0.94745926313243933</v>
      </c>
      <c r="Q181" s="45">
        <f t="shared" si="101"/>
        <v>0.96381318536026095</v>
      </c>
      <c r="R181" s="45">
        <f t="shared" si="101"/>
        <v>0.97520994483386225</v>
      </c>
      <c r="S181" s="45">
        <f t="shared" si="101"/>
        <v>0.9830803924523952</v>
      </c>
      <c r="T181" s="45">
        <f t="shared" si="101"/>
        <v>0.98848161143543156</v>
      </c>
      <c r="U181" s="45">
        <f t="shared" si="101"/>
        <v>0.99217233692845008</v>
      </c>
      <c r="V181" s="45">
        <f t="shared" si="101"/>
        <v>0.99468683553647685</v>
      </c>
      <c r="W181" s="45">
        <f t="shared" si="101"/>
        <v>0.99639652947069401</v>
      </c>
      <c r="X181" s="46">
        <f t="shared" si="101"/>
        <v>0.99755742137862302</v>
      </c>
    </row>
    <row r="182" spans="2:24" x14ac:dyDescent="0.35">
      <c r="C182" s="9"/>
      <c r="D182" s="28">
        <v>0</v>
      </c>
      <c r="E182" s="26">
        <v>0.05</v>
      </c>
      <c r="F182" s="26">
        <v>0.1</v>
      </c>
      <c r="G182" s="26">
        <v>0.15</v>
      </c>
      <c r="H182" s="26">
        <v>0.2</v>
      </c>
      <c r="I182" s="26">
        <v>0.25</v>
      </c>
      <c r="J182" s="26">
        <v>0.3</v>
      </c>
      <c r="K182" s="26">
        <v>0.35</v>
      </c>
      <c r="L182" s="26">
        <v>0.4</v>
      </c>
      <c r="M182" s="26">
        <v>0.45</v>
      </c>
      <c r="N182" s="26">
        <v>0.5</v>
      </c>
      <c r="O182" s="26">
        <v>0.55000000000000004</v>
      </c>
      <c r="P182" s="26">
        <v>0.6</v>
      </c>
      <c r="Q182" s="26">
        <v>0.65</v>
      </c>
      <c r="R182" s="26">
        <v>0.7</v>
      </c>
      <c r="S182" s="26">
        <v>0.75</v>
      </c>
      <c r="T182" s="26">
        <v>0.8</v>
      </c>
      <c r="U182" s="26">
        <v>0.85</v>
      </c>
      <c r="V182" s="26">
        <v>0.9</v>
      </c>
      <c r="W182" s="26">
        <v>0.95</v>
      </c>
      <c r="X182" s="27">
        <v>1</v>
      </c>
    </row>
    <row r="183" spans="2:24" ht="21.5" thickBot="1" x14ac:dyDescent="0.55000000000000004">
      <c r="C183" s="9"/>
      <c r="D183" s="56" t="s">
        <v>64</v>
      </c>
      <c r="E183" s="57"/>
      <c r="F183" s="57"/>
      <c r="G183" s="57"/>
      <c r="H183" s="57"/>
      <c r="I183" s="57"/>
      <c r="J183" s="57"/>
      <c r="K183" s="57"/>
      <c r="L183" s="57"/>
      <c r="M183" s="57"/>
      <c r="N183" s="57"/>
      <c r="O183" s="57"/>
      <c r="P183" s="57"/>
      <c r="Q183" s="57"/>
      <c r="R183" s="57"/>
      <c r="S183" s="57"/>
      <c r="T183" s="57"/>
      <c r="U183" s="57"/>
      <c r="V183" s="57"/>
      <c r="W183" s="57"/>
      <c r="X183" s="58"/>
    </row>
    <row r="185" spans="2:24" ht="15" thickBot="1" x14ac:dyDescent="0.4"/>
    <row r="186" spans="2:24" ht="21.5" thickBot="1" x14ac:dyDescent="0.55000000000000004">
      <c r="B186" s="59" t="s">
        <v>16</v>
      </c>
      <c r="C186" s="60"/>
      <c r="D186" s="60"/>
      <c r="E186" s="60"/>
      <c r="F186" s="60"/>
      <c r="G186" s="60"/>
      <c r="H186" s="60"/>
      <c r="I186" s="60"/>
      <c r="J186" s="60"/>
      <c r="K186" s="60"/>
      <c r="L186" s="60"/>
      <c r="M186" s="60"/>
      <c r="N186" s="60"/>
      <c r="O186" s="60"/>
      <c r="P186" s="60"/>
      <c r="Q186" s="60"/>
      <c r="R186" s="60"/>
      <c r="S186" s="60"/>
      <c r="T186" s="60"/>
      <c r="U186" s="60"/>
      <c r="V186" s="60"/>
      <c r="W186" s="60"/>
      <c r="X186" s="61"/>
    </row>
    <row r="187" spans="2:24" x14ac:dyDescent="0.35">
      <c r="B187" s="62" t="s">
        <v>6</v>
      </c>
      <c r="C187" s="27">
        <v>1</v>
      </c>
      <c r="D187" s="29">
        <f>(D$208 * $P$5) + $P$8 + ($C187 * $P$6) + $P$9</f>
        <v>-7.9830420696331084</v>
      </c>
      <c r="E187" s="30">
        <f t="shared" ref="E187:T202" si="102">(E$208 * $P$5) + $P$8 + ($C187 * $P$6) + $P$9</f>
        <v>-7.5930345338635989</v>
      </c>
      <c r="F187" s="30">
        <f t="shared" si="102"/>
        <v>-7.2030269980940904</v>
      </c>
      <c r="G187" s="30">
        <f>(G$208 * $P$5) + $P$8 + ($C187 * $P$6) + $P$9</f>
        <v>-6.813019462324581</v>
      </c>
      <c r="H187" s="30">
        <f t="shared" ref="H187:X201" si="103">(H$208 * $P$5) + $P$8 + ($C187 * $P$6) + $P$9</f>
        <v>-6.4230119265550716</v>
      </c>
      <c r="I187" s="30">
        <f t="shared" si="103"/>
        <v>-6.0330043907855622</v>
      </c>
      <c r="J187" s="30">
        <f t="shared" si="103"/>
        <v>-5.6429968550160527</v>
      </c>
      <c r="K187" s="30">
        <f t="shared" si="103"/>
        <v>-5.2529893192465433</v>
      </c>
      <c r="L187" s="30">
        <f t="shared" si="103"/>
        <v>-4.8629817834770339</v>
      </c>
      <c r="M187" s="30">
        <f t="shared" si="103"/>
        <v>-4.4729742477075254</v>
      </c>
      <c r="N187" s="30">
        <f t="shared" si="103"/>
        <v>-4.082966711938016</v>
      </c>
      <c r="O187" s="30">
        <f t="shared" si="103"/>
        <v>-3.6929591761685057</v>
      </c>
      <c r="P187" s="30">
        <f t="shared" si="103"/>
        <v>-3.3029516403989971</v>
      </c>
      <c r="Q187" s="30">
        <f t="shared" si="103"/>
        <v>-2.9129441046294877</v>
      </c>
      <c r="R187" s="30">
        <f t="shared" si="103"/>
        <v>-2.5229365688599783</v>
      </c>
      <c r="S187" s="30">
        <f t="shared" si="103"/>
        <v>-2.1329290330904689</v>
      </c>
      <c r="T187" s="30">
        <f t="shared" si="103"/>
        <v>-1.7429214973209592</v>
      </c>
      <c r="U187" s="30">
        <f t="shared" si="103"/>
        <v>-1.3529139615514507</v>
      </c>
      <c r="V187" s="30">
        <f t="shared" si="103"/>
        <v>-0.9629064257819413</v>
      </c>
      <c r="W187" s="30">
        <f t="shared" si="103"/>
        <v>-0.57289889001243188</v>
      </c>
      <c r="X187" s="31">
        <f t="shared" si="103"/>
        <v>-0.18289135424292247</v>
      </c>
    </row>
    <row r="188" spans="2:24" x14ac:dyDescent="0.35">
      <c r="B188" s="63"/>
      <c r="C188" s="24">
        <v>0.95</v>
      </c>
      <c r="D188" s="32">
        <f>(D$208 * $P$5) + $P$8 + ($C188 * $P$6) + $P$9</f>
        <v>-7.6732847309666168</v>
      </c>
      <c r="E188" s="33">
        <f>(E$208 * $P$5) + $P$8 + ($C188 * $P$6) + $P$9</f>
        <v>-7.2832771951971074</v>
      </c>
      <c r="F188" s="33">
        <f t="shared" si="102"/>
        <v>-6.8932696594275988</v>
      </c>
      <c r="G188" s="33">
        <f t="shared" si="102"/>
        <v>-6.5032621236580894</v>
      </c>
      <c r="H188" s="33">
        <f t="shared" si="103"/>
        <v>-6.11325458788858</v>
      </c>
      <c r="I188" s="33">
        <f t="shared" si="103"/>
        <v>-5.7232470521190706</v>
      </c>
      <c r="J188" s="33">
        <f>(J$208 * $P$5) + $P$8 + ($C188 * $P$6) + $P$9</f>
        <v>-5.3332395163495612</v>
      </c>
      <c r="K188" s="33">
        <f t="shared" si="103"/>
        <v>-4.9432319805800518</v>
      </c>
      <c r="L188" s="33">
        <f t="shared" si="103"/>
        <v>-4.5532244448105423</v>
      </c>
      <c r="M188" s="33">
        <f t="shared" si="103"/>
        <v>-4.1632169090410338</v>
      </c>
      <c r="N188" s="33">
        <f t="shared" si="103"/>
        <v>-3.7732093732715244</v>
      </c>
      <c r="O188" s="33">
        <f t="shared" si="103"/>
        <v>-3.3832018375020141</v>
      </c>
      <c r="P188" s="33">
        <f t="shared" si="103"/>
        <v>-2.9931943017325056</v>
      </c>
      <c r="Q188" s="33">
        <f t="shared" si="103"/>
        <v>-2.6031867659629961</v>
      </c>
      <c r="R188" s="33">
        <f t="shared" si="103"/>
        <v>-2.2131792301934867</v>
      </c>
      <c r="S188" s="33">
        <f t="shared" si="103"/>
        <v>-1.8231716944239771</v>
      </c>
      <c r="T188" s="33">
        <f t="shared" si="103"/>
        <v>-1.4331641586544677</v>
      </c>
      <c r="U188" s="33">
        <f t="shared" si="103"/>
        <v>-1.0431566228849591</v>
      </c>
      <c r="V188" s="33">
        <f t="shared" si="103"/>
        <v>-0.65314908711544972</v>
      </c>
      <c r="W188" s="33">
        <f t="shared" si="103"/>
        <v>-0.26314155134594031</v>
      </c>
      <c r="X188" s="34">
        <f t="shared" si="103"/>
        <v>0.12686598442356911</v>
      </c>
    </row>
    <row r="189" spans="2:24" x14ac:dyDescent="0.35">
      <c r="B189" s="63"/>
      <c r="C189" s="24">
        <v>0.9</v>
      </c>
      <c r="D189" s="32">
        <f t="shared" ref="D189:S207" si="104">(D$208 * $P$5) + $P$8 + ($C189 * $P$6) + $P$9</f>
        <v>-7.3635273923001252</v>
      </c>
      <c r="E189" s="33">
        <f t="shared" si="104"/>
        <v>-6.9735198565306158</v>
      </c>
      <c r="F189" s="33">
        <f t="shared" si="102"/>
        <v>-6.5835123207611073</v>
      </c>
      <c r="G189" s="33">
        <f t="shared" si="102"/>
        <v>-6.1935047849915978</v>
      </c>
      <c r="H189" s="33">
        <f t="shared" si="103"/>
        <v>-5.8034972492220884</v>
      </c>
      <c r="I189" s="33">
        <f t="shared" si="103"/>
        <v>-5.413489713452579</v>
      </c>
      <c r="J189" s="33">
        <f t="shared" si="103"/>
        <v>-5.0234821776830696</v>
      </c>
      <c r="K189" s="33">
        <f t="shared" si="103"/>
        <v>-4.6334746419135602</v>
      </c>
      <c r="L189" s="33">
        <f t="shared" si="103"/>
        <v>-4.2434671061440508</v>
      </c>
      <c r="M189" s="33">
        <f t="shared" si="103"/>
        <v>-3.8534595703745422</v>
      </c>
      <c r="N189" s="33">
        <f t="shared" si="103"/>
        <v>-3.4634520346050328</v>
      </c>
      <c r="O189" s="33">
        <f t="shared" si="103"/>
        <v>-3.0734444988355225</v>
      </c>
      <c r="P189" s="33">
        <f t="shared" si="103"/>
        <v>-2.683436963066014</v>
      </c>
      <c r="Q189" s="33">
        <f t="shared" si="103"/>
        <v>-2.2934294272965046</v>
      </c>
      <c r="R189" s="33">
        <f t="shared" si="103"/>
        <v>-1.9034218915269949</v>
      </c>
      <c r="S189" s="33">
        <f t="shared" si="103"/>
        <v>-1.5134143557574855</v>
      </c>
      <c r="T189" s="33">
        <f t="shared" si="103"/>
        <v>-1.1234068199879761</v>
      </c>
      <c r="U189" s="33">
        <f t="shared" si="103"/>
        <v>-0.73339928421846756</v>
      </c>
      <c r="V189" s="33">
        <f t="shared" si="103"/>
        <v>-0.34339174844895815</v>
      </c>
      <c r="W189" s="33">
        <f t="shared" si="103"/>
        <v>4.6615787320551272E-2</v>
      </c>
      <c r="X189" s="34">
        <f t="shared" si="103"/>
        <v>0.43662332309006069</v>
      </c>
    </row>
    <row r="190" spans="2:24" x14ac:dyDescent="0.35">
      <c r="B190" s="63"/>
      <c r="C190" s="24">
        <v>0.85</v>
      </c>
      <c r="D190" s="32">
        <f t="shared" si="104"/>
        <v>-7.0537700536336336</v>
      </c>
      <c r="E190" s="33">
        <f t="shared" si="104"/>
        <v>-6.6637625178641242</v>
      </c>
      <c r="F190" s="33">
        <f t="shared" si="102"/>
        <v>-6.2737549820946157</v>
      </c>
      <c r="G190" s="33">
        <f t="shared" si="102"/>
        <v>-5.8837474463251063</v>
      </c>
      <c r="H190" s="33">
        <f t="shared" si="103"/>
        <v>-5.4937399105555969</v>
      </c>
      <c r="I190" s="33">
        <f t="shared" si="103"/>
        <v>-5.1037323747860874</v>
      </c>
      <c r="J190" s="33">
        <f t="shared" si="103"/>
        <v>-4.713724839016578</v>
      </c>
      <c r="K190" s="33">
        <f t="shared" si="103"/>
        <v>-4.3237173032470686</v>
      </c>
      <c r="L190" s="33">
        <f t="shared" si="103"/>
        <v>-3.9337097674775592</v>
      </c>
      <c r="M190" s="33">
        <f t="shared" si="103"/>
        <v>-3.5437022317080507</v>
      </c>
      <c r="N190" s="33">
        <f t="shared" si="103"/>
        <v>-3.1536946959385412</v>
      </c>
      <c r="O190" s="33">
        <f t="shared" si="103"/>
        <v>-2.7636871601690309</v>
      </c>
      <c r="P190" s="33">
        <f t="shared" si="103"/>
        <v>-2.3736796243995224</v>
      </c>
      <c r="Q190" s="33">
        <f t="shared" si="103"/>
        <v>-1.9836720886300128</v>
      </c>
      <c r="R190" s="33">
        <f t="shared" si="103"/>
        <v>-1.5936645528605033</v>
      </c>
      <c r="S190" s="33">
        <f t="shared" si="103"/>
        <v>-1.2036570170909939</v>
      </c>
      <c r="T190" s="33">
        <f t="shared" si="103"/>
        <v>-0.81364948132148451</v>
      </c>
      <c r="U190" s="33">
        <f t="shared" si="103"/>
        <v>-0.42364194555197598</v>
      </c>
      <c r="V190" s="33">
        <f t="shared" si="103"/>
        <v>-3.3634409782466568E-2</v>
      </c>
      <c r="W190" s="33">
        <f t="shared" si="103"/>
        <v>0.35637312598704285</v>
      </c>
      <c r="X190" s="34">
        <f t="shared" si="103"/>
        <v>0.74638066175655227</v>
      </c>
    </row>
    <row r="191" spans="2:24" x14ac:dyDescent="0.35">
      <c r="B191" s="63"/>
      <c r="C191" s="24">
        <v>0.8</v>
      </c>
      <c r="D191" s="32">
        <f t="shared" si="104"/>
        <v>-6.7440127149671421</v>
      </c>
      <c r="E191" s="33">
        <f t="shared" si="104"/>
        <v>-6.3540051791976326</v>
      </c>
      <c r="F191" s="33">
        <f t="shared" si="102"/>
        <v>-5.9639976434281232</v>
      </c>
      <c r="G191" s="33">
        <f t="shared" si="102"/>
        <v>-5.5739901076586147</v>
      </c>
      <c r="H191" s="33">
        <f t="shared" si="103"/>
        <v>-5.1839825718891053</v>
      </c>
      <c r="I191" s="33">
        <f t="shared" si="103"/>
        <v>-4.7939750361195959</v>
      </c>
      <c r="J191" s="33">
        <f t="shared" si="103"/>
        <v>-4.4039675003500864</v>
      </c>
      <c r="K191" s="33">
        <f t="shared" si="103"/>
        <v>-4.013959964580577</v>
      </c>
      <c r="L191" s="33">
        <f t="shared" si="103"/>
        <v>-3.6239524288110676</v>
      </c>
      <c r="M191" s="33">
        <f t="shared" si="103"/>
        <v>-3.2339448930415591</v>
      </c>
      <c r="N191" s="33">
        <f t="shared" si="103"/>
        <v>-2.8439373572720497</v>
      </c>
      <c r="O191" s="33">
        <f t="shared" si="103"/>
        <v>-2.4539298215025394</v>
      </c>
      <c r="P191" s="33">
        <f t="shared" si="103"/>
        <v>-2.0639222857330308</v>
      </c>
      <c r="Q191" s="33">
        <f t="shared" si="103"/>
        <v>-1.6739147499635212</v>
      </c>
      <c r="R191" s="33">
        <f t="shared" si="103"/>
        <v>-1.2839072141940118</v>
      </c>
      <c r="S191" s="33">
        <f t="shared" si="103"/>
        <v>-0.89389967842450235</v>
      </c>
      <c r="T191" s="33">
        <f t="shared" si="103"/>
        <v>-0.50389214265499294</v>
      </c>
      <c r="U191" s="33">
        <f t="shared" si="103"/>
        <v>-0.11388460688548441</v>
      </c>
      <c r="V191" s="33">
        <f t="shared" si="103"/>
        <v>0.27612292888402501</v>
      </c>
      <c r="W191" s="33">
        <f t="shared" si="103"/>
        <v>0.66613046465353443</v>
      </c>
      <c r="X191" s="34">
        <f t="shared" si="103"/>
        <v>1.0561380004230438</v>
      </c>
    </row>
    <row r="192" spans="2:24" x14ac:dyDescent="0.35">
      <c r="B192" s="63"/>
      <c r="C192" s="24">
        <v>0.75</v>
      </c>
      <c r="D192" s="32">
        <f t="shared" si="104"/>
        <v>-6.4342553763006505</v>
      </c>
      <c r="E192" s="33">
        <f t="shared" si="104"/>
        <v>-6.0442478405311411</v>
      </c>
      <c r="F192" s="33">
        <f t="shared" si="102"/>
        <v>-5.6542403047616316</v>
      </c>
      <c r="G192" s="33">
        <f t="shared" si="102"/>
        <v>-5.2642327689921231</v>
      </c>
      <c r="H192" s="33">
        <f t="shared" si="103"/>
        <v>-4.8742252332226137</v>
      </c>
      <c r="I192" s="33">
        <f t="shared" si="103"/>
        <v>-4.4842176974531043</v>
      </c>
      <c r="J192" s="33">
        <f t="shared" si="103"/>
        <v>-4.0942101616835949</v>
      </c>
      <c r="K192" s="33">
        <f t="shared" si="103"/>
        <v>-3.7042026259140854</v>
      </c>
      <c r="L192" s="33">
        <f t="shared" si="103"/>
        <v>-3.314195090144576</v>
      </c>
      <c r="M192" s="33">
        <f t="shared" si="103"/>
        <v>-2.9241875543750675</v>
      </c>
      <c r="N192" s="33">
        <f t="shared" si="103"/>
        <v>-2.5341800186055581</v>
      </c>
      <c r="O192" s="33">
        <f t="shared" si="103"/>
        <v>-2.1441724828360478</v>
      </c>
      <c r="P192" s="33">
        <f t="shared" si="103"/>
        <v>-1.754164947066539</v>
      </c>
      <c r="Q192" s="33">
        <f t="shared" si="103"/>
        <v>-1.3641574112970296</v>
      </c>
      <c r="R192" s="33">
        <f t="shared" si="103"/>
        <v>-0.97414987552752019</v>
      </c>
      <c r="S192" s="33">
        <f t="shared" si="103"/>
        <v>-0.58414233975801078</v>
      </c>
      <c r="T192" s="33">
        <f t="shared" si="103"/>
        <v>-0.19413480398850136</v>
      </c>
      <c r="U192" s="33">
        <f t="shared" si="103"/>
        <v>0.19587273178100717</v>
      </c>
      <c r="V192" s="33">
        <f t="shared" si="103"/>
        <v>0.58588026755051659</v>
      </c>
      <c r="W192" s="33">
        <f t="shared" si="103"/>
        <v>0.975887803320026</v>
      </c>
      <c r="X192" s="34">
        <f t="shared" si="103"/>
        <v>1.3658953390895354</v>
      </c>
    </row>
    <row r="193" spans="2:24" x14ac:dyDescent="0.35">
      <c r="B193" s="63"/>
      <c r="C193" s="24">
        <v>0.7</v>
      </c>
      <c r="D193" s="32">
        <f t="shared" si="104"/>
        <v>-6.124498037634158</v>
      </c>
      <c r="E193" s="33">
        <f t="shared" si="104"/>
        <v>-5.7344905018646486</v>
      </c>
      <c r="F193" s="33">
        <f t="shared" si="102"/>
        <v>-5.3444829660951392</v>
      </c>
      <c r="G193" s="33">
        <f t="shared" si="102"/>
        <v>-4.9544754303256306</v>
      </c>
      <c r="H193" s="33">
        <f t="shared" si="103"/>
        <v>-4.5644678945561212</v>
      </c>
      <c r="I193" s="33">
        <f t="shared" si="103"/>
        <v>-4.1744603587866118</v>
      </c>
      <c r="J193" s="33">
        <f t="shared" si="103"/>
        <v>-3.7844528230171024</v>
      </c>
      <c r="K193" s="33">
        <f t="shared" si="103"/>
        <v>-3.394445287247593</v>
      </c>
      <c r="L193" s="33">
        <f t="shared" si="103"/>
        <v>-3.0044377514780836</v>
      </c>
      <c r="M193" s="33">
        <f t="shared" si="103"/>
        <v>-2.614430215708575</v>
      </c>
      <c r="N193" s="33">
        <f t="shared" si="103"/>
        <v>-2.2244226799390656</v>
      </c>
      <c r="O193" s="33">
        <f t="shared" si="103"/>
        <v>-1.8344151441695551</v>
      </c>
      <c r="P193" s="33">
        <f t="shared" si="103"/>
        <v>-1.4444076084000466</v>
      </c>
      <c r="Q193" s="33">
        <f t="shared" si="103"/>
        <v>-1.0544000726305371</v>
      </c>
      <c r="R193" s="33">
        <f t="shared" si="103"/>
        <v>-0.66439253686102773</v>
      </c>
      <c r="S193" s="33">
        <f t="shared" si="103"/>
        <v>-0.27438500109151831</v>
      </c>
      <c r="T193" s="33">
        <f t="shared" si="103"/>
        <v>0.11562253467799111</v>
      </c>
      <c r="U193" s="33">
        <f t="shared" si="103"/>
        <v>0.50563007044749964</v>
      </c>
      <c r="V193" s="33">
        <f t="shared" si="103"/>
        <v>0.89563760621700905</v>
      </c>
      <c r="W193" s="33">
        <f t="shared" si="103"/>
        <v>1.2856451419865185</v>
      </c>
      <c r="X193" s="34">
        <f t="shared" si="103"/>
        <v>1.6756526777560279</v>
      </c>
    </row>
    <row r="194" spans="2:24" x14ac:dyDescent="0.35">
      <c r="B194" s="63"/>
      <c r="C194" s="24">
        <v>0.65</v>
      </c>
      <c r="D194" s="32">
        <f t="shared" si="104"/>
        <v>-5.8147406989676673</v>
      </c>
      <c r="E194" s="33">
        <f t="shared" si="104"/>
        <v>-5.4247331631981579</v>
      </c>
      <c r="F194" s="33">
        <f t="shared" si="102"/>
        <v>-5.0347256274286485</v>
      </c>
      <c r="G194" s="33">
        <f t="shared" si="102"/>
        <v>-4.64471809165914</v>
      </c>
      <c r="H194" s="33">
        <f t="shared" si="103"/>
        <v>-4.2547105558896305</v>
      </c>
      <c r="I194" s="33">
        <f t="shared" si="103"/>
        <v>-3.8647030201201211</v>
      </c>
      <c r="J194" s="33">
        <f t="shared" si="103"/>
        <v>-3.4746954843506117</v>
      </c>
      <c r="K194" s="33">
        <f t="shared" si="103"/>
        <v>-3.0846879485811023</v>
      </c>
      <c r="L194" s="33">
        <f t="shared" si="103"/>
        <v>-2.6946804128115929</v>
      </c>
      <c r="M194" s="33">
        <f t="shared" si="103"/>
        <v>-2.3046728770420843</v>
      </c>
      <c r="N194" s="33">
        <f t="shared" si="103"/>
        <v>-1.9146653412725747</v>
      </c>
      <c r="O194" s="33">
        <f t="shared" si="103"/>
        <v>-1.5246578055030644</v>
      </c>
      <c r="P194" s="33">
        <f t="shared" si="103"/>
        <v>-1.1346502697335559</v>
      </c>
      <c r="Q194" s="33">
        <f t="shared" si="103"/>
        <v>-0.74464273396404645</v>
      </c>
      <c r="R194" s="33">
        <f t="shared" si="103"/>
        <v>-0.35463519819453704</v>
      </c>
      <c r="S194" s="33">
        <f t="shared" si="103"/>
        <v>3.5372337574972379E-2</v>
      </c>
      <c r="T194" s="33">
        <f t="shared" si="103"/>
        <v>0.4253798733444818</v>
      </c>
      <c r="U194" s="33">
        <f t="shared" si="103"/>
        <v>0.81538740911399032</v>
      </c>
      <c r="V194" s="33">
        <f t="shared" si="103"/>
        <v>1.2053949448834997</v>
      </c>
      <c r="W194" s="33">
        <f t="shared" si="103"/>
        <v>1.5954024806530092</v>
      </c>
      <c r="X194" s="34">
        <f t="shared" si="103"/>
        <v>1.9854100164225186</v>
      </c>
    </row>
    <row r="195" spans="2:24" x14ac:dyDescent="0.35">
      <c r="B195" s="63"/>
      <c r="C195" s="24">
        <v>0.6</v>
      </c>
      <c r="D195" s="32">
        <f t="shared" si="104"/>
        <v>-5.5049833603011757</v>
      </c>
      <c r="E195" s="33">
        <f t="shared" si="104"/>
        <v>-5.1149758245316663</v>
      </c>
      <c r="F195" s="33">
        <f t="shared" si="102"/>
        <v>-4.7249682887621569</v>
      </c>
      <c r="G195" s="33">
        <f t="shared" si="102"/>
        <v>-4.3349607529926475</v>
      </c>
      <c r="H195" s="33">
        <f t="shared" si="103"/>
        <v>-3.9449532172231381</v>
      </c>
      <c r="I195" s="33">
        <f t="shared" si="103"/>
        <v>-3.5549456814536287</v>
      </c>
      <c r="J195" s="33">
        <f t="shared" si="103"/>
        <v>-3.1649381456841201</v>
      </c>
      <c r="K195" s="33">
        <f t="shared" si="103"/>
        <v>-2.7749306099146107</v>
      </c>
      <c r="L195" s="33">
        <f t="shared" si="103"/>
        <v>-2.3849230741451013</v>
      </c>
      <c r="M195" s="33">
        <f t="shared" si="103"/>
        <v>-1.9949155383755921</v>
      </c>
      <c r="N195" s="33">
        <f t="shared" si="103"/>
        <v>-1.6049080026060827</v>
      </c>
      <c r="O195" s="33">
        <f t="shared" si="103"/>
        <v>-1.2149004668365724</v>
      </c>
      <c r="P195" s="33">
        <f t="shared" si="103"/>
        <v>-0.82489293106706385</v>
      </c>
      <c r="Q195" s="33">
        <f t="shared" si="103"/>
        <v>-0.43488539529755443</v>
      </c>
      <c r="R195" s="33">
        <f t="shared" si="103"/>
        <v>-4.4877859528045017E-2</v>
      </c>
      <c r="S195" s="33">
        <f t="shared" si="103"/>
        <v>0.3451296762414644</v>
      </c>
      <c r="T195" s="33">
        <f t="shared" si="103"/>
        <v>0.73513721201097382</v>
      </c>
      <c r="U195" s="33">
        <f t="shared" si="103"/>
        <v>1.1251447477804823</v>
      </c>
      <c r="V195" s="33">
        <f t="shared" si="103"/>
        <v>1.5151522835499918</v>
      </c>
      <c r="W195" s="33">
        <f t="shared" si="103"/>
        <v>1.9051598193195012</v>
      </c>
      <c r="X195" s="34">
        <f t="shared" si="103"/>
        <v>2.2951673550890108</v>
      </c>
    </row>
    <row r="196" spans="2:24" x14ac:dyDescent="0.35">
      <c r="B196" s="63"/>
      <c r="C196" s="24">
        <v>0.55000000000000004</v>
      </c>
      <c r="D196" s="32">
        <f t="shared" si="104"/>
        <v>-5.1952260216346842</v>
      </c>
      <c r="E196" s="33">
        <f t="shared" si="104"/>
        <v>-4.8052184858651747</v>
      </c>
      <c r="F196" s="33">
        <f t="shared" si="102"/>
        <v>-4.4152109500956653</v>
      </c>
      <c r="G196" s="33">
        <f t="shared" si="102"/>
        <v>-4.0252034143261568</v>
      </c>
      <c r="H196" s="33">
        <f t="shared" si="103"/>
        <v>-3.6351958785566469</v>
      </c>
      <c r="I196" s="33">
        <f t="shared" si="103"/>
        <v>-3.245188342787138</v>
      </c>
      <c r="J196" s="33">
        <f t="shared" si="103"/>
        <v>-2.8551808070176286</v>
      </c>
      <c r="K196" s="33">
        <f t="shared" si="103"/>
        <v>-2.4651732712481191</v>
      </c>
      <c r="L196" s="33">
        <f t="shared" si="103"/>
        <v>-2.0751657354786097</v>
      </c>
      <c r="M196" s="33">
        <f t="shared" si="103"/>
        <v>-1.685158199709101</v>
      </c>
      <c r="N196" s="33">
        <f t="shared" si="103"/>
        <v>-1.2951506639395916</v>
      </c>
      <c r="O196" s="33">
        <f t="shared" si="103"/>
        <v>-0.90514312817008125</v>
      </c>
      <c r="P196" s="33">
        <f t="shared" si="103"/>
        <v>-0.51513559240057272</v>
      </c>
      <c r="Q196" s="33">
        <f t="shared" si="103"/>
        <v>-0.1251280566310633</v>
      </c>
      <c r="R196" s="33">
        <f t="shared" si="103"/>
        <v>0.26487947913844612</v>
      </c>
      <c r="S196" s="33">
        <f t="shared" si="103"/>
        <v>0.65488701490795553</v>
      </c>
      <c r="T196" s="33">
        <f t="shared" si="103"/>
        <v>1.044894550677465</v>
      </c>
      <c r="U196" s="33">
        <f t="shared" si="103"/>
        <v>1.4349020864469735</v>
      </c>
      <c r="V196" s="33">
        <f t="shared" si="103"/>
        <v>1.8249096222164829</v>
      </c>
      <c r="W196" s="33">
        <f t="shared" si="103"/>
        <v>2.2149171579859921</v>
      </c>
      <c r="X196" s="34">
        <f t="shared" si="103"/>
        <v>2.6049246937555015</v>
      </c>
    </row>
    <row r="197" spans="2:24" x14ac:dyDescent="0.35">
      <c r="B197" s="63"/>
      <c r="C197" s="24">
        <v>0.5</v>
      </c>
      <c r="D197" s="32">
        <f t="shared" si="104"/>
        <v>-4.8854686829681926</v>
      </c>
      <c r="E197" s="33">
        <f t="shared" si="104"/>
        <v>-4.4954611471986832</v>
      </c>
      <c r="F197" s="33">
        <f t="shared" si="102"/>
        <v>-4.1054536114291738</v>
      </c>
      <c r="G197" s="33">
        <f t="shared" si="102"/>
        <v>-3.7154460756596643</v>
      </c>
      <c r="H197" s="33">
        <f t="shared" si="103"/>
        <v>-3.3254385398901549</v>
      </c>
      <c r="I197" s="33">
        <f t="shared" si="103"/>
        <v>-2.9354310041206455</v>
      </c>
      <c r="J197" s="33">
        <f t="shared" si="103"/>
        <v>-2.545423468351137</v>
      </c>
      <c r="K197" s="33">
        <f t="shared" si="103"/>
        <v>-2.1554159325816276</v>
      </c>
      <c r="L197" s="33">
        <f t="shared" si="103"/>
        <v>-1.7654083968121179</v>
      </c>
      <c r="M197" s="33">
        <f t="shared" si="103"/>
        <v>-1.3754008610426089</v>
      </c>
      <c r="N197" s="33">
        <f t="shared" si="103"/>
        <v>-0.98539332527309953</v>
      </c>
      <c r="O197" s="33">
        <f t="shared" si="103"/>
        <v>-0.59538578950358922</v>
      </c>
      <c r="P197" s="33">
        <f t="shared" si="103"/>
        <v>-0.2053782537340807</v>
      </c>
      <c r="Q197" s="33">
        <f t="shared" si="103"/>
        <v>0.18462928203542872</v>
      </c>
      <c r="R197" s="33">
        <f t="shared" si="103"/>
        <v>0.57463681780493814</v>
      </c>
      <c r="S197" s="33">
        <f t="shared" si="103"/>
        <v>0.96464435357444756</v>
      </c>
      <c r="T197" s="33">
        <f t="shared" si="103"/>
        <v>1.354651889343957</v>
      </c>
      <c r="U197" s="33">
        <f t="shared" si="103"/>
        <v>1.7446594251134655</v>
      </c>
      <c r="V197" s="33">
        <f t="shared" si="103"/>
        <v>2.1346669608829751</v>
      </c>
      <c r="W197" s="33">
        <f t="shared" si="103"/>
        <v>2.5246744966524846</v>
      </c>
      <c r="X197" s="34">
        <f t="shared" si="103"/>
        <v>2.914682032421994</v>
      </c>
    </row>
    <row r="198" spans="2:24" x14ac:dyDescent="0.35">
      <c r="B198" s="63"/>
      <c r="C198" s="24">
        <v>0.45</v>
      </c>
      <c r="D198" s="32">
        <f t="shared" si="104"/>
        <v>-4.575711344301701</v>
      </c>
      <c r="E198" s="33">
        <f t="shared" si="104"/>
        <v>-4.1857038085321916</v>
      </c>
      <c r="F198" s="33">
        <f t="shared" si="102"/>
        <v>-3.7956962727626822</v>
      </c>
      <c r="G198" s="33">
        <f t="shared" si="102"/>
        <v>-3.4056887369931728</v>
      </c>
      <c r="H198" s="33">
        <f t="shared" si="103"/>
        <v>-3.0156812012236633</v>
      </c>
      <c r="I198" s="33">
        <f t="shared" si="103"/>
        <v>-2.6256736654541539</v>
      </c>
      <c r="J198" s="33">
        <f t="shared" si="103"/>
        <v>-2.2356661296846454</v>
      </c>
      <c r="K198" s="33">
        <f t="shared" si="103"/>
        <v>-1.8456585939151358</v>
      </c>
      <c r="L198" s="33">
        <f t="shared" si="103"/>
        <v>-1.4556510581456263</v>
      </c>
      <c r="M198" s="33">
        <f t="shared" si="103"/>
        <v>-1.0656435223761174</v>
      </c>
      <c r="N198" s="33">
        <f t="shared" si="103"/>
        <v>-0.67563598660660795</v>
      </c>
      <c r="O198" s="33">
        <f t="shared" si="103"/>
        <v>-0.28562845083709765</v>
      </c>
      <c r="P198" s="33">
        <f t="shared" si="103"/>
        <v>0.10437908493241088</v>
      </c>
      <c r="Q198" s="33">
        <f t="shared" si="103"/>
        <v>0.4943866207019203</v>
      </c>
      <c r="R198" s="33">
        <f t="shared" si="103"/>
        <v>0.88439415647142972</v>
      </c>
      <c r="S198" s="33">
        <f t="shared" si="103"/>
        <v>1.2744016922409391</v>
      </c>
      <c r="T198" s="33">
        <f t="shared" si="103"/>
        <v>1.6644092280104485</v>
      </c>
      <c r="U198" s="33">
        <f t="shared" si="103"/>
        <v>2.0544167637799573</v>
      </c>
      <c r="V198" s="33">
        <f t="shared" si="103"/>
        <v>2.4444242995494667</v>
      </c>
      <c r="W198" s="33">
        <f t="shared" si="103"/>
        <v>2.8344318353189761</v>
      </c>
      <c r="X198" s="34">
        <f t="shared" si="103"/>
        <v>3.2244393710884856</v>
      </c>
    </row>
    <row r="199" spans="2:24" x14ac:dyDescent="0.35">
      <c r="B199" s="63"/>
      <c r="C199" s="24">
        <v>0.4</v>
      </c>
      <c r="D199" s="32">
        <f t="shared" si="104"/>
        <v>-4.2659540056352094</v>
      </c>
      <c r="E199" s="33">
        <f t="shared" si="104"/>
        <v>-3.8759464698657</v>
      </c>
      <c r="F199" s="33">
        <f t="shared" si="102"/>
        <v>-3.4859389340961906</v>
      </c>
      <c r="G199" s="33">
        <f t="shared" si="102"/>
        <v>-3.0959313983266812</v>
      </c>
      <c r="H199" s="33">
        <f t="shared" si="103"/>
        <v>-2.7059238625571718</v>
      </c>
      <c r="I199" s="33">
        <f t="shared" si="103"/>
        <v>-2.3159163267876623</v>
      </c>
      <c r="J199" s="33">
        <f t="shared" si="103"/>
        <v>-1.9259087910181536</v>
      </c>
      <c r="K199" s="33">
        <f t="shared" si="103"/>
        <v>-1.5359012552486442</v>
      </c>
      <c r="L199" s="33">
        <f t="shared" si="103"/>
        <v>-1.1458937194791348</v>
      </c>
      <c r="M199" s="33">
        <f t="shared" si="103"/>
        <v>-0.75588618370962579</v>
      </c>
      <c r="N199" s="33">
        <f t="shared" si="103"/>
        <v>-0.36587864794011637</v>
      </c>
      <c r="O199" s="33">
        <f t="shared" si="103"/>
        <v>2.412888782939393E-2</v>
      </c>
      <c r="P199" s="33">
        <f t="shared" si="103"/>
        <v>0.41413642359890246</v>
      </c>
      <c r="Q199" s="33">
        <f t="shared" si="103"/>
        <v>0.80414395936841188</v>
      </c>
      <c r="R199" s="33">
        <f t="shared" si="103"/>
        <v>1.1941514951379213</v>
      </c>
      <c r="S199" s="33">
        <f t="shared" si="103"/>
        <v>1.5841590309074307</v>
      </c>
      <c r="T199" s="33">
        <f t="shared" si="103"/>
        <v>1.9741665666769401</v>
      </c>
      <c r="U199" s="33">
        <f t="shared" si="103"/>
        <v>2.3641741024464489</v>
      </c>
      <c r="V199" s="33">
        <f t="shared" si="103"/>
        <v>2.7541816382159583</v>
      </c>
      <c r="W199" s="33">
        <f t="shared" si="103"/>
        <v>3.1441891739854677</v>
      </c>
      <c r="X199" s="34">
        <f t="shared" si="103"/>
        <v>3.5341967097549771</v>
      </c>
    </row>
    <row r="200" spans="2:24" x14ac:dyDescent="0.35">
      <c r="B200" s="63"/>
      <c r="C200" s="24">
        <v>0.35</v>
      </c>
      <c r="D200" s="32">
        <f t="shared" si="104"/>
        <v>-3.956196666968717</v>
      </c>
      <c r="E200" s="33">
        <f t="shared" si="104"/>
        <v>-3.5661891311992076</v>
      </c>
      <c r="F200" s="33">
        <f t="shared" si="102"/>
        <v>-3.1761815954296981</v>
      </c>
      <c r="G200" s="33">
        <f t="shared" si="102"/>
        <v>-2.7861740596601892</v>
      </c>
      <c r="H200" s="33">
        <f t="shared" si="103"/>
        <v>-2.3961665238906797</v>
      </c>
      <c r="I200" s="33">
        <f t="shared" si="103"/>
        <v>-2.0061589881211708</v>
      </c>
      <c r="J200" s="33">
        <f t="shared" si="103"/>
        <v>-1.6161514523516616</v>
      </c>
      <c r="K200" s="33">
        <f t="shared" si="103"/>
        <v>-1.2261439165821522</v>
      </c>
      <c r="L200" s="33">
        <f t="shared" si="103"/>
        <v>-0.83613638081264274</v>
      </c>
      <c r="M200" s="33">
        <f t="shared" si="103"/>
        <v>-0.44612884504313377</v>
      </c>
      <c r="N200" s="33">
        <f t="shared" si="103"/>
        <v>-5.6121309273624354E-2</v>
      </c>
      <c r="O200" s="33">
        <f t="shared" si="103"/>
        <v>0.33388622649588595</v>
      </c>
      <c r="P200" s="33">
        <f t="shared" si="103"/>
        <v>0.72389376226539448</v>
      </c>
      <c r="Q200" s="33">
        <f t="shared" si="103"/>
        <v>1.1139012980349039</v>
      </c>
      <c r="R200" s="33">
        <f t="shared" si="103"/>
        <v>1.5039088338044133</v>
      </c>
      <c r="S200" s="33">
        <f t="shared" si="103"/>
        <v>1.8939163695739227</v>
      </c>
      <c r="T200" s="33">
        <f t="shared" si="103"/>
        <v>2.2839239053434319</v>
      </c>
      <c r="U200" s="33">
        <f t="shared" si="103"/>
        <v>2.6739314411129405</v>
      </c>
      <c r="V200" s="33">
        <f t="shared" si="103"/>
        <v>3.0639389768824499</v>
      </c>
      <c r="W200" s="33">
        <f t="shared" si="103"/>
        <v>3.4539465126519593</v>
      </c>
      <c r="X200" s="34">
        <f t="shared" si="103"/>
        <v>3.8439540484214687</v>
      </c>
    </row>
    <row r="201" spans="2:24" x14ac:dyDescent="0.35">
      <c r="B201" s="63"/>
      <c r="C201" s="24">
        <v>0.3</v>
      </c>
      <c r="D201" s="32">
        <f t="shared" si="104"/>
        <v>-3.6464393283022254</v>
      </c>
      <c r="E201" s="33">
        <f t="shared" si="104"/>
        <v>-3.2564317925327164</v>
      </c>
      <c r="F201" s="33">
        <f t="shared" si="102"/>
        <v>-2.866424256763207</v>
      </c>
      <c r="G201" s="33">
        <f t="shared" si="102"/>
        <v>-2.476416720993698</v>
      </c>
      <c r="H201" s="33">
        <f t="shared" si="103"/>
        <v>-2.0864091852241886</v>
      </c>
      <c r="I201" s="33">
        <f t="shared" si="103"/>
        <v>-1.6964016494546792</v>
      </c>
      <c r="J201" s="33">
        <f t="shared" si="103"/>
        <v>-1.3063941136851702</v>
      </c>
      <c r="K201" s="33">
        <f t="shared" si="103"/>
        <v>-0.9163865779156608</v>
      </c>
      <c r="L201" s="33">
        <f t="shared" si="103"/>
        <v>-0.52637904214615139</v>
      </c>
      <c r="M201" s="33">
        <f t="shared" si="103"/>
        <v>-0.13637150637664242</v>
      </c>
      <c r="N201" s="33">
        <f t="shared" si="103"/>
        <v>0.25363602939286722</v>
      </c>
      <c r="O201" s="33">
        <f t="shared" si="103"/>
        <v>0.64364356516237753</v>
      </c>
      <c r="P201" s="33">
        <f t="shared" si="103"/>
        <v>1.0336511009318861</v>
      </c>
      <c r="Q201" s="33">
        <f t="shared" si="103"/>
        <v>1.4236586367013955</v>
      </c>
      <c r="R201" s="33">
        <f t="shared" si="103"/>
        <v>1.8136661724709049</v>
      </c>
      <c r="S201" s="33">
        <f t="shared" si="103"/>
        <v>2.2036737082404141</v>
      </c>
      <c r="T201" s="33">
        <f t="shared" si="103"/>
        <v>2.5936812440099235</v>
      </c>
      <c r="U201" s="33">
        <f t="shared" si="103"/>
        <v>2.983688779779432</v>
      </c>
      <c r="V201" s="33">
        <f t="shared" si="103"/>
        <v>3.3736963155489414</v>
      </c>
      <c r="W201" s="33">
        <f t="shared" si="103"/>
        <v>3.7637038513184509</v>
      </c>
      <c r="X201" s="34">
        <f t="shared" si="103"/>
        <v>4.1537113870879603</v>
      </c>
    </row>
    <row r="202" spans="2:24" x14ac:dyDescent="0.35">
      <c r="B202" s="63"/>
      <c r="C202" s="24">
        <v>0.25</v>
      </c>
      <c r="D202" s="32">
        <f t="shared" si="104"/>
        <v>-3.3366819896357338</v>
      </c>
      <c r="E202" s="33">
        <f t="shared" si="104"/>
        <v>-2.9466744538662248</v>
      </c>
      <c r="F202" s="33">
        <f t="shared" si="102"/>
        <v>-2.5566669180967154</v>
      </c>
      <c r="G202" s="33">
        <f t="shared" si="102"/>
        <v>-2.1666593823272065</v>
      </c>
      <c r="H202" s="33">
        <f t="shared" si="102"/>
        <v>-1.7766518465576968</v>
      </c>
      <c r="I202" s="33">
        <f t="shared" si="102"/>
        <v>-1.3866443107881876</v>
      </c>
      <c r="J202" s="33">
        <f t="shared" si="102"/>
        <v>-0.99663677501867864</v>
      </c>
      <c r="K202" s="33">
        <f t="shared" si="102"/>
        <v>-0.60662923924916923</v>
      </c>
      <c r="L202" s="33">
        <f t="shared" si="102"/>
        <v>-0.21662170347965981</v>
      </c>
      <c r="M202" s="33">
        <f t="shared" si="102"/>
        <v>0.17338583228984938</v>
      </c>
      <c r="N202" s="33">
        <f t="shared" si="102"/>
        <v>0.5633933680593588</v>
      </c>
      <c r="O202" s="33">
        <f t="shared" si="102"/>
        <v>0.95340090382886911</v>
      </c>
      <c r="P202" s="33">
        <f t="shared" si="102"/>
        <v>1.3434084395983776</v>
      </c>
      <c r="Q202" s="33">
        <f t="shared" si="102"/>
        <v>1.7334159753678871</v>
      </c>
      <c r="R202" s="33">
        <f t="shared" si="102"/>
        <v>2.1234235111373962</v>
      </c>
      <c r="S202" s="33">
        <f t="shared" si="102"/>
        <v>2.5134310469069057</v>
      </c>
      <c r="T202" s="33">
        <f t="shared" si="102"/>
        <v>2.9034385826764151</v>
      </c>
      <c r="U202" s="33">
        <f t="shared" ref="U202:X202" si="105">(U$208 * $P$5) + $P$8 + ($C202 * $P$6) + $P$9</f>
        <v>3.2934461184459236</v>
      </c>
      <c r="V202" s="33">
        <f t="shared" si="105"/>
        <v>3.683453654215433</v>
      </c>
      <c r="W202" s="33">
        <f t="shared" si="105"/>
        <v>4.0734611899849424</v>
      </c>
      <c r="X202" s="34">
        <f t="shared" si="105"/>
        <v>4.4634687257544519</v>
      </c>
    </row>
    <row r="203" spans="2:24" x14ac:dyDescent="0.35">
      <c r="B203" s="63"/>
      <c r="C203" s="24">
        <v>0.2</v>
      </c>
      <c r="D203" s="32">
        <f t="shared" si="104"/>
        <v>-3.0269246509692422</v>
      </c>
      <c r="E203" s="33">
        <f t="shared" si="104"/>
        <v>-2.6369171151997333</v>
      </c>
      <c r="F203" s="33">
        <f t="shared" si="104"/>
        <v>-2.2469095794302238</v>
      </c>
      <c r="G203" s="33">
        <f t="shared" si="104"/>
        <v>-1.8569020436607147</v>
      </c>
      <c r="H203" s="33">
        <f t="shared" si="104"/>
        <v>-1.4668945078912052</v>
      </c>
      <c r="I203" s="33">
        <f t="shared" si="104"/>
        <v>-1.076886972121696</v>
      </c>
      <c r="J203" s="33">
        <f t="shared" si="104"/>
        <v>-0.68687943635218707</v>
      </c>
      <c r="K203" s="33">
        <f t="shared" si="104"/>
        <v>-0.29687190058267765</v>
      </c>
      <c r="L203" s="33">
        <f t="shared" si="104"/>
        <v>9.3135635186831545E-2</v>
      </c>
      <c r="M203" s="33">
        <f t="shared" si="104"/>
        <v>0.48314317095634096</v>
      </c>
      <c r="N203" s="33">
        <f t="shared" si="104"/>
        <v>0.87315070672585038</v>
      </c>
      <c r="O203" s="33">
        <f t="shared" si="104"/>
        <v>1.2631582424953607</v>
      </c>
      <c r="P203" s="33">
        <f t="shared" si="104"/>
        <v>1.6531657782648692</v>
      </c>
      <c r="Q203" s="33">
        <f t="shared" si="104"/>
        <v>2.0431733140343784</v>
      </c>
      <c r="R203" s="33">
        <f t="shared" si="104"/>
        <v>2.4331808498038878</v>
      </c>
      <c r="S203" s="33">
        <f t="shared" si="104"/>
        <v>2.8231883855733972</v>
      </c>
      <c r="T203" s="33">
        <f t="shared" ref="T203:X207" si="106">(T$208 * $P$5) + $P$8 + ($C203 * $P$6) + $P$9</f>
        <v>3.2131959213429067</v>
      </c>
      <c r="U203" s="33">
        <f t="shared" si="106"/>
        <v>3.6032034571124152</v>
      </c>
      <c r="V203" s="33">
        <f t="shared" si="106"/>
        <v>3.9932109928819246</v>
      </c>
      <c r="W203" s="33">
        <f t="shared" si="106"/>
        <v>4.383218528651434</v>
      </c>
      <c r="X203" s="34">
        <f t="shared" si="106"/>
        <v>4.7732260644209434</v>
      </c>
    </row>
    <row r="204" spans="2:24" x14ac:dyDescent="0.35">
      <c r="B204" s="63"/>
      <c r="C204" s="24">
        <v>0.15</v>
      </c>
      <c r="D204" s="32">
        <f t="shared" si="104"/>
        <v>-2.7171673123027507</v>
      </c>
      <c r="E204" s="33">
        <f t="shared" si="104"/>
        <v>-2.3271597765332417</v>
      </c>
      <c r="F204" s="33">
        <f t="shared" si="104"/>
        <v>-1.9371522407637323</v>
      </c>
      <c r="G204" s="33">
        <f t="shared" si="104"/>
        <v>-1.5471447049942229</v>
      </c>
      <c r="H204" s="33">
        <f t="shared" si="104"/>
        <v>-1.1571371692247134</v>
      </c>
      <c r="I204" s="33">
        <f t="shared" si="104"/>
        <v>-0.76712963345520424</v>
      </c>
      <c r="J204" s="33">
        <f t="shared" si="104"/>
        <v>-0.37712209768569527</v>
      </c>
      <c r="K204" s="33">
        <f t="shared" si="104"/>
        <v>1.2885438083814149E-2</v>
      </c>
      <c r="L204" s="33">
        <f t="shared" si="104"/>
        <v>0.40289297385332357</v>
      </c>
      <c r="M204" s="33">
        <f t="shared" si="104"/>
        <v>0.79290050962283254</v>
      </c>
      <c r="N204" s="33">
        <f t="shared" si="104"/>
        <v>1.182908045392342</v>
      </c>
      <c r="O204" s="33">
        <f t="shared" si="104"/>
        <v>1.5729155811618523</v>
      </c>
      <c r="P204" s="33">
        <f t="shared" si="104"/>
        <v>1.9629231169313608</v>
      </c>
      <c r="Q204" s="33">
        <f t="shared" si="104"/>
        <v>2.35293065270087</v>
      </c>
      <c r="R204" s="33">
        <f t="shared" si="104"/>
        <v>2.7429381884703794</v>
      </c>
      <c r="S204" s="33">
        <f t="shared" si="104"/>
        <v>3.1329457242398888</v>
      </c>
      <c r="T204" s="33">
        <f t="shared" si="106"/>
        <v>3.5229532600093982</v>
      </c>
      <c r="U204" s="33">
        <f t="shared" si="106"/>
        <v>3.9129607957789068</v>
      </c>
      <c r="V204" s="33">
        <f t="shared" si="106"/>
        <v>4.3029683315484162</v>
      </c>
      <c r="W204" s="33">
        <f t="shared" si="106"/>
        <v>4.6929758673179256</v>
      </c>
      <c r="X204" s="34">
        <f t="shared" si="106"/>
        <v>5.082983403087435</v>
      </c>
    </row>
    <row r="205" spans="2:24" x14ac:dyDescent="0.35">
      <c r="B205" s="63"/>
      <c r="C205" s="24">
        <v>0.1</v>
      </c>
      <c r="D205" s="32">
        <f t="shared" si="104"/>
        <v>-2.4074099736362591</v>
      </c>
      <c r="E205" s="33">
        <f t="shared" si="104"/>
        <v>-2.0174024378667501</v>
      </c>
      <c r="F205" s="33">
        <f t="shared" si="104"/>
        <v>-1.6273949020972407</v>
      </c>
      <c r="G205" s="33">
        <f t="shared" si="104"/>
        <v>-1.2373873663277313</v>
      </c>
      <c r="H205" s="33">
        <f t="shared" si="104"/>
        <v>-0.84737983055822208</v>
      </c>
      <c r="I205" s="33">
        <f t="shared" si="104"/>
        <v>-0.45737229478871266</v>
      </c>
      <c r="J205" s="33">
        <f t="shared" si="104"/>
        <v>-6.736475901920369E-2</v>
      </c>
      <c r="K205" s="33">
        <f t="shared" si="104"/>
        <v>0.32264277675030573</v>
      </c>
      <c r="L205" s="33">
        <f t="shared" si="104"/>
        <v>0.71265031251981514</v>
      </c>
      <c r="M205" s="33">
        <f t="shared" si="104"/>
        <v>1.1026578482893241</v>
      </c>
      <c r="N205" s="33">
        <f t="shared" si="104"/>
        <v>1.4926653840588335</v>
      </c>
      <c r="O205" s="33">
        <f t="shared" si="104"/>
        <v>1.8826729198283438</v>
      </c>
      <c r="P205" s="33">
        <f t="shared" si="104"/>
        <v>2.2726804555978521</v>
      </c>
      <c r="Q205" s="33">
        <f t="shared" si="104"/>
        <v>2.6626879913673616</v>
      </c>
      <c r="R205" s="33">
        <f t="shared" si="104"/>
        <v>3.052695527136871</v>
      </c>
      <c r="S205" s="33">
        <f t="shared" si="104"/>
        <v>3.4427030629063804</v>
      </c>
      <c r="T205" s="33">
        <f t="shared" si="106"/>
        <v>3.8327105986758898</v>
      </c>
      <c r="U205" s="33">
        <f t="shared" si="106"/>
        <v>4.2227181344453983</v>
      </c>
      <c r="V205" s="33">
        <f t="shared" si="106"/>
        <v>4.6127256702149078</v>
      </c>
      <c r="W205" s="33">
        <f t="shared" si="106"/>
        <v>5.0027332059844172</v>
      </c>
      <c r="X205" s="34">
        <f t="shared" si="106"/>
        <v>5.3927407417539266</v>
      </c>
    </row>
    <row r="206" spans="2:24" x14ac:dyDescent="0.35">
      <c r="B206" s="63"/>
      <c r="C206" s="24">
        <v>0.05</v>
      </c>
      <c r="D206" s="32">
        <f t="shared" si="104"/>
        <v>-2.0976526349697675</v>
      </c>
      <c r="E206" s="33">
        <f t="shared" si="104"/>
        <v>-1.7076450992002583</v>
      </c>
      <c r="F206" s="33">
        <f t="shared" si="104"/>
        <v>-1.3176375634307491</v>
      </c>
      <c r="G206" s="33">
        <f t="shared" si="104"/>
        <v>-0.9276300276612397</v>
      </c>
      <c r="H206" s="33">
        <f t="shared" si="104"/>
        <v>-0.53762249189173028</v>
      </c>
      <c r="I206" s="33">
        <f t="shared" si="104"/>
        <v>-0.14761495612222109</v>
      </c>
      <c r="J206" s="33">
        <f t="shared" si="104"/>
        <v>0.24239257964728789</v>
      </c>
      <c r="K206" s="33">
        <f t="shared" si="104"/>
        <v>0.6324001154167973</v>
      </c>
      <c r="L206" s="33">
        <f t="shared" si="104"/>
        <v>1.0224076511863067</v>
      </c>
      <c r="M206" s="33">
        <f t="shared" si="104"/>
        <v>1.4124151869558157</v>
      </c>
      <c r="N206" s="33">
        <f t="shared" si="104"/>
        <v>1.8024227227253251</v>
      </c>
      <c r="O206" s="33">
        <f t="shared" si="104"/>
        <v>2.1924302584948352</v>
      </c>
      <c r="P206" s="33">
        <f t="shared" si="104"/>
        <v>2.5824377942643437</v>
      </c>
      <c r="Q206" s="33">
        <f t="shared" si="104"/>
        <v>2.9724453300338531</v>
      </c>
      <c r="R206" s="33">
        <f t="shared" si="104"/>
        <v>3.3624528658033626</v>
      </c>
      <c r="S206" s="33">
        <f t="shared" si="104"/>
        <v>3.752460401572872</v>
      </c>
      <c r="T206" s="33">
        <f t="shared" si="106"/>
        <v>4.1424679373423814</v>
      </c>
      <c r="U206" s="33">
        <f t="shared" si="106"/>
        <v>4.5324754731118899</v>
      </c>
      <c r="V206" s="33">
        <f t="shared" si="106"/>
        <v>4.9224830088813993</v>
      </c>
      <c r="W206" s="33">
        <f t="shared" si="106"/>
        <v>5.3124905446509088</v>
      </c>
      <c r="X206" s="34">
        <f t="shared" si="106"/>
        <v>5.7024980804204182</v>
      </c>
    </row>
    <row r="207" spans="2:24" ht="15" thickBot="1" x14ac:dyDescent="0.4">
      <c r="B207" s="64"/>
      <c r="C207" s="25">
        <v>0</v>
      </c>
      <c r="D207" s="35">
        <f t="shared" si="104"/>
        <v>-1.7878952963032759</v>
      </c>
      <c r="E207" s="36">
        <f t="shared" si="104"/>
        <v>-1.3978877605337667</v>
      </c>
      <c r="F207" s="36">
        <f t="shared" si="104"/>
        <v>-1.0078802247642575</v>
      </c>
      <c r="G207" s="36">
        <f t="shared" si="104"/>
        <v>-0.61787268899474812</v>
      </c>
      <c r="H207" s="36">
        <f t="shared" si="104"/>
        <v>-0.2278651532252387</v>
      </c>
      <c r="I207" s="36">
        <f t="shared" si="104"/>
        <v>0.16214238254427049</v>
      </c>
      <c r="J207" s="36">
        <f t="shared" si="104"/>
        <v>0.55214991831377946</v>
      </c>
      <c r="K207" s="36">
        <f t="shared" si="104"/>
        <v>0.94215745408328888</v>
      </c>
      <c r="L207" s="36">
        <f t="shared" si="104"/>
        <v>1.3321649898527983</v>
      </c>
      <c r="M207" s="36">
        <f t="shared" si="104"/>
        <v>1.7221725256223073</v>
      </c>
      <c r="N207" s="36">
        <f t="shared" si="104"/>
        <v>2.1121800613918165</v>
      </c>
      <c r="O207" s="36">
        <f t="shared" si="104"/>
        <v>2.5021875971613268</v>
      </c>
      <c r="P207" s="36">
        <f t="shared" si="104"/>
        <v>2.8921951329308353</v>
      </c>
      <c r="Q207" s="36">
        <f t="shared" si="104"/>
        <v>3.2822026687003447</v>
      </c>
      <c r="R207" s="36">
        <f t="shared" si="104"/>
        <v>3.6722102044698541</v>
      </c>
      <c r="S207" s="36">
        <f t="shared" si="104"/>
        <v>4.0622177402393636</v>
      </c>
      <c r="T207" s="36">
        <f t="shared" si="106"/>
        <v>4.452225276008873</v>
      </c>
      <c r="U207" s="36">
        <f t="shared" si="106"/>
        <v>4.8422328117783815</v>
      </c>
      <c r="V207" s="36">
        <f t="shared" si="106"/>
        <v>5.2322403475478909</v>
      </c>
      <c r="W207" s="36">
        <f t="shared" si="106"/>
        <v>5.6222478833174003</v>
      </c>
      <c r="X207" s="37">
        <f t="shared" si="106"/>
        <v>6.0122554190869097</v>
      </c>
    </row>
    <row r="208" spans="2:24" x14ac:dyDescent="0.35">
      <c r="C208" s="9"/>
      <c r="D208" s="28">
        <v>0</v>
      </c>
      <c r="E208" s="26">
        <v>0.05</v>
      </c>
      <c r="F208" s="26">
        <v>0.1</v>
      </c>
      <c r="G208" s="26">
        <v>0.15</v>
      </c>
      <c r="H208" s="26">
        <v>0.2</v>
      </c>
      <c r="I208" s="26">
        <v>0.25</v>
      </c>
      <c r="J208" s="26">
        <v>0.3</v>
      </c>
      <c r="K208" s="26">
        <v>0.35</v>
      </c>
      <c r="L208" s="26">
        <v>0.4</v>
      </c>
      <c r="M208" s="26">
        <v>0.45</v>
      </c>
      <c r="N208" s="26">
        <v>0.5</v>
      </c>
      <c r="O208" s="26">
        <v>0.55000000000000004</v>
      </c>
      <c r="P208" s="26">
        <v>0.6</v>
      </c>
      <c r="Q208" s="26">
        <v>0.65</v>
      </c>
      <c r="R208" s="26">
        <v>0.7</v>
      </c>
      <c r="S208" s="26">
        <v>0.75</v>
      </c>
      <c r="T208" s="26">
        <v>0.8</v>
      </c>
      <c r="U208" s="26">
        <v>0.85</v>
      </c>
      <c r="V208" s="26">
        <v>0.9</v>
      </c>
      <c r="W208" s="26">
        <v>0.95</v>
      </c>
      <c r="X208" s="27">
        <v>1</v>
      </c>
    </row>
    <row r="209" spans="3:24" ht="21.5" thickBot="1" x14ac:dyDescent="0.55000000000000004">
      <c r="C209" s="9"/>
      <c r="D209" s="56" t="s">
        <v>64</v>
      </c>
      <c r="E209" s="57"/>
      <c r="F209" s="57"/>
      <c r="G209" s="57"/>
      <c r="H209" s="57"/>
      <c r="I209" s="57"/>
      <c r="J209" s="57"/>
      <c r="K209" s="57"/>
      <c r="L209" s="57"/>
      <c r="M209" s="57"/>
      <c r="N209" s="57"/>
      <c r="O209" s="57"/>
      <c r="P209" s="57"/>
      <c r="Q209" s="57"/>
      <c r="R209" s="57"/>
      <c r="S209" s="57"/>
      <c r="T209" s="57"/>
      <c r="U209" s="57"/>
      <c r="V209" s="57"/>
      <c r="W209" s="57"/>
      <c r="X209" s="58"/>
    </row>
  </sheetData>
  <mergeCells count="20">
    <mergeCell ref="B187:B207"/>
    <mergeCell ref="D209:X209"/>
    <mergeCell ref="D157:X157"/>
    <mergeCell ref="B160:X160"/>
    <mergeCell ref="B161:B181"/>
    <mergeCell ref="D183:X183"/>
    <mergeCell ref="B186:X186"/>
    <mergeCell ref="D131:X131"/>
    <mergeCell ref="B108:X108"/>
    <mergeCell ref="B134:X134"/>
    <mergeCell ref="B135:B155"/>
    <mergeCell ref="B109:B129"/>
    <mergeCell ref="AP3:AU3"/>
    <mergeCell ref="AW3:BB3"/>
    <mergeCell ref="BD3:BI3"/>
    <mergeCell ref="C3:E3"/>
    <mergeCell ref="G3:I3"/>
    <mergeCell ref="X3:AA3"/>
    <mergeCell ref="AC3:AF3"/>
    <mergeCell ref="AI3:AN3"/>
  </mergeCells>
  <conditionalFormatting sqref="D109:X129">
    <cfRule type="colorScale" priority="1">
      <colorScale>
        <cfvo type="num" val="0"/>
        <cfvo type="num" val="0.5"/>
        <cfvo type="num" val="1"/>
        <color rgb="FF5A8AC6"/>
        <color rgb="FFFCFCFF"/>
        <color rgb="FFF8696B"/>
      </colorScale>
    </cfRule>
  </conditionalFormatting>
  <pageMargins left="0.7" right="0.7" top="0.75" bottom="0.75" header="0.3" footer="0.3"/>
  <pageSetup paperSize="9"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terate_model">
                <anchor moveWithCells="1" sizeWithCells="1">
                  <from>
                    <xdr:col>6</xdr:col>
                    <xdr:colOff>419100</xdr:colOff>
                    <xdr:row>25</xdr:row>
                    <xdr:rowOff>107950</xdr:rowOff>
                  </from>
                  <to>
                    <xdr:col>9</xdr:col>
                    <xdr:colOff>330200</xdr:colOff>
                    <xdr:row>28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Iteration_History">
                <anchor moveWithCells="1" sizeWithCells="1">
                  <from>
                    <xdr:col>6</xdr:col>
                    <xdr:colOff>412750</xdr:colOff>
                    <xdr:row>29</xdr:row>
                    <xdr:rowOff>139700</xdr:rowOff>
                  </from>
                  <to>
                    <xdr:col>9</xdr:col>
                    <xdr:colOff>336550</xdr:colOff>
                    <xdr:row>32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B7D450-1EBA-4F07-8F09-71E9E9BDA76C}">
  <sheetPr codeName="Sheet2"/>
  <dimension ref="A1:T218"/>
  <sheetViews>
    <sheetView zoomScale="23" zoomScaleNormal="23" workbookViewId="0">
      <selection activeCell="W65" sqref="W65"/>
    </sheetView>
  </sheetViews>
  <sheetFormatPr defaultRowHeight="14.5" x14ac:dyDescent="0.35"/>
  <sheetData>
    <row r="1" spans="1:20" x14ac:dyDescent="0.35">
      <c r="A1" t="s">
        <v>73</v>
      </c>
      <c r="C1" s="50" t="s">
        <v>65</v>
      </c>
      <c r="D1" s="50"/>
      <c r="F1" s="50" t="s">
        <v>68</v>
      </c>
      <c r="G1" s="50"/>
      <c r="I1" s="50" t="s">
        <v>69</v>
      </c>
      <c r="J1" s="50"/>
      <c r="L1" s="50" t="s">
        <v>70</v>
      </c>
      <c r="M1" s="50"/>
      <c r="O1" s="50" t="s">
        <v>71</v>
      </c>
      <c r="P1" s="50"/>
      <c r="R1" s="50" t="s">
        <v>72</v>
      </c>
      <c r="S1" s="50"/>
    </row>
    <row r="2" spans="1:20" x14ac:dyDescent="0.35">
      <c r="A2" t="s">
        <v>21</v>
      </c>
      <c r="C2" t="s">
        <v>66</v>
      </c>
      <c r="D2" t="s">
        <v>67</v>
      </c>
      <c r="F2" t="s">
        <v>74</v>
      </c>
      <c r="G2" t="s">
        <v>67</v>
      </c>
      <c r="I2" t="s">
        <v>66</v>
      </c>
      <c r="J2" t="s">
        <v>67</v>
      </c>
      <c r="L2" t="s">
        <v>74</v>
      </c>
      <c r="M2" t="s">
        <v>67</v>
      </c>
      <c r="O2" t="s">
        <v>66</v>
      </c>
      <c r="P2" t="s">
        <v>67</v>
      </c>
      <c r="R2" t="s">
        <v>74</v>
      </c>
      <c r="S2" t="s">
        <v>67</v>
      </c>
    </row>
    <row r="3" spans="1:20" x14ac:dyDescent="0.35">
      <c r="A3" s="6">
        <v>0.60368850364358972</v>
      </c>
      <c r="B3" s="6"/>
      <c r="C3" s="6">
        <v>4.0091923710978445</v>
      </c>
      <c r="D3" s="6">
        <v>-0.15310988616742305</v>
      </c>
      <c r="E3" s="6"/>
      <c r="F3" s="6">
        <v>-1.6198527986584685</v>
      </c>
      <c r="G3" s="6">
        <v>7.5082159163575315E-2</v>
      </c>
      <c r="H3" s="6"/>
      <c r="I3" s="6">
        <v>-4.1857659684933051</v>
      </c>
      <c r="J3" s="6">
        <v>4.7631928307019455E-2</v>
      </c>
      <c r="K3" s="6"/>
      <c r="L3" s="6">
        <v>0.10119296327740815</v>
      </c>
      <c r="M3" s="6">
        <v>-5.5001621547424731E-2</v>
      </c>
      <c r="N3" s="6"/>
      <c r="O3" s="6">
        <v>2.898668608751537</v>
      </c>
      <c r="P3" s="6">
        <v>-0.11583121013352426</v>
      </c>
      <c r="Q3" s="6"/>
      <c r="R3" s="6">
        <v>-0.16449625762393155</v>
      </c>
      <c r="S3" s="6">
        <v>-5.5001621547424731E-2</v>
      </c>
      <c r="T3" s="6"/>
    </row>
    <row r="4" spans="1:20" x14ac:dyDescent="0.35">
      <c r="A4" s="6">
        <v>0.59478253480650412</v>
      </c>
      <c r="B4" s="6"/>
      <c r="C4" s="6">
        <v>4.0392873333948378</v>
      </c>
      <c r="D4" s="6">
        <v>-0.15168147307804269</v>
      </c>
      <c r="E4" s="6"/>
      <c r="F4" s="6">
        <v>-1.6378578637496073</v>
      </c>
      <c r="G4" s="6">
        <v>7.3596234643442823E-2</v>
      </c>
      <c r="H4" s="6"/>
      <c r="I4" s="6">
        <v>-4.1960600489942674</v>
      </c>
      <c r="J4" s="6">
        <v>4.7563987220155035E-2</v>
      </c>
      <c r="K4" s="6"/>
      <c r="L4" s="6">
        <v>9.0013831860365018E-2</v>
      </c>
      <c r="M4" s="6">
        <v>-5.3726180397287826E-2</v>
      </c>
      <c r="N4" s="6"/>
      <c r="O4" s="6">
        <v>2.9218348507782417</v>
      </c>
      <c r="P4" s="6">
        <v>-0.11447996134229926</v>
      </c>
      <c r="Q4" s="6"/>
      <c r="R4" s="6">
        <v>-0.1565644316804651</v>
      </c>
      <c r="S4" s="6">
        <v>-5.3726180397287826E-2</v>
      </c>
      <c r="T4" s="6"/>
    </row>
    <row r="5" spans="1:20" x14ac:dyDescent="0.35">
      <c r="A5" s="6">
        <v>0.58608414904526762</v>
      </c>
      <c r="B5" s="6"/>
      <c r="C5" s="6">
        <v>4.0691040899806916</v>
      </c>
      <c r="D5" s="6">
        <v>-0.15025233334154886</v>
      </c>
      <c r="E5" s="6"/>
      <c r="F5" s="6">
        <v>-1.6554867438282814</v>
      </c>
      <c r="G5" s="6">
        <v>7.2187764810139318E-2</v>
      </c>
      <c r="H5" s="6"/>
      <c r="I5" s="6">
        <v>-4.2063343400896391</v>
      </c>
      <c r="J5" s="6">
        <v>4.747088271293793E-2</v>
      </c>
      <c r="K5" s="6"/>
      <c r="L5" s="6">
        <v>7.8873170530832148E-2</v>
      </c>
      <c r="M5" s="6">
        <v>-5.2514278551291177E-2</v>
      </c>
      <c r="N5" s="6"/>
      <c r="O5" s="6">
        <v>2.9447308430467016</v>
      </c>
      <c r="P5" s="6">
        <v>-0.11316654193091363</v>
      </c>
      <c r="Q5" s="6"/>
      <c r="R5" s="6">
        <v>-0.14885461206461514</v>
      </c>
      <c r="S5" s="6">
        <v>-5.2514278551291177E-2</v>
      </c>
      <c r="T5" s="6"/>
    </row>
    <row r="6" spans="1:20" x14ac:dyDescent="0.35">
      <c r="A6" s="6">
        <v>0.57758584525681789</v>
      </c>
      <c r="B6" s="6"/>
      <c r="C6" s="6">
        <v>4.0986423394235976</v>
      </c>
      <c r="D6" s="6">
        <v>-0.14882547050267653</v>
      </c>
      <c r="E6" s="6"/>
      <c r="F6" s="6">
        <v>-1.6727579309752478</v>
      </c>
      <c r="G6" s="6">
        <v>7.0848648397945191E-2</v>
      </c>
      <c r="H6" s="6"/>
      <c r="I6" s="6">
        <v>-4.216583858052295</v>
      </c>
      <c r="J6" s="6">
        <v>4.7353871456835686E-2</v>
      </c>
      <c r="K6" s="6"/>
      <c r="L6" s="6">
        <v>6.777535042594264E-2</v>
      </c>
      <c r="M6" s="6">
        <v>-5.1364021980066829E-2</v>
      </c>
      <c r="N6" s="6"/>
      <c r="O6" s="6">
        <v>2.9673641514328843</v>
      </c>
      <c r="P6" s="6">
        <v>-0.1118902233597255</v>
      </c>
      <c r="Q6" s="6"/>
      <c r="R6" s="6">
        <v>-0.14135411680749249</v>
      </c>
      <c r="S6" s="6">
        <v>-5.1364021980066829E-2</v>
      </c>
      <c r="T6" s="6"/>
    </row>
    <row r="7" spans="1:20" x14ac:dyDescent="0.35">
      <c r="A7" s="6">
        <v>0.56928053745169982</v>
      </c>
      <c r="B7" s="6"/>
      <c r="C7" s="6">
        <v>4.1279023712382283</v>
      </c>
      <c r="D7" s="6">
        <v>-0.14740309987729919</v>
      </c>
      <c r="E7" s="6"/>
      <c r="F7" s="6">
        <v>-1.6896882789218324</v>
      </c>
      <c r="G7" s="6">
        <v>6.9572592677639988E-2</v>
      </c>
      <c r="H7" s="6"/>
      <c r="I7" s="6">
        <v>-4.2268038791159075</v>
      </c>
      <c r="J7" s="6">
        <v>4.7214565525378616E-2</v>
      </c>
      <c r="K7" s="6"/>
      <c r="L7" s="6">
        <v>5.6724469914886139E-2</v>
      </c>
      <c r="M7" s="6">
        <v>-5.0272552335516071E-2</v>
      </c>
      <c r="N7" s="6"/>
      <c r="O7" s="6">
        <v>2.9897421961048294</v>
      </c>
      <c r="P7" s="6">
        <v>-0.11064969897347723</v>
      </c>
      <c r="Q7" s="6"/>
      <c r="R7" s="6">
        <v>-0.13405072793730924</v>
      </c>
      <c r="S7" s="6">
        <v>-5.0272552335516071E-2</v>
      </c>
      <c r="T7" s="6"/>
    </row>
    <row r="8" spans="1:20" x14ac:dyDescent="0.35">
      <c r="A8" s="6">
        <v>0.56116154045911104</v>
      </c>
      <c r="B8" s="6"/>
      <c r="C8" s="6">
        <v>4.1568849157395054</v>
      </c>
      <c r="D8" s="6">
        <v>-0.14598691742394154</v>
      </c>
      <c r="E8" s="6"/>
      <c r="F8" s="6">
        <v>-1.7062933046392188</v>
      </c>
      <c r="G8" s="6">
        <v>6.8354500353400682E-2</v>
      </c>
      <c r="H8" s="6"/>
      <c r="I8" s="6">
        <v>-4.2369900056900063</v>
      </c>
      <c r="J8" s="6">
        <v>4.7054726697249749E-2</v>
      </c>
      <c r="K8" s="6"/>
      <c r="L8" s="6">
        <v>4.572430711258639E-2</v>
      </c>
      <c r="M8" s="6">
        <v>-4.9236553129060182E-2</v>
      </c>
      <c r="N8" s="6"/>
      <c r="O8" s="6">
        <v>3.0118721358995248</v>
      </c>
      <c r="P8" s="6">
        <v>-0.10944337571478843</v>
      </c>
      <c r="Q8" s="6"/>
      <c r="R8" s="6">
        <v>-0.1269328552598738</v>
      </c>
      <c r="S8" s="6">
        <v>-4.9236553129060182E-2</v>
      </c>
      <c r="T8" s="6"/>
    </row>
    <row r="9" spans="1:20" x14ac:dyDescent="0.35">
      <c r="A9" s="6">
        <v>0.55322254703551921</v>
      </c>
      <c r="B9" s="6"/>
      <c r="C9" s="6">
        <v>4.1855910445989961</v>
      </c>
      <c r="D9" s="6">
        <v>-0.14457826779994049</v>
      </c>
      <c r="E9" s="6"/>
      <c r="F9" s="6">
        <v>-1.7225873950703601</v>
      </c>
      <c r="G9" s="6">
        <v>6.7190087852656608E-2</v>
      </c>
      <c r="H9" s="6"/>
      <c r="I9" s="6">
        <v>-4.2471381934047718</v>
      </c>
      <c r="J9" s="6">
        <v>4.6876144776139474E-2</v>
      </c>
      <c r="K9" s="6"/>
      <c r="L9" s="6">
        <v>3.4778303628997496E-2</v>
      </c>
      <c r="M9" s="6">
        <v>-4.8252551879578109E-2</v>
      </c>
      <c r="N9" s="6"/>
      <c r="O9" s="6">
        <v>3.0337608110424825</v>
      </c>
      <c r="P9" s="6">
        <v>-0.10826954847015428</v>
      </c>
      <c r="Q9" s="6"/>
      <c r="R9" s="6">
        <v>-0.11998960960415192</v>
      </c>
      <c r="S9" s="6">
        <v>-4.8252551879578109E-2</v>
      </c>
      <c r="T9" s="6"/>
    </row>
    <row r="10" spans="1:20" x14ac:dyDescent="0.35">
      <c r="A10" s="6">
        <v>0.54545760145023825</v>
      </c>
      <c r="B10" s="6"/>
      <c r="C10" s="6">
        <v>4.214022103099186</v>
      </c>
      <c r="D10" s="6">
        <v>-0.14317825000021261</v>
      </c>
      <c r="E10" s="6"/>
      <c r="F10" s="6">
        <v>-1.7385839543342541</v>
      </c>
      <c r="G10" s="6">
        <v>6.6075646089075499E-2</v>
      </c>
      <c r="H10" s="6"/>
      <c r="I10" s="6">
        <v>-4.2572447550431614</v>
      </c>
      <c r="J10" s="6">
        <v>4.6680567589878243E-2</v>
      </c>
      <c r="K10" s="6"/>
      <c r="L10" s="6">
        <v>2.388956652692064E-2</v>
      </c>
      <c r="M10" s="6">
        <v>-4.731709657722255E-2</v>
      </c>
      <c r="N10" s="6"/>
      <c r="O10" s="6">
        <v>3.0554147207365134</v>
      </c>
      <c r="P10" s="6">
        <v>-0.10712650220472028</v>
      </c>
      <c r="Q10" s="6"/>
      <c r="R10" s="6">
        <v>-0.11321082233269474</v>
      </c>
      <c r="S10" s="6">
        <v>-4.731709657722255E-2</v>
      </c>
      <c r="T10" s="6"/>
    </row>
    <row r="11" spans="1:20" x14ac:dyDescent="0.35">
      <c r="A11" s="6">
        <v>0.53786107243000891</v>
      </c>
      <c r="B11" s="6"/>
      <c r="C11" s="6">
        <v>4.2421796623300123</v>
      </c>
      <c r="D11" s="6">
        <v>-0.14178778435930733</v>
      </c>
      <c r="E11" s="6"/>
      <c r="F11" s="6">
        <v>-1.754295513138016</v>
      </c>
      <c r="G11" s="6">
        <v>6.5007888974364672E-2</v>
      </c>
      <c r="H11" s="6"/>
      <c r="I11" s="6">
        <v>-4.2673063512290579</v>
      </c>
      <c r="J11" s="6">
        <v>4.646966259778313E-2</v>
      </c>
      <c r="K11" s="6"/>
      <c r="L11" s="6">
        <v>1.3060880513528829E-2</v>
      </c>
      <c r="M11" s="6">
        <v>-4.6426855090868385E-2</v>
      </c>
      <c r="N11" s="6"/>
      <c r="O11" s="6">
        <v>3.0768400211774574</v>
      </c>
      <c r="P11" s="6">
        <v>-0.10601256987084348</v>
      </c>
      <c r="Q11" s="6"/>
      <c r="R11" s="6">
        <v>-0.10658703374714995</v>
      </c>
      <c r="S11" s="6">
        <v>-4.6426855090868385E-2</v>
      </c>
      <c r="T11" s="6"/>
    </row>
    <row r="12" spans="1:20" x14ac:dyDescent="0.35">
      <c r="A12" s="6">
        <v>0.53042762702487922</v>
      </c>
      <c r="B12" s="6"/>
      <c r="C12" s="6">
        <v>4.2700654840572216</v>
      </c>
      <c r="D12" s="6">
        <v>-0.14040765562627761</v>
      </c>
      <c r="E12" s="6"/>
      <c r="F12" s="6">
        <v>-1.7697338137872407</v>
      </c>
      <c r="G12" s="6">
        <v>6.398385602957557E-2</v>
      </c>
      <c r="H12" s="6"/>
      <c r="I12" s="6">
        <v>-4.2773199739007595</v>
      </c>
      <c r="J12" s="6">
        <v>4.624499767456778E-2</v>
      </c>
      <c r="K12" s="6"/>
      <c r="L12" s="6">
        <v>2.2947255177184923E-3</v>
      </c>
      <c r="M12" s="6">
        <v>-4.5578667645436929E-2</v>
      </c>
      <c r="N12" s="6"/>
      <c r="O12" s="6">
        <v>3.0980425351516261</v>
      </c>
      <c r="P12" s="6">
        <v>-0.10492616340284522</v>
      </c>
      <c r="Q12" s="6"/>
      <c r="R12" s="6">
        <v>-0.10010946423327159</v>
      </c>
      <c r="S12" s="6">
        <v>-4.5578667645436929E-2</v>
      </c>
      <c r="T12" s="6"/>
    </row>
    <row r="13" spans="1:20" x14ac:dyDescent="0.35">
      <c r="A13" s="6">
        <v>0.52315220617525215</v>
      </c>
      <c r="B13" s="6"/>
      <c r="C13" s="6">
        <v>4.2976814937636112</v>
      </c>
      <c r="D13" s="6">
        <v>-0.13903854120127132</v>
      </c>
      <c r="E13" s="6"/>
      <c r="F13" s="6">
        <v>-1.7849098790659428</v>
      </c>
      <c r="G13" s="6">
        <v>6.3000848420278532E-2</v>
      </c>
      <c r="H13" s="6"/>
      <c r="I13" s="6">
        <v>-4.287282926222419</v>
      </c>
      <c r="J13" s="6">
        <v>4.6008033389820888E-2</v>
      </c>
      <c r="K13" s="6"/>
      <c r="L13" s="6">
        <v>-8.4067032638591062E-3</v>
      </c>
      <c r="M13" s="6">
        <v>-4.4769570993708319E-2</v>
      </c>
      <c r="N13" s="6"/>
      <c r="O13" s="6">
        <v>3.1190277678321952</v>
      </c>
      <c r="P13" s="6">
        <v>-0.10386578848621962</v>
      </c>
      <c r="Q13" s="6"/>
      <c r="R13" s="6">
        <v>-9.3769976552694159E-2</v>
      </c>
      <c r="S13" s="6">
        <v>-4.4769570993708319E-2</v>
      </c>
      <c r="T13" s="6"/>
    </row>
    <row r="14" spans="1:20" x14ac:dyDescent="0.35">
      <c r="A14" s="6">
        <v>0.51603000230510976</v>
      </c>
      <c r="B14" s="6"/>
      <c r="C14" s="6">
        <v>4.3250297590749112</v>
      </c>
      <c r="D14" s="6">
        <v>-0.13768103014493632</v>
      </c>
      <c r="E14" s="6"/>
      <c r="F14" s="6">
        <v>-1.7998340701183206</v>
      </c>
      <c r="G14" s="6">
        <v>6.2056385718286255E-2</v>
      </c>
      <c r="H14" s="6"/>
      <c r="I14" s="6">
        <v>-4.2971928011185216</v>
      </c>
      <c r="J14" s="6">
        <v>4.5760122052016142E-2</v>
      </c>
      <c r="K14" s="6"/>
      <c r="L14" s="6">
        <v>-1.9041474580571309E-2</v>
      </c>
      <c r="M14" s="6">
        <v>-4.3996805766809324E-2</v>
      </c>
      <c r="N14" s="6"/>
      <c r="O14" s="6">
        <v>3.139800925529439</v>
      </c>
      <c r="P14" s="6">
        <v>-0.10283004968344711</v>
      </c>
      <c r="Q14" s="6"/>
      <c r="R14" s="6">
        <v>-8.7561034331468432E-2</v>
      </c>
      <c r="S14" s="6">
        <v>-4.3996805766809324E-2</v>
      </c>
      <c r="T14" s="6"/>
    </row>
    <row r="15" spans="1:20" x14ac:dyDescent="0.35">
      <c r="A15" s="6">
        <v>0.50905643900929665</v>
      </c>
      <c r="B15" s="6"/>
      <c r="C15" s="6">
        <v>4.3521124718370245</v>
      </c>
      <c r="D15" s="6">
        <v>-0.13633563642248595</v>
      </c>
      <c r="E15" s="6"/>
      <c r="F15" s="6">
        <v>-1.8145161365399454</v>
      </c>
      <c r="G15" s="6">
        <v>6.1148175594392382E-2</v>
      </c>
      <c r="H15" s="6"/>
      <c r="I15" s="6">
        <v>-4.3070474597133197</v>
      </c>
      <c r="J15" s="6">
        <v>4.5502510615090586E-2</v>
      </c>
      <c r="K15" s="6"/>
      <c r="L15" s="6">
        <v>-2.9607900600849883E-2</v>
      </c>
      <c r="M15" s="6">
        <v>-4.3257814060548003E-2</v>
      </c>
      <c r="N15" s="6"/>
      <c r="O15" s="6">
        <v>3.1603669354661283</v>
      </c>
      <c r="P15" s="6">
        <v>-0.1018176499564499</v>
      </c>
      <c r="Q15" s="6"/>
      <c r="R15" s="6">
        <v>-8.1475659728176456E-2</v>
      </c>
      <c r="S15" s="6">
        <v>-4.3257814060548003E-2</v>
      </c>
      <c r="T15" s="6"/>
    </row>
    <row r="16" spans="1:20" x14ac:dyDescent="0.35">
      <c r="A16" s="6">
        <v>0.49263775721448722</v>
      </c>
      <c r="B16" s="6"/>
      <c r="C16" s="6">
        <v>4.4176435622857433</v>
      </c>
      <c r="D16" s="6">
        <v>-0.13856518424702005</v>
      </c>
      <c r="E16" s="6"/>
      <c r="F16" s="6">
        <v>-1.8541514847349607</v>
      </c>
      <c r="G16" s="6">
        <v>4.6762123597867342E-2</v>
      </c>
      <c r="H16" s="6"/>
      <c r="I16" s="6">
        <v>-4.3341487857781278</v>
      </c>
      <c r="J16" s="6">
        <v>3.9202898574200111E-2</v>
      </c>
      <c r="K16" s="6"/>
      <c r="L16" s="6">
        <v>-5.9284529973030881E-2</v>
      </c>
      <c r="M16" s="6">
        <v>-5.497201588603029E-2</v>
      </c>
      <c r="N16" s="6"/>
      <c r="O16" s="6">
        <v>3.2112757604443534</v>
      </c>
      <c r="P16" s="6">
        <v>-0.10677472999920656</v>
      </c>
      <c r="Q16" s="6"/>
      <c r="R16" s="6">
        <v>-7.5906941789326748E-2</v>
      </c>
      <c r="S16" s="6">
        <v>-5.497201588603029E-2</v>
      </c>
      <c r="T16" s="6"/>
    </row>
    <row r="17" spans="1:20" x14ac:dyDescent="0.35">
      <c r="A17" s="6">
        <v>0.47631912466138854</v>
      </c>
      <c r="B17" s="6"/>
      <c r="C17" s="6">
        <v>4.4839162077850725</v>
      </c>
      <c r="D17" s="6">
        <v>-0.13641536822190153</v>
      </c>
      <c r="E17" s="6"/>
      <c r="F17" s="6">
        <v>-1.8895072325233075</v>
      </c>
      <c r="G17" s="6">
        <v>4.2280662838276986E-2</v>
      </c>
      <c r="H17" s="6"/>
      <c r="I17" s="6">
        <v>-4.3583227771493771</v>
      </c>
      <c r="J17" s="6">
        <v>3.7150751958944926E-2</v>
      </c>
      <c r="K17" s="6"/>
      <c r="L17" s="6">
        <v>-8.7038461173316081E-2</v>
      </c>
      <c r="M17" s="6">
        <v>-5.6556611880065819E-2</v>
      </c>
      <c r="N17" s="6"/>
      <c r="O17" s="6">
        <v>3.2646631254439566</v>
      </c>
      <c r="P17" s="6">
        <v>-0.106074947202767</v>
      </c>
      <c r="Q17" s="6"/>
      <c r="R17" s="6">
        <v>-6.5576098718776066E-2</v>
      </c>
      <c r="S17" s="6">
        <v>-5.6556611880065819E-2</v>
      </c>
      <c r="T17" s="6"/>
    </row>
    <row r="18" spans="1:20" x14ac:dyDescent="0.35">
      <c r="A18" s="6">
        <v>0.4606093647837291</v>
      </c>
      <c r="B18" s="6"/>
      <c r="C18" s="6">
        <v>4.5490951367249703</v>
      </c>
      <c r="D18" s="6">
        <v>-0.13322663983541039</v>
      </c>
      <c r="E18" s="6"/>
      <c r="F18" s="6">
        <v>-1.9228630894866678</v>
      </c>
      <c r="G18" s="6">
        <v>4.0427968224380648E-2</v>
      </c>
      <c r="H18" s="6"/>
      <c r="I18" s="6">
        <v>-4.3814536821406795</v>
      </c>
      <c r="J18" s="6">
        <v>3.6184515131956141E-2</v>
      </c>
      <c r="K18" s="6"/>
      <c r="L18" s="6">
        <v>-0.11388634866978907</v>
      </c>
      <c r="M18" s="6">
        <v>-5.5602963619302892E-2</v>
      </c>
      <c r="N18" s="6"/>
      <c r="O18" s="6">
        <v>3.3177005990453403</v>
      </c>
      <c r="P18" s="6">
        <v>-0.10398824202066351</v>
      </c>
      <c r="Q18" s="6"/>
      <c r="R18" s="6">
        <v>-5.4341274501601408E-2</v>
      </c>
      <c r="S18" s="6">
        <v>-5.5602963619302892E-2</v>
      </c>
      <c r="T18" s="6"/>
    </row>
    <row r="19" spans="1:20" x14ac:dyDescent="0.35">
      <c r="A19" s="6">
        <v>0.44563029064151705</v>
      </c>
      <c r="B19" s="6"/>
      <c r="C19" s="6">
        <v>4.6127493301214635</v>
      </c>
      <c r="D19" s="6">
        <v>-0.12985885330207803</v>
      </c>
      <c r="E19" s="6"/>
      <c r="F19" s="6">
        <v>-1.9548809900454975</v>
      </c>
      <c r="G19" s="6">
        <v>3.9313832652837999E-2</v>
      </c>
      <c r="H19" s="6"/>
      <c r="I19" s="6">
        <v>-4.4040232576220504</v>
      </c>
      <c r="J19" s="6">
        <v>3.5490390576535635E-2</v>
      </c>
      <c r="K19" s="6"/>
      <c r="L19" s="6">
        <v>-0.14009395457987867</v>
      </c>
      <c r="M19" s="6">
        <v>-5.4077650808178238E-2</v>
      </c>
      <c r="N19" s="6"/>
      <c r="O19" s="6">
        <v>3.3696947200556719</v>
      </c>
      <c r="P19" s="6">
        <v>-0.10162269591442465</v>
      </c>
      <c r="Q19" s="6"/>
      <c r="R19" s="6">
        <v>-4.3169137626771707E-2</v>
      </c>
      <c r="S19" s="6">
        <v>-5.4077650808178238E-2</v>
      </c>
      <c r="T19" s="6"/>
    </row>
    <row r="20" spans="1:20" x14ac:dyDescent="0.35">
      <c r="A20" s="6">
        <v>0.4313766930571199</v>
      </c>
      <c r="B20" s="6"/>
      <c r="C20" s="6">
        <v>4.6748092326815724</v>
      </c>
      <c r="D20" s="6">
        <v>-0.12653383933920259</v>
      </c>
      <c r="E20" s="6"/>
      <c r="F20" s="6">
        <v>-1.9857978011236388</v>
      </c>
      <c r="G20" s="6">
        <v>3.8439467281800713E-2</v>
      </c>
      <c r="H20" s="6"/>
      <c r="I20" s="6">
        <v>-4.4261529600280145</v>
      </c>
      <c r="J20" s="6">
        <v>3.4860936458949957E-2</v>
      </c>
      <c r="K20" s="6"/>
      <c r="L20" s="6">
        <v>-0.16573439319886135</v>
      </c>
      <c r="M20" s="6">
        <v>-5.2483120787658752E-2</v>
      </c>
      <c r="N20" s="6"/>
      <c r="O20" s="6">
        <v>3.4205060680128843</v>
      </c>
      <c r="P20" s="6">
        <v>-9.926082665940078E-2</v>
      </c>
      <c r="Q20" s="6"/>
      <c r="R20" s="6">
        <v>-3.2278779865058588E-2</v>
      </c>
      <c r="S20" s="6">
        <v>-5.2483120787658752E-2</v>
      </c>
      <c r="T20" s="6"/>
    </row>
    <row r="21" spans="1:20" x14ac:dyDescent="0.35">
      <c r="A21" s="6">
        <v>0.41781230028123439</v>
      </c>
      <c r="B21" s="6"/>
      <c r="C21" s="6">
        <v>4.7352985575659678</v>
      </c>
      <c r="D21" s="6">
        <v>-0.12330780073686917</v>
      </c>
      <c r="E21" s="6"/>
      <c r="F21" s="6">
        <v>-2.0157319294041569</v>
      </c>
      <c r="G21" s="6">
        <v>3.7667559673695838E-2</v>
      </c>
      <c r="H21" s="6"/>
      <c r="I21" s="6">
        <v>-4.4478727209348774</v>
      </c>
      <c r="J21" s="6">
        <v>3.4246014145253897E-2</v>
      </c>
      <c r="K21" s="6"/>
      <c r="L21" s="6">
        <v>-0.19083218795891216</v>
      </c>
      <c r="M21" s="6">
        <v>-5.0940950626326774E-2</v>
      </c>
      <c r="N21" s="6"/>
      <c r="O21" s="6">
        <v>3.4701364813425846</v>
      </c>
      <c r="P21" s="6">
        <v>-9.6970420249059844E-2</v>
      </c>
      <c r="Q21" s="6"/>
      <c r="R21" s="6">
        <v>-2.1699619393913624E-2</v>
      </c>
      <c r="S21" s="6">
        <v>-5.0940950626326774E-2</v>
      </c>
      <c r="T21" s="6"/>
    </row>
    <row r="22" spans="1:20" x14ac:dyDescent="0.35">
      <c r="A22" s="6">
        <v>0.40489573436993187</v>
      </c>
      <c r="B22" s="6"/>
      <c r="C22" s="6">
        <v>4.794264667116094</v>
      </c>
      <c r="D22" s="6">
        <v>-0.1201933554254787</v>
      </c>
      <c r="E22" s="6"/>
      <c r="F22" s="6">
        <v>-2.0447636406996428</v>
      </c>
      <c r="G22" s="6">
        <v>3.6956186366395166E-2</v>
      </c>
      <c r="H22" s="6"/>
      <c r="I22" s="6">
        <v>-4.4691905840103097</v>
      </c>
      <c r="J22" s="6">
        <v>3.3635901894951879E-2</v>
      </c>
      <c r="K22" s="6"/>
      <c r="L22" s="6">
        <v>-0.21540043710622167</v>
      </c>
      <c r="M22" s="6">
        <v>-4.9474440091847934E-2</v>
      </c>
      <c r="N22" s="6"/>
      <c r="O22" s="6">
        <v>3.5186216914671147</v>
      </c>
      <c r="P22" s="6">
        <v>-9.4763812048484664E-2</v>
      </c>
      <c r="Q22" s="6"/>
      <c r="R22" s="6">
        <v>-1.141624408382215E-2</v>
      </c>
      <c r="S22" s="6">
        <v>-4.9474440091847934E-2</v>
      </c>
      <c r="T22" s="6"/>
    </row>
    <row r="23" spans="1:20" x14ac:dyDescent="0.35">
      <c r="A23" s="6">
        <v>0.39258691982863086</v>
      </c>
      <c r="B23" s="6"/>
      <c r="C23" s="6">
        <v>4.8517602145453314</v>
      </c>
      <c r="D23" s="6">
        <v>-0.11719137909319852</v>
      </c>
      <c r="E23" s="6"/>
      <c r="F23" s="6">
        <v>-2.0729570933494919</v>
      </c>
      <c r="G23" s="6">
        <v>3.6289476334587178E-2</v>
      </c>
      <c r="H23" s="6"/>
      <c r="I23" s="6">
        <v>-4.4901105443291236</v>
      </c>
      <c r="J23" s="6">
        <v>3.303076341171627E-2</v>
      </c>
      <c r="K23" s="6"/>
      <c r="L23" s="6">
        <v>-0.2394502262583717</v>
      </c>
      <c r="M23" s="6">
        <v>-4.8082499197201492E-2</v>
      </c>
      <c r="N23" s="6"/>
      <c r="O23" s="6">
        <v>3.5660035974913571</v>
      </c>
      <c r="P23" s="6">
        <v>-9.263949181209126E-2</v>
      </c>
      <c r="Q23" s="6"/>
      <c r="R23" s="6">
        <v>-1.4055254415291374E-3</v>
      </c>
      <c r="S23" s="6">
        <v>-4.8082499197201492E-2</v>
      </c>
      <c r="T23" s="6"/>
    </row>
    <row r="24" spans="1:20" x14ac:dyDescent="0.35">
      <c r="A24" s="6">
        <v>0.38084844978635135</v>
      </c>
      <c r="B24" s="6"/>
      <c r="C24" s="6">
        <v>4.9078381589372251</v>
      </c>
      <c r="D24" s="6">
        <v>-0.11429943946052676</v>
      </c>
      <c r="E24" s="6"/>
      <c r="F24" s="6">
        <v>-2.1003670866835291</v>
      </c>
      <c r="G24" s="6">
        <v>3.5659277943464844E-2</v>
      </c>
      <c r="H24" s="6"/>
      <c r="I24" s="6">
        <v>-4.5106368696811225</v>
      </c>
      <c r="J24" s="6">
        <v>3.2432730151361014E-2</v>
      </c>
      <c r="K24" s="6"/>
      <c r="L24" s="6">
        <v>-0.26299283022917963</v>
      </c>
      <c r="M24" s="6">
        <v>-4.6758868446300304E-2</v>
      </c>
      <c r="N24" s="6"/>
      <c r="O24" s="6">
        <v>3.6123233433974029</v>
      </c>
      <c r="P24" s="6">
        <v>-9.0592933875833642E-2</v>
      </c>
      <c r="Q24" s="6"/>
      <c r="R24" s="6">
        <v>8.3543910831519186E-3</v>
      </c>
      <c r="S24" s="6">
        <v>-4.6758868446300304E-2</v>
      </c>
      <c r="T24" s="6"/>
    </row>
    <row r="25" spans="1:20" x14ac:dyDescent="0.35">
      <c r="A25" s="6">
        <v>0.36964569712035927</v>
      </c>
      <c r="B25" s="6"/>
      <c r="C25" s="6">
        <v>4.9625503307318324</v>
      </c>
      <c r="D25" s="6">
        <v>-0.11151409612531601</v>
      </c>
      <c r="E25" s="6"/>
      <c r="F25" s="6">
        <v>-2.1270416458217198</v>
      </c>
      <c r="G25" s="6">
        <v>3.5060172028347991E-2</v>
      </c>
      <c r="H25" s="6"/>
      <c r="I25" s="6">
        <v>-4.5307749240436275</v>
      </c>
      <c r="J25" s="6">
        <v>3.1843927919824822E-2</v>
      </c>
      <c r="K25" s="6"/>
      <c r="L25" s="6">
        <v>-0.28604006904856211</v>
      </c>
      <c r="M25" s="6">
        <v>-4.5496967358268907E-2</v>
      </c>
      <c r="N25" s="6"/>
      <c r="O25" s="6">
        <v>3.6576198103353197</v>
      </c>
      <c r="P25" s="6">
        <v>-8.8619348526885702E-2</v>
      </c>
      <c r="Q25" s="6"/>
      <c r="R25" s="6">
        <v>1.7882369148692578E-2</v>
      </c>
      <c r="S25" s="6">
        <v>-4.5496967358268907E-2</v>
      </c>
      <c r="T25" s="6"/>
    </row>
    <row r="26" spans="1:20" x14ac:dyDescent="0.35">
      <c r="A26" s="6">
        <v>0.35894663659735371</v>
      </c>
      <c r="B26" s="6"/>
      <c r="C26" s="6">
        <v>5.0159469738912961</v>
      </c>
      <c r="D26" s="6">
        <v>-0.10883156982628862</v>
      </c>
      <c r="E26" s="6"/>
      <c r="F26" s="6">
        <v>-2.1530233674983017</v>
      </c>
      <c r="G26" s="6">
        <v>3.4488024476182724E-2</v>
      </c>
      <c r="H26" s="6"/>
      <c r="I26" s="6">
        <v>-4.5505311255247856</v>
      </c>
      <c r="J26" s="6">
        <v>3.1266058701648655E-2</v>
      </c>
      <c r="K26" s="6"/>
      <c r="L26" s="6">
        <v>-0.30860422188969938</v>
      </c>
      <c r="M26" s="6">
        <v>-4.4290976141986987E-2</v>
      </c>
      <c r="N26" s="6"/>
      <c r="O26" s="6">
        <v>3.7019294845987627</v>
      </c>
      <c r="P26" s="6">
        <v>-8.6714315947840848E-2</v>
      </c>
      <c r="Q26" s="6"/>
      <c r="R26" s="6">
        <v>2.7194362417124779E-2</v>
      </c>
      <c r="S26" s="6">
        <v>-4.4290976141986987E-2</v>
      </c>
      <c r="T26" s="6"/>
    </row>
    <row r="27" spans="1:20" x14ac:dyDescent="0.35">
      <c r="A27" s="6">
        <v>0.34872162005477425</v>
      </c>
      <c r="B27" s="6"/>
      <c r="C27" s="6">
        <v>5.0680765791369211</v>
      </c>
      <c r="D27" s="6">
        <v>-0.10624796665928554</v>
      </c>
      <c r="E27" s="6"/>
      <c r="F27" s="6">
        <v>-2.178350321306608</v>
      </c>
      <c r="G27" s="6">
        <v>3.3939500055411943E-2</v>
      </c>
      <c r="H27" s="6"/>
      <c r="I27" s="6">
        <v>-4.5699127263590151</v>
      </c>
      <c r="J27" s="6">
        <v>3.0700377004718882E-2</v>
      </c>
      <c r="K27" s="6"/>
      <c r="L27" s="6">
        <v>-0.33069786214588548</v>
      </c>
      <c r="M27" s="6">
        <v>-4.3135954145547876E-2</v>
      </c>
      <c r="N27" s="6"/>
      <c r="O27" s="6">
        <v>3.7452866425726832</v>
      </c>
      <c r="P27" s="6">
        <v>-8.4873876017861283E-2</v>
      </c>
      <c r="Q27" s="6"/>
      <c r="R27" s="6">
        <v>3.6303864644712275E-2</v>
      </c>
      <c r="S27" s="6">
        <v>-4.3135954145547876E-2</v>
      </c>
      <c r="T27" s="6"/>
    </row>
    <row r="28" spans="1:20" x14ac:dyDescent="0.35">
      <c r="A28" s="6">
        <v>0.33894316202851854</v>
      </c>
      <c r="B28" s="6"/>
      <c r="C28" s="6">
        <v>5.1189858195835232</v>
      </c>
      <c r="D28" s="6">
        <v>-0.10375937336102717</v>
      </c>
      <c r="E28" s="6"/>
      <c r="F28" s="6">
        <v>-2.2030567384250404</v>
      </c>
      <c r="G28" s="6">
        <v>3.341185116544923E-2</v>
      </c>
      <c r="H28" s="6"/>
      <c r="I28" s="6">
        <v>-4.5889275884601455</v>
      </c>
      <c r="J28" s="6">
        <v>3.0147754538547004E-2</v>
      </c>
      <c r="K28" s="6"/>
      <c r="L28" s="6">
        <v>-0.35233370281690013</v>
      </c>
      <c r="M28" s="6">
        <v>-4.2027735269128771E-2</v>
      </c>
      <c r="N28" s="6"/>
      <c r="O28" s="6">
        <v>3.7877235805816136</v>
      </c>
      <c r="P28" s="6">
        <v>-8.3094488983092213E-2</v>
      </c>
      <c r="Q28" s="6"/>
      <c r="R28" s="6">
        <v>4.5222369494914275E-2</v>
      </c>
      <c r="S28" s="6">
        <v>-4.2027735269128771E-2</v>
      </c>
      <c r="T28" s="6"/>
    </row>
    <row r="29" spans="1:20" x14ac:dyDescent="0.35">
      <c r="A29" s="6">
        <v>0.32958574674572272</v>
      </c>
      <c r="B29" s="6"/>
      <c r="C29" s="6">
        <v>5.1687195328468158</v>
      </c>
      <c r="D29" s="6">
        <v>-0.10136190985284746</v>
      </c>
      <c r="E29" s="6"/>
      <c r="F29" s="6">
        <v>-2.2271735672214583</v>
      </c>
      <c r="G29" s="6">
        <v>3.2902795085809615E-2</v>
      </c>
      <c r="H29" s="6"/>
      <c r="I29" s="6">
        <v>-4.6075839925890278</v>
      </c>
      <c r="J29" s="6">
        <v>2.9608754368150872E-2</v>
      </c>
      <c r="K29" s="6"/>
      <c r="L29" s="6">
        <v>-0.37352446973239983</v>
      </c>
      <c r="M29" s="6">
        <v>-4.0962791918019589E-2</v>
      </c>
      <c r="N29" s="6"/>
      <c r="O29" s="6">
        <v>3.8292708250731597</v>
      </c>
      <c r="P29" s="6">
        <v>-8.1372974653972058E-2</v>
      </c>
      <c r="Q29" s="6"/>
      <c r="R29" s="6">
        <v>5.3959761918004633E-2</v>
      </c>
      <c r="S29" s="6">
        <v>-4.0962791918019589E-2</v>
      </c>
      <c r="T29" s="6"/>
    </row>
    <row r="30" spans="1:20" x14ac:dyDescent="0.35">
      <c r="A30" s="6">
        <v>0.32062565624135203</v>
      </c>
      <c r="B30" s="6"/>
      <c r="C30" s="6">
        <v>5.2173207301608828</v>
      </c>
      <c r="D30" s="6">
        <v>-9.905176371748961E-2</v>
      </c>
      <c r="E30" s="6"/>
      <c r="F30" s="6">
        <v>-2.2507289310801557</v>
      </c>
      <c r="G30" s="6">
        <v>3.2410426943415088E-2</v>
      </c>
      <c r="H30" s="6"/>
      <c r="I30" s="6">
        <v>-4.6258904844381208</v>
      </c>
      <c r="J30" s="6">
        <v>2.9083696110723478E-2</v>
      </c>
      <c r="K30" s="6"/>
      <c r="L30" s="6">
        <v>-0.39428280218658618</v>
      </c>
      <c r="M30" s="6">
        <v>-3.9938113211322172E-2</v>
      </c>
      <c r="N30" s="6"/>
      <c r="O30" s="6">
        <v>3.8699573124001456</v>
      </c>
      <c r="P30" s="6">
        <v>-7.9706456200712955E-2</v>
      </c>
      <c r="Q30" s="6"/>
      <c r="R30" s="6">
        <v>6.2524634851645861E-2</v>
      </c>
      <c r="S30" s="6">
        <v>-3.9938113211322172E-2</v>
      </c>
      <c r="T30" s="6"/>
    </row>
    <row r="31" spans="1:20" x14ac:dyDescent="0.35">
      <c r="A31" s="6">
        <v>0.31204081712849374</v>
      </c>
      <c r="B31" s="6"/>
      <c r="C31" s="6">
        <v>5.2648306237005569</v>
      </c>
      <c r="D31" s="6">
        <v>-9.682521451602033E-2</v>
      </c>
      <c r="E31" s="6"/>
      <c r="F31" s="6">
        <v>-2.273748509258303</v>
      </c>
      <c r="G31" s="6">
        <v>3.1933151968645122E-2</v>
      </c>
      <c r="H31" s="6"/>
      <c r="I31" s="6">
        <v>-4.6438557529251341</v>
      </c>
      <c r="J31" s="6">
        <v>2.8572709508776266E-2</v>
      </c>
      <c r="K31" s="6"/>
      <c r="L31" s="6">
        <v>-0.41462117676098798</v>
      </c>
      <c r="M31" s="6">
        <v>-3.8951104992539391E-2</v>
      </c>
      <c r="N31" s="6"/>
      <c r="O31" s="6">
        <v>3.9098105405005019</v>
      </c>
      <c r="P31" s="6">
        <v>-7.8092313274836372E-2</v>
      </c>
      <c r="Q31" s="6"/>
      <c r="R31" s="6">
        <v>7.0924541366735261E-2</v>
      </c>
      <c r="S31" s="6">
        <v>-3.8951104992539391E-2</v>
      </c>
      <c r="T31" s="6"/>
    </row>
    <row r="32" spans="1:20" x14ac:dyDescent="0.35">
      <c r="A32" s="6">
        <v>0.30381066347592667</v>
      </c>
      <c r="B32" s="6"/>
      <c r="C32" s="6">
        <v>5.3112886668842716</v>
      </c>
      <c r="D32" s="6">
        <v>-9.4678651107313189E-2</v>
      </c>
      <c r="E32" s="6"/>
      <c r="F32" s="6">
        <v>-2.2962558554896266</v>
      </c>
      <c r="G32" s="6">
        <v>3.1469630836362457E-2</v>
      </c>
      <c r="H32" s="6"/>
      <c r="I32" s="6">
        <v>-4.6614885349373267</v>
      </c>
      <c r="J32" s="6">
        <v>2.8075777523443705E-2</v>
      </c>
      <c r="K32" s="6"/>
      <c r="L32" s="6">
        <v>-0.43455184992442641</v>
      </c>
      <c r="M32" s="6">
        <v>-3.7999509847840791E-2</v>
      </c>
      <c r="N32" s="6"/>
      <c r="O32" s="6">
        <v>3.94885669713792</v>
      </c>
      <c r="P32" s="6">
        <v>-7.6528143932264731E-2</v>
      </c>
      <c r="Q32" s="6"/>
      <c r="R32" s="6">
        <v>7.9166194355303629E-2</v>
      </c>
      <c r="S32" s="6">
        <v>-3.7999509847840791E-2</v>
      </c>
      <c r="T32" s="6"/>
    </row>
    <row r="33" spans="1:20" x14ac:dyDescent="0.35">
      <c r="A33" s="6">
        <v>0.29591601360384978</v>
      </c>
      <c r="B33" s="6"/>
      <c r="C33" s="6">
        <v>5.3567326039732865</v>
      </c>
      <c r="D33" s="6">
        <v>-9.2608583666390534E-2</v>
      </c>
      <c r="E33" s="6"/>
      <c r="F33" s="6">
        <v>-2.3182726656750932</v>
      </c>
      <c r="G33" s="6">
        <v>3.1018734989672177E-2</v>
      </c>
      <c r="H33" s="6"/>
      <c r="I33" s="6">
        <v>-4.6787975413836227</v>
      </c>
      <c r="J33" s="6">
        <v>2.7592770746280706E-2</v>
      </c>
      <c r="K33" s="6"/>
      <c r="L33" s="6">
        <v>-0.45408681561703401</v>
      </c>
      <c r="M33" s="6">
        <v>-3.7081343618119607E-2</v>
      </c>
      <c r="N33" s="6"/>
      <c r="O33" s="6">
        <v>3.9871207691040524</v>
      </c>
      <c r="P33" s="6">
        <v>-7.5011733824226046E-2</v>
      </c>
      <c r="Q33" s="6"/>
      <c r="R33" s="6">
        <v>8.7255624427369421E-2</v>
      </c>
      <c r="S33" s="6">
        <v>-3.7081343618119607E-2</v>
      </c>
      <c r="T33" s="6"/>
    </row>
    <row r="34" spans="1:20" x14ac:dyDescent="0.35">
      <c r="A34" s="6">
        <v>0.28833895898538969</v>
      </c>
      <c r="B34" s="6"/>
      <c r="C34" s="6">
        <v>5.4011985261639834</v>
      </c>
      <c r="D34" s="6">
        <v>-9.061165155139933E-2</v>
      </c>
      <c r="E34" s="6"/>
      <c r="F34" s="6">
        <v>-2.3398190037000011</v>
      </c>
      <c r="G34" s="6">
        <v>3.0579509949352664E-2</v>
      </c>
      <c r="H34" s="6"/>
      <c r="I34" s="6">
        <v>-4.6957914002987771</v>
      </c>
      <c r="J34" s="6">
        <v>2.712347479978286E-2</v>
      </c>
      <c r="K34" s="6"/>
      <c r="L34" s="6">
        <v>-0.47323777472313866</v>
      </c>
      <c r="M34" s="6">
        <v>-3.6194845076576693E-2</v>
      </c>
      <c r="N34" s="6"/>
      <c r="O34" s="6">
        <v>4.0246266360161655</v>
      </c>
      <c r="P34" s="6">
        <v>-7.3541031171786814E-2</v>
      </c>
      <c r="Q34" s="6"/>
      <c r="R34" s="6">
        <v>9.519830473764361E-2</v>
      </c>
      <c r="S34" s="6">
        <v>-3.6194845076576693E-2</v>
      </c>
      <c r="T34" s="6"/>
    </row>
    <row r="35" spans="1:20" x14ac:dyDescent="0.35">
      <c r="A35" s="6">
        <v>0.28106276375523126</v>
      </c>
      <c r="B35" s="6"/>
      <c r="C35" s="6">
        <v>5.4447209319850698</v>
      </c>
      <c r="D35" s="6">
        <v>-8.8684627897712101E-2</v>
      </c>
      <c r="E35" s="6"/>
      <c r="F35" s="6">
        <v>-2.3609134926812563</v>
      </c>
      <c r="G35" s="6">
        <v>3.0151145123320906E-2</v>
      </c>
      <c r="H35" s="6"/>
      <c r="I35" s="6">
        <v>-4.7124786135585062</v>
      </c>
      <c r="J35" s="6">
        <v>2.6667612118514539E-2</v>
      </c>
      <c r="K35" s="6"/>
      <c r="L35" s="6">
        <v>-0.49201611394741818</v>
      </c>
      <c r="M35" s="6">
        <v>-3.5338436009357536E-2</v>
      </c>
      <c r="N35" s="6"/>
      <c r="O35" s="6">
        <v>4.0613971516020593</v>
      </c>
      <c r="P35" s="6">
        <v>-7.2114126301980261E-2</v>
      </c>
      <c r="Q35" s="6"/>
      <c r="R35" s="6">
        <v>0.10299924970415483</v>
      </c>
      <c r="S35" s="6">
        <v>-3.5338436009357536E-2</v>
      </c>
      <c r="T35" s="6"/>
    </row>
    <row r="36" spans="1:20" x14ac:dyDescent="0.35">
      <c r="A36" s="6">
        <v>0.27407177357455359</v>
      </c>
      <c r="B36" s="6"/>
      <c r="C36" s="6">
        <v>5.4873327902837952</v>
      </c>
      <c r="D36" s="6">
        <v>-8.6824421641812116E-2</v>
      </c>
      <c r="E36" s="6"/>
      <c r="F36" s="6">
        <v>-2.3815734775828541</v>
      </c>
      <c r="G36" s="6">
        <v>2.9732948940514509E-2</v>
      </c>
      <c r="H36" s="6"/>
      <c r="I36" s="6">
        <v>-4.728867524442772</v>
      </c>
      <c r="J36" s="6">
        <v>2.622485923443571E-2</v>
      </c>
      <c r="K36" s="6"/>
      <c r="L36" s="6">
        <v>-0.51043289210733644</v>
      </c>
      <c r="M36" s="6">
        <v>-3.4510689494201059E-2</v>
      </c>
      <c r="N36" s="6"/>
      <c r="O36" s="6">
        <v>4.0974542147530491</v>
      </c>
      <c r="P36" s="6">
        <v>-7.0729234784337444E-2</v>
      </c>
      <c r="Q36" s="6"/>
      <c r="R36" s="6">
        <v>0.11066309313297795</v>
      </c>
      <c r="S36" s="6">
        <v>-3.4510689494201059E-2</v>
      </c>
      <c r="T36" s="6"/>
    </row>
    <row r="37" spans="1:20" x14ac:dyDescent="0.35">
      <c r="A37" s="6">
        <v>0.26735133279610662</v>
      </c>
      <c r="B37" s="6"/>
      <c r="C37" s="6">
        <v>5.5290656044609729</v>
      </c>
      <c r="D37" s="6">
        <v>-8.5028077544831215E-2</v>
      </c>
      <c r="E37" s="6"/>
      <c r="F37" s="6">
        <v>-2.4018151640449683</v>
      </c>
      <c r="G37" s="6">
        <v>2.9324328357150826E-2</v>
      </c>
      <c r="H37" s="6"/>
      <c r="I37" s="6">
        <v>-4.744966293832924</v>
      </c>
      <c r="J37" s="6">
        <v>2.5794860464960476E-2</v>
      </c>
      <c r="K37" s="6"/>
      <c r="L37" s="6">
        <v>-0.52849883225479077</v>
      </c>
      <c r="M37" s="6">
        <v>-3.3710304638770311E-2</v>
      </c>
      <c r="N37" s="6"/>
      <c r="O37" s="6">
        <v>4.1328188321452179</v>
      </c>
      <c r="P37" s="6">
        <v>-6.9384683421658572E-2</v>
      </c>
      <c r="Q37" s="6"/>
      <c r="R37" s="6">
        <v>0.11819415010523399</v>
      </c>
      <c r="S37" s="6">
        <v>-3.3710304638770311E-2</v>
      </c>
      <c r="T37" s="6"/>
    </row>
    <row r="38" spans="1:20" x14ac:dyDescent="0.35">
      <c r="A38" s="6">
        <v>0.25547008521732656</v>
      </c>
      <c r="B38" s="6"/>
      <c r="C38" s="6">
        <v>5.6081637009087926</v>
      </c>
      <c r="D38" s="6">
        <v>-8.6641041386321657E-2</v>
      </c>
      <c r="E38" s="6"/>
      <c r="F38" s="6">
        <v>-2.4394807019774771</v>
      </c>
      <c r="G38" s="6">
        <v>1.7535478479806924E-2</v>
      </c>
      <c r="H38" s="6"/>
      <c r="I38" s="6">
        <v>-4.7824097136641033</v>
      </c>
      <c r="J38" s="6">
        <v>1.824932273745377E-2</v>
      </c>
      <c r="K38" s="6"/>
      <c r="L38" s="6">
        <v>-0.56731271414721074</v>
      </c>
      <c r="M38" s="6">
        <v>-4.7945734732917321E-2</v>
      </c>
      <c r="N38" s="6"/>
      <c r="O38" s="6">
        <v>4.2022035155668762</v>
      </c>
      <c r="P38" s="6">
        <v>-7.5401672273707671E-2</v>
      </c>
      <c r="Q38" s="6"/>
      <c r="R38" s="6">
        <v>0.11692652048459656</v>
      </c>
      <c r="S38" s="6">
        <v>-4.7945734732917321E-2</v>
      </c>
      <c r="T38" s="6"/>
    </row>
    <row r="39" spans="1:20" x14ac:dyDescent="0.35">
      <c r="A39" s="6">
        <v>0.2432749148457175</v>
      </c>
      <c r="B39" s="6"/>
      <c r="C39" s="6">
        <v>5.6875199570731967</v>
      </c>
      <c r="D39" s="6">
        <v>-8.3241016373233945E-2</v>
      </c>
      <c r="E39" s="6"/>
      <c r="F39" s="6">
        <v>-2.474831442371511</v>
      </c>
      <c r="G39" s="6">
        <v>1.7092865304469573E-2</v>
      </c>
      <c r="H39" s="6"/>
      <c r="I39" s="6">
        <v>-4.813184290133103</v>
      </c>
      <c r="J39" s="6">
        <v>1.7279189246271798E-2</v>
      </c>
      <c r="K39" s="6"/>
      <c r="L39" s="6">
        <v>-0.60353476176885645</v>
      </c>
      <c r="M39" s="6">
        <v>-4.6848316708702681E-2</v>
      </c>
      <c r="N39" s="6"/>
      <c r="O39" s="6">
        <v>4.2776051878405843</v>
      </c>
      <c r="P39" s="6">
        <v>-7.2995833921751657E-2</v>
      </c>
      <c r="Q39" s="6"/>
      <c r="R39" s="6">
        <v>0.12576363628833531</v>
      </c>
      <c r="S39" s="6">
        <v>-4.6848316708702681E-2</v>
      </c>
      <c r="T39" s="6"/>
    </row>
    <row r="40" spans="1:20" x14ac:dyDescent="0.35">
      <c r="A40" s="6">
        <v>0.23189555008592669</v>
      </c>
      <c r="B40" s="6"/>
      <c r="C40" s="6">
        <v>5.7638100627553799</v>
      </c>
      <c r="D40" s="6">
        <v>-7.9802169666860712E-2</v>
      </c>
      <c r="E40" s="6"/>
      <c r="F40" s="6">
        <v>-2.5092294411123452</v>
      </c>
      <c r="G40" s="6">
        <v>1.7220585539614378E-2</v>
      </c>
      <c r="H40" s="6"/>
      <c r="I40" s="6">
        <v>-4.842470331389328</v>
      </c>
      <c r="J40" s="6">
        <v>1.6760286739366893E-2</v>
      </c>
      <c r="K40" s="6"/>
      <c r="L40" s="6">
        <v>-0.63830882110360676</v>
      </c>
      <c r="M40" s="6">
        <v>-4.4894716646933244E-2</v>
      </c>
      <c r="N40" s="6"/>
      <c r="O40" s="6">
        <v>4.3506010217623361</v>
      </c>
      <c r="P40" s="6">
        <v>-7.0216449207003651E-2</v>
      </c>
      <c r="Q40" s="6"/>
      <c r="R40" s="6">
        <v>0.13536657141958991</v>
      </c>
      <c r="S40" s="6">
        <v>-4.4894716646933244E-2</v>
      </c>
      <c r="T40" s="6"/>
    </row>
    <row r="41" spans="1:20" x14ac:dyDescent="0.35">
      <c r="A41" s="6">
        <v>0.20762997539989481</v>
      </c>
      <c r="B41" s="6"/>
      <c r="C41" s="6">
        <v>5.963332048693788</v>
      </c>
      <c r="D41" s="6">
        <v>-8.0797190049062634E-2</v>
      </c>
      <c r="E41" s="6"/>
      <c r="F41" s="6">
        <v>-2.5388477761597019</v>
      </c>
      <c r="G41" s="6">
        <v>-3.7289197698359977E-3</v>
      </c>
      <c r="H41" s="6"/>
      <c r="I41" s="6">
        <v>-4.9944652411473056</v>
      </c>
      <c r="J41" s="6">
        <v>-3.297703374295048E-3</v>
      </c>
      <c r="K41" s="6"/>
      <c r="L41" s="6">
        <v>-0.69119793385206862</v>
      </c>
      <c r="M41" s="6">
        <v>-8.2438490989154081E-2</v>
      </c>
      <c r="N41" s="6"/>
      <c r="O41" s="6">
        <v>4.5612503693833473</v>
      </c>
      <c r="P41" s="6">
        <v>-8.6520230987505303E-2</v>
      </c>
      <c r="Q41" s="6"/>
      <c r="R41" s="6">
        <v>4.0058538548436912E-2</v>
      </c>
      <c r="S41" s="6">
        <v>-8.2438490989154081E-2</v>
      </c>
      <c r="T41" s="6"/>
    </row>
    <row r="42" spans="1:20" x14ac:dyDescent="0.35">
      <c r="A42" s="6">
        <v>0.18228996700900679</v>
      </c>
      <c r="B42" s="6"/>
      <c r="C42" s="6">
        <v>6.140862541468203</v>
      </c>
      <c r="D42" s="6">
        <v>-7.3897466884733989E-2</v>
      </c>
      <c r="E42" s="6"/>
      <c r="F42" s="6">
        <v>-2.5999468037156652</v>
      </c>
      <c r="G42" s="6">
        <v>-5.2153811067261746E-3</v>
      </c>
      <c r="H42" s="6"/>
      <c r="I42" s="6">
        <v>-5.1032139040736979</v>
      </c>
      <c r="J42" s="6">
        <v>-6.9009976445705097E-3</v>
      </c>
      <c r="K42" s="6"/>
      <c r="L42" s="6">
        <v>-0.75781122289105052</v>
      </c>
      <c r="M42" s="6">
        <v>-8.2873325511062482E-2</v>
      </c>
      <c r="N42" s="6"/>
      <c r="O42" s="6">
        <v>4.8208110623458635</v>
      </c>
      <c r="P42" s="6">
        <v>-8.215494670944315E-2</v>
      </c>
      <c r="Q42" s="6"/>
      <c r="R42" s="6">
        <v>-7.4477528779850755E-3</v>
      </c>
      <c r="S42" s="6">
        <v>-8.2873325511062482E-2</v>
      </c>
      <c r="T42" s="6"/>
    </row>
    <row r="43" spans="1:20" x14ac:dyDescent="0.35">
      <c r="A43" s="6">
        <v>0.16003010605638876</v>
      </c>
      <c r="B43" s="6"/>
      <c r="C43" s="6">
        <v>6.3013721423859197</v>
      </c>
      <c r="D43" s="6">
        <v>-6.651816234203542E-2</v>
      </c>
      <c r="E43" s="6"/>
      <c r="F43" s="6">
        <v>-2.6706485579322159</v>
      </c>
      <c r="G43" s="6">
        <v>-3.3904348569811955E-3</v>
      </c>
      <c r="H43" s="6"/>
      <c r="I43" s="6">
        <v>-5.1891406047292037</v>
      </c>
      <c r="J43" s="6">
        <v>-6.5186580933932524E-3</v>
      </c>
      <c r="K43" s="6"/>
      <c r="L43" s="6">
        <v>-0.82668212366418814</v>
      </c>
      <c r="M43" s="6">
        <v>-7.5335682524754172E-2</v>
      </c>
      <c r="N43" s="6"/>
      <c r="O43" s="6">
        <v>5.0672759024741927</v>
      </c>
      <c r="P43" s="6">
        <v>-7.3915656387532974E-2</v>
      </c>
      <c r="Q43" s="6"/>
      <c r="R43" s="6">
        <v>-3.146138665823655E-2</v>
      </c>
      <c r="S43" s="6">
        <v>-7.5335682524754172E-2</v>
      </c>
      <c r="T43" s="6"/>
    </row>
    <row r="44" spans="1:20" x14ac:dyDescent="0.35">
      <c r="A44" s="6">
        <v>0.14137527028671701</v>
      </c>
      <c r="B44" s="6"/>
      <c r="C44" s="6">
        <v>6.4481801169278903</v>
      </c>
      <c r="D44" s="6">
        <v>-5.9787167153925111E-2</v>
      </c>
      <c r="E44" s="6"/>
      <c r="F44" s="6">
        <v>-2.7423152363312693</v>
      </c>
      <c r="G44" s="6">
        <v>-1.0598924974432357E-3</v>
      </c>
      <c r="H44" s="6"/>
      <c r="I44" s="6">
        <v>-5.2603915264981866</v>
      </c>
      <c r="J44" s="6">
        <v>-4.9835611791514177E-3</v>
      </c>
      <c r="K44" s="6"/>
      <c r="L44" s="6">
        <v>-0.89402890217363151</v>
      </c>
      <c r="M44" s="6">
        <v>-6.6262029724468957E-2</v>
      </c>
      <c r="N44" s="6"/>
      <c r="O44" s="6">
        <v>5.2890228716367913</v>
      </c>
      <c r="P44" s="6">
        <v>-6.5439686981535544E-2</v>
      </c>
      <c r="Q44" s="6"/>
      <c r="R44" s="6">
        <v>-4.1633652125676754E-2</v>
      </c>
      <c r="S44" s="6">
        <v>-6.6262029724468957E-2</v>
      </c>
      <c r="T44" s="6"/>
    </row>
    <row r="45" spans="1:20" x14ac:dyDescent="0.35">
      <c r="A45" s="6">
        <v>0.12593899792760216</v>
      </c>
      <c r="B45" s="6"/>
      <c r="C45" s="6">
        <v>6.5833465472331358</v>
      </c>
      <c r="D45" s="6">
        <v>-5.3940289142461774E-2</v>
      </c>
      <c r="E45" s="6"/>
      <c r="F45" s="6">
        <v>-2.8115006352209191</v>
      </c>
      <c r="G45" s="6">
        <v>9.7965214574953843E-4</v>
      </c>
      <c r="H45" s="6"/>
      <c r="I45" s="6">
        <v>-5.3215770954200803</v>
      </c>
      <c r="J45" s="6">
        <v>-3.2921196138886053E-3</v>
      </c>
      <c r="K45" s="6"/>
      <c r="L45" s="6">
        <v>-0.95835060998576982</v>
      </c>
      <c r="M45" s="6">
        <v>-5.7748741140133411E-2</v>
      </c>
      <c r="N45" s="6"/>
      <c r="O45" s="6">
        <v>5.4853419325813979</v>
      </c>
      <c r="P45" s="6">
        <v>-5.7827066372527929E-2</v>
      </c>
      <c r="Q45" s="6"/>
      <c r="R45" s="6">
        <v>-4.3216009296257213E-2</v>
      </c>
      <c r="S45" s="6">
        <v>-5.7748741140133411E-2</v>
      </c>
      <c r="T45" s="6"/>
    </row>
    <row r="46" spans="1:20" x14ac:dyDescent="0.35">
      <c r="A46" s="6">
        <v>0.11314082082198533</v>
      </c>
      <c r="B46" s="6"/>
      <c r="C46" s="6">
        <v>6.7083878815719649</v>
      </c>
      <c r="D46" s="6">
        <v>-4.8937146213158117E-2</v>
      </c>
      <c r="E46" s="6"/>
      <c r="F46" s="6">
        <v>-2.8769502545386691</v>
      </c>
      <c r="G46" s="6">
        <v>2.5742157881195292E-3</v>
      </c>
      <c r="H46" s="6"/>
      <c r="I46" s="6">
        <v>-5.3754899859991818</v>
      </c>
      <c r="J46" s="6">
        <v>-1.7710886931274327E-3</v>
      </c>
      <c r="K46" s="6"/>
      <c r="L46" s="6">
        <v>-1.0191333884377543</v>
      </c>
      <c r="M46" s="6">
        <v>-5.0355185753427262E-2</v>
      </c>
      <c r="N46" s="6"/>
      <c r="O46" s="6">
        <v>5.6588231316989814</v>
      </c>
      <c r="P46" s="6">
        <v>-5.1296437591270581E-2</v>
      </c>
      <c r="Q46" s="6"/>
      <c r="R46" s="6">
        <v>-3.9297186918233931E-2</v>
      </c>
      <c r="S46" s="6">
        <v>-5.0355185753427262E-2</v>
      </c>
      <c r="T46" s="6"/>
    </row>
    <row r="47" spans="1:20" x14ac:dyDescent="0.35">
      <c r="A47" s="6">
        <v>0.10244698623580861</v>
      </c>
      <c r="B47" s="6"/>
      <c r="C47" s="6">
        <v>6.8245242617353155</v>
      </c>
      <c r="D47" s="6">
        <v>-4.4663553743362644E-2</v>
      </c>
      <c r="E47" s="6"/>
      <c r="F47" s="6">
        <v>-2.9383506670700905</v>
      </c>
      <c r="G47" s="6">
        <v>3.761145679666112E-3</v>
      </c>
      <c r="H47" s="6"/>
      <c r="I47" s="6">
        <v>-5.423911744792755</v>
      </c>
      <c r="J47" s="6">
        <v>-5.0055822143463833E-4</v>
      </c>
      <c r="K47" s="6"/>
      <c r="L47" s="6">
        <v>-1.0763105587744135</v>
      </c>
      <c r="M47" s="6">
        <v>-4.4110013495975549E-2</v>
      </c>
      <c r="N47" s="6"/>
      <c r="O47" s="6">
        <v>5.8127124444727931</v>
      </c>
      <c r="P47" s="6">
        <v>-4.5777550588941174E-2</v>
      </c>
      <c r="Q47" s="6"/>
      <c r="R47" s="6">
        <v>-3.1791266979489315E-2</v>
      </c>
      <c r="S47" s="6">
        <v>-4.4110013495975549E-2</v>
      </c>
      <c r="T47" s="6"/>
    </row>
    <row r="48" spans="1:20" x14ac:dyDescent="0.35">
      <c r="A48" s="6">
        <v>9.342436797734055E-2</v>
      </c>
      <c r="B48" s="6"/>
      <c r="C48" s="6">
        <v>6.9327772077312293</v>
      </c>
      <c r="D48" s="6">
        <v>-4.0999316060635879E-2</v>
      </c>
      <c r="E48" s="6"/>
      <c r="F48" s="6">
        <v>-2.9957900777794175</v>
      </c>
      <c r="G48" s="6">
        <v>4.6201411785876043E-3</v>
      </c>
      <c r="H48" s="6"/>
      <c r="I48" s="6">
        <v>-5.4680310694823593</v>
      </c>
      <c r="J48" s="6">
        <v>5.2608194132782154E-4</v>
      </c>
      <c r="K48" s="6"/>
      <c r="L48" s="6">
        <v>-1.1300172050976913</v>
      </c>
      <c r="M48" s="6">
        <v>-3.88794214804885E-2</v>
      </c>
      <c r="N48" s="6"/>
      <c r="O48" s="6">
        <v>5.9500450962396165</v>
      </c>
      <c r="P48" s="6">
        <v>-4.1124343399570003E-2</v>
      </c>
      <c r="Q48" s="6"/>
      <c r="R48" s="6">
        <v>-2.1930653224455518E-2</v>
      </c>
      <c r="S48" s="6">
        <v>-3.88794214804885E-2</v>
      </c>
      <c r="T48" s="6"/>
    </row>
    <row r="49" spans="1:20" x14ac:dyDescent="0.35">
      <c r="A49" s="6">
        <v>8.5735669356111141E-2</v>
      </c>
      <c r="B49" s="6"/>
      <c r="C49" s="6">
        <v>7.0340170884750064</v>
      </c>
      <c r="D49" s="6">
        <v>-3.7838471764518003E-2</v>
      </c>
      <c r="E49" s="6"/>
      <c r="F49" s="6">
        <v>-3.0495184959289174</v>
      </c>
      <c r="G49" s="6">
        <v>5.2278886089092147E-3</v>
      </c>
      <c r="H49" s="6"/>
      <c r="I49" s="6">
        <v>-5.5086733199463751</v>
      </c>
      <c r="J49" s="6">
        <v>1.3418139293057871E-3</v>
      </c>
      <c r="K49" s="6"/>
      <c r="L49" s="6">
        <v>-1.1804733621378014</v>
      </c>
      <c r="M49" s="6">
        <v>-3.4498336581394243E-2</v>
      </c>
      <c r="N49" s="6"/>
      <c r="O49" s="6">
        <v>6.0734181264383267</v>
      </c>
      <c r="P49" s="6">
        <v>-3.7187854219028045E-2</v>
      </c>
      <c r="Q49" s="6"/>
      <c r="R49" s="6">
        <v>-1.0531849735231837E-2</v>
      </c>
      <c r="S49" s="6">
        <v>-3.4498336581394243E-2</v>
      </c>
      <c r="T49" s="6"/>
    </row>
    <row r="50" spans="1:20" x14ac:dyDescent="0.35">
      <c r="A50" s="6">
        <v>7.9121107015126493E-2</v>
      </c>
      <c r="B50" s="6"/>
      <c r="C50" s="6">
        <v>7.1289918148416254</v>
      </c>
      <c r="D50" s="6">
        <v>-3.5093142210843059E-2</v>
      </c>
      <c r="E50" s="6"/>
      <c r="F50" s="6">
        <v>-3.0998391207177116</v>
      </c>
      <c r="G50" s="6">
        <v>5.6469872127039925E-3</v>
      </c>
      <c r="H50" s="6"/>
      <c r="I50" s="6">
        <v>-5.5464324342439122</v>
      </c>
      <c r="J50" s="6">
        <v>1.9837381545148611E-3</v>
      </c>
      <c r="K50" s="6"/>
      <c r="L50" s="6">
        <v>-1.2279271039352135</v>
      </c>
      <c r="M50" s="6">
        <v>-3.0813991818805543E-2</v>
      </c>
      <c r="N50" s="6"/>
      <c r="O50" s="6">
        <v>6.1849816890954106</v>
      </c>
      <c r="P50" s="6">
        <v>-3.3838142028876445E-2</v>
      </c>
      <c r="Q50" s="6"/>
      <c r="R50" s="6">
        <v>1.8522677524368397E-3</v>
      </c>
      <c r="S50" s="6">
        <v>-3.0813991818805543E-2</v>
      </c>
      <c r="T50" s="6"/>
    </row>
    <row r="51" spans="1:20" x14ac:dyDescent="0.35">
      <c r="A51" s="6">
        <v>7.3380290135479753E-2</v>
      </c>
      <c r="B51" s="6"/>
      <c r="C51" s="6">
        <v>7.2183473350749434</v>
      </c>
      <c r="D51" s="6">
        <v>-3.2692111246850175E-2</v>
      </c>
      <c r="E51" s="6"/>
      <c r="F51" s="6">
        <v>-3.147059305083924</v>
      </c>
      <c r="G51" s="6">
        <v>5.9255871877762472E-3</v>
      </c>
      <c r="H51" s="6"/>
      <c r="I51" s="6">
        <v>-5.5817497500768791</v>
      </c>
      <c r="J51" s="6">
        <v>2.4854897406199148E-3</v>
      </c>
      <c r="K51" s="6"/>
      <c r="L51" s="6">
        <v>-1.2726268701765469</v>
      </c>
      <c r="M51" s="6">
        <v>-2.769743117110321E-2</v>
      </c>
      <c r="N51" s="6"/>
      <c r="O51" s="6">
        <v>6.2864961151820395</v>
      </c>
      <c r="P51" s="6">
        <v>-3.0968140713488863E-2</v>
      </c>
      <c r="Q51" s="6"/>
      <c r="R51" s="6">
        <v>1.4841037946085623E-2</v>
      </c>
      <c r="S51" s="6">
        <v>-2.769743117110321E-2</v>
      </c>
      <c r="T51" s="6"/>
    </row>
    <row r="52" spans="1:20" x14ac:dyDescent="0.35">
      <c r="A52" s="6">
        <v>6.835754940282554E-2</v>
      </c>
      <c r="B52" s="6"/>
      <c r="C52" s="6">
        <v>7.3026437175185768</v>
      </c>
      <c r="D52" s="6">
        <v>-3.0578079667449024E-2</v>
      </c>
      <c r="E52" s="6"/>
      <c r="F52" s="6">
        <v>-3.1914693173333446</v>
      </c>
      <c r="G52" s="6">
        <v>6.0998481739884571E-3</v>
      </c>
      <c r="H52" s="6"/>
      <c r="I52" s="6">
        <v>-5.6149627250040828</v>
      </c>
      <c r="J52" s="6">
        <v>2.8752658988586656E-3</v>
      </c>
      <c r="K52" s="6"/>
      <c r="L52" s="6">
        <v>-1.3148085017184326</v>
      </c>
      <c r="M52" s="6">
        <v>-2.5043746093113793E-2</v>
      </c>
      <c r="N52" s="6"/>
      <c r="O52" s="6">
        <v>6.379400537322506</v>
      </c>
      <c r="P52" s="6">
        <v>-2.8491607150582791E-2</v>
      </c>
      <c r="Q52" s="6"/>
      <c r="R52" s="6">
        <v>2.8169085756950547E-2</v>
      </c>
      <c r="S52" s="6">
        <v>-2.5043746093113793E-2</v>
      </c>
      <c r="T52" s="6"/>
    </row>
    <row r="53" spans="1:20" x14ac:dyDescent="0.35">
      <c r="A53" s="6">
        <v>6.3930819883375192E-2</v>
      </c>
      <c r="B53" s="6"/>
      <c r="C53" s="6">
        <v>7.3823683169680256</v>
      </c>
      <c r="D53" s="6">
        <v>-2.8704931654729725E-2</v>
      </c>
      <c r="E53" s="6"/>
      <c r="F53" s="6">
        <v>-3.2333342608536566</v>
      </c>
      <c r="G53" s="6">
        <v>6.1966874053344979E-3</v>
      </c>
      <c r="H53" s="6"/>
      <c r="I53" s="6">
        <v>-5.6463359905732631</v>
      </c>
      <c r="J53" s="6">
        <v>3.1759047168337085E-3</v>
      </c>
      <c r="K53" s="6"/>
      <c r="L53" s="6">
        <v>-1.3546897904002884</v>
      </c>
      <c r="M53" s="6">
        <v>-2.2768847373257257E-2</v>
      </c>
      <c r="N53" s="6"/>
      <c r="O53" s="6">
        <v>6.464875358774254</v>
      </c>
      <c r="P53" s="6">
        <v>-2.6339600627595876E-2</v>
      </c>
      <c r="Q53" s="6"/>
      <c r="R53" s="6">
        <v>4.1649797812334612E-2</v>
      </c>
      <c r="S53" s="6">
        <v>-2.2768847373257257E-2</v>
      </c>
      <c r="T53" s="6"/>
    </row>
    <row r="54" spans="1:20" x14ac:dyDescent="0.35">
      <c r="A54" s="6">
        <v>6.0003411782146958E-2</v>
      </c>
      <c r="B54" s="6"/>
      <c r="C54" s="6">
        <v>7.4579467318837862</v>
      </c>
      <c r="D54" s="6">
        <v>-2.7035402959267131E-2</v>
      </c>
      <c r="E54" s="6"/>
      <c r="F54" s="6">
        <v>-3.2728922014880828</v>
      </c>
      <c r="G54" s="6">
        <v>6.236109649860223E-3</v>
      </c>
      <c r="H54" s="6"/>
      <c r="I54" s="6">
        <v>-5.6760817173729139</v>
      </c>
      <c r="J54" s="6">
        <v>3.405615019407835E-3</v>
      </c>
      <c r="K54" s="6"/>
      <c r="L54" s="6">
        <v>-1.3924688664933953</v>
      </c>
      <c r="M54" s="6">
        <v>-2.0805630073783277E-2</v>
      </c>
      <c r="N54" s="6"/>
      <c r="O54" s="6">
        <v>6.5438941606570413</v>
      </c>
      <c r="P54" s="6">
        <v>-2.4457030460274056E-2</v>
      </c>
      <c r="Q54" s="6"/>
      <c r="R54" s="6">
        <v>5.5151296432826978E-2</v>
      </c>
      <c r="S54" s="6">
        <v>-2.0805630073783277E-2</v>
      </c>
      <c r="T54" s="6"/>
    </row>
    <row r="55" spans="1:20" x14ac:dyDescent="0.35">
      <c r="A55" s="6">
        <v>5.6497952972978556E-2</v>
      </c>
      <c r="B55" s="6"/>
      <c r="C55" s="6">
        <v>7.5297519747059098</v>
      </c>
      <c r="D55" s="6">
        <v>-2.5539205665326626E-2</v>
      </c>
      <c r="E55" s="6"/>
      <c r="F55" s="6">
        <v>-3.3103551319079427</v>
      </c>
      <c r="G55" s="6">
        <v>6.2330103772972288E-3</v>
      </c>
      <c r="H55" s="6"/>
      <c r="I55" s="6">
        <v>-5.7043733299411983</v>
      </c>
      <c r="J55" s="6">
        <v>3.5788202037181065E-3</v>
      </c>
      <c r="K55" s="6"/>
      <c r="L55" s="6">
        <v>-1.4283245048769926</v>
      </c>
      <c r="M55" s="6">
        <v>-1.9100494032077413E-2</v>
      </c>
      <c r="N55" s="6"/>
      <c r="O55" s="6">
        <v>6.6172652520378632</v>
      </c>
      <c r="P55" s="6">
        <v>-2.2799723510790699E-2</v>
      </c>
      <c r="Q55" s="6"/>
      <c r="R55" s="6">
        <v>6.8580294092331268E-2</v>
      </c>
      <c r="S55" s="6">
        <v>-1.9100494032077413E-2</v>
      </c>
      <c r="T55" s="6"/>
    </row>
    <row r="56" spans="1:20" x14ac:dyDescent="0.35">
      <c r="A56" s="6">
        <v>5.3351918143572638E-2</v>
      </c>
      <c r="B56" s="6"/>
      <c r="C56" s="6">
        <v>7.5981121610967826</v>
      </c>
      <c r="D56" s="6">
        <v>-2.4191557326992137E-2</v>
      </c>
      <c r="E56" s="6"/>
      <c r="F56" s="6">
        <v>-3.3459111209375814</v>
      </c>
      <c r="G56" s="6">
        <v>6.1985197283595077E-3</v>
      </c>
      <c r="H56" s="6"/>
      <c r="I56" s="6">
        <v>-5.7313549758248277</v>
      </c>
      <c r="J56" s="6">
        <v>3.706926310640474E-3</v>
      </c>
      <c r="K56" s="6"/>
      <c r="L56" s="6">
        <v>-1.46241733653904</v>
      </c>
      <c r="M56" s="6">
        <v>-1.7610465735786812E-2</v>
      </c>
      <c r="N56" s="6"/>
      <c r="O56" s="6">
        <v>6.6856644225702357</v>
      </c>
      <c r="P56" s="6">
        <v>-2.1332071055836399E-2</v>
      </c>
      <c r="Q56" s="6"/>
      <c r="R56" s="6">
        <v>8.1871040936473918E-2</v>
      </c>
      <c r="S56" s="6">
        <v>-1.7610465735786812E-2</v>
      </c>
      <c r="T56" s="6"/>
    </row>
    <row r="57" spans="1:20" x14ac:dyDescent="0.35">
      <c r="A57" s="6">
        <v>5.0514306726313109E-2</v>
      </c>
      <c r="B57" s="6"/>
      <c r="C57" s="6">
        <v>7.6633169636708089</v>
      </c>
      <c r="D57" s="6">
        <v>-2.2972038447628039E-2</v>
      </c>
      <c r="E57" s="6"/>
      <c r="F57" s="6">
        <v>-3.3797268408980163</v>
      </c>
      <c r="G57" s="6">
        <v>6.140988653047413E-3</v>
      </c>
      <c r="H57" s="6"/>
      <c r="I57" s="6">
        <v>-5.7571482172016388</v>
      </c>
      <c r="J57" s="6">
        <v>3.7989625386758378E-3</v>
      </c>
      <c r="K57" s="6"/>
      <c r="L57" s="6">
        <v>-1.4948914293837252</v>
      </c>
      <c r="M57" s="6">
        <v>-1.630091082100639E-2</v>
      </c>
      <c r="N57" s="6"/>
      <c r="O57" s="6">
        <v>6.7496606357377447</v>
      </c>
      <c r="P57" s="6">
        <v>-2.0025187051218994E-2</v>
      </c>
      <c r="Q57" s="6"/>
      <c r="R57" s="6">
        <v>9.4977635454725762E-2</v>
      </c>
      <c r="S57" s="6">
        <v>-1.630091082100639E-2</v>
      </c>
      <c r="T57" s="6"/>
    </row>
    <row r="58" spans="1:20" x14ac:dyDescent="0.35">
      <c r="A58" s="6">
        <v>4.6404249290941599E-2</v>
      </c>
      <c r="B58" s="6"/>
      <c r="C58" s="6">
        <v>7.7803354109103147</v>
      </c>
      <c r="D58" s="6">
        <v>-2.3339319031262219E-2</v>
      </c>
      <c r="E58" s="6"/>
      <c r="F58" s="6">
        <v>-3.4178889104344083</v>
      </c>
      <c r="G58" s="6">
        <v>9.8779799671173951E-4</v>
      </c>
      <c r="H58" s="6"/>
      <c r="I58" s="6">
        <v>-5.8323632618682906</v>
      </c>
      <c r="J58" s="6">
        <v>-4.6150228189658629E-4</v>
      </c>
      <c r="K58" s="6"/>
      <c r="L58" s="6">
        <v>-1.5503512079966275</v>
      </c>
      <c r="M58" s="6">
        <v>-2.3924031927091183E-2</v>
      </c>
      <c r="N58" s="6"/>
      <c r="O58" s="6">
        <v>6.8698117580450591</v>
      </c>
      <c r="P58" s="6">
        <v>-2.3526025252883519E-2</v>
      </c>
      <c r="Q58" s="6"/>
      <c r="R58" s="6">
        <v>7.7294277374566095E-2</v>
      </c>
      <c r="S58" s="6">
        <v>-2.3924031927091183E-2</v>
      </c>
      <c r="T58" s="6"/>
    </row>
    <row r="59" spans="1:20" x14ac:dyDescent="0.35">
      <c r="A59" s="6">
        <v>4.1999039567476262E-2</v>
      </c>
      <c r="B59" s="6"/>
      <c r="C59" s="6">
        <v>7.8906924735299429</v>
      </c>
      <c r="D59" s="6">
        <v>-2.1116749212979454E-2</v>
      </c>
      <c r="E59" s="6"/>
      <c r="F59" s="6">
        <v>-3.4617945143515518</v>
      </c>
      <c r="G59" s="6">
        <v>1.6413169618588411E-3</v>
      </c>
      <c r="H59" s="6"/>
      <c r="I59" s="6">
        <v>-5.8877648379266931</v>
      </c>
      <c r="J59" s="6">
        <v>-1.1750996537171769E-4</v>
      </c>
      <c r="K59" s="6"/>
      <c r="L59" s="6">
        <v>-1.6065315193522229</v>
      </c>
      <c r="M59" s="6">
        <v>-2.1307379550305303E-2</v>
      </c>
      <c r="N59" s="6"/>
      <c r="O59" s="6">
        <v>7.0109679095623605</v>
      </c>
      <c r="P59" s="6">
        <v>-2.109332938688116E-2</v>
      </c>
      <c r="Q59" s="6"/>
      <c r="R59" s="6">
        <v>7.8815024866921546E-2</v>
      </c>
      <c r="S59" s="6">
        <v>-2.1307379550305303E-2</v>
      </c>
      <c r="T59" s="6"/>
    </row>
    <row r="60" spans="1:20" x14ac:dyDescent="0.35">
      <c r="A60" s="6">
        <v>3.8257626085408787E-2</v>
      </c>
      <c r="B60" s="6"/>
      <c r="C60" s="6">
        <v>7.9923934446759688</v>
      </c>
      <c r="D60" s="6">
        <v>-1.9221694234429404E-2</v>
      </c>
      <c r="E60" s="6"/>
      <c r="F60" s="6">
        <v>-3.5068647381825286</v>
      </c>
      <c r="G60" s="6">
        <v>2.1361781096005533E-3</v>
      </c>
      <c r="H60" s="6"/>
      <c r="I60" s="6">
        <v>-5.9357221679782031</v>
      </c>
      <c r="J60" s="6">
        <v>2.7122295399956945E-4</v>
      </c>
      <c r="K60" s="6"/>
      <c r="L60" s="6">
        <v>-1.6596594551041857</v>
      </c>
      <c r="M60" s="6">
        <v>-1.8870339141998E-2</v>
      </c>
      <c r="N60" s="6"/>
      <c r="O60" s="6">
        <v>7.1375278858836477</v>
      </c>
      <c r="P60" s="6">
        <v>-1.8904163405582458E-2</v>
      </c>
      <c r="Q60" s="6"/>
      <c r="R60" s="6">
        <v>8.5756005296754173E-2</v>
      </c>
      <c r="S60" s="6">
        <v>-1.8870339141998E-2</v>
      </c>
      <c r="T60" s="6"/>
    </row>
    <row r="61" spans="1:20" x14ac:dyDescent="0.35">
      <c r="A61" s="6">
        <v>3.5066686928162186E-2</v>
      </c>
      <c r="B61" s="6"/>
      <c r="C61" s="6">
        <v>8.086751193132466</v>
      </c>
      <c r="D61" s="6">
        <v>-1.7601342435515626E-2</v>
      </c>
      <c r="E61" s="6"/>
      <c r="F61" s="6">
        <v>-3.5514267481413375</v>
      </c>
      <c r="G61" s="6">
        <v>2.5008279610315197E-3</v>
      </c>
      <c r="H61" s="6"/>
      <c r="I61" s="6">
        <v>-5.9781957240499208</v>
      </c>
      <c r="J61" s="6">
        <v>6.3608912209372624E-4</v>
      </c>
      <c r="K61" s="6"/>
      <c r="L61" s="6">
        <v>-1.7095651467958572</v>
      </c>
      <c r="M61" s="6">
        <v>-1.6707722720085666E-2</v>
      </c>
      <c r="N61" s="6"/>
      <c r="O61" s="6">
        <v>7.2509528663171423</v>
      </c>
      <c r="P61" s="6">
        <v>-1.6989978215218967E-2</v>
      </c>
      <c r="Q61" s="6"/>
      <c r="R61" s="6">
        <v>9.6132276576106707E-2</v>
      </c>
      <c r="S61" s="6">
        <v>-1.6707722720085666E-2</v>
      </c>
      <c r="T61" s="6"/>
    </row>
    <row r="62" spans="1:20" x14ac:dyDescent="0.35">
      <c r="A62" s="6">
        <v>3.2329134913454585E-2</v>
      </c>
      <c r="B62" s="6"/>
      <c r="C62" s="6">
        <v>8.1747364558959141</v>
      </c>
      <c r="D62" s="6">
        <v>-1.6213334698232662E-2</v>
      </c>
      <c r="E62" s="6"/>
      <c r="F62" s="6">
        <v>-3.5946292470561887</v>
      </c>
      <c r="G62" s="6">
        <v>2.7539349664773283E-3</v>
      </c>
      <c r="H62" s="6"/>
      <c r="I62" s="6">
        <v>-6.0165229143600332</v>
      </c>
      <c r="J62" s="6">
        <v>9.4583511662934216E-4</v>
      </c>
      <c r="K62" s="6"/>
      <c r="L62" s="6">
        <v>-1.7563271386273671</v>
      </c>
      <c r="M62" s="6">
        <v>-1.4846012874478422E-2</v>
      </c>
      <c r="N62" s="6"/>
      <c r="O62" s="6">
        <v>7.3528927356084557</v>
      </c>
      <c r="P62" s="6">
        <v>-1.5345493215264242E-2</v>
      </c>
      <c r="Q62" s="6"/>
      <c r="R62" s="6">
        <v>0.1086056743217601</v>
      </c>
      <c r="S62" s="6">
        <v>-1.4846012874478422E-2</v>
      </c>
      <c r="T62" s="6"/>
    </row>
    <row r="63" spans="1:20" x14ac:dyDescent="0.35">
      <c r="A63" s="6">
        <v>2.9963198913455544E-2</v>
      </c>
      <c r="B63" s="6"/>
      <c r="C63" s="6">
        <v>8.2571242294621037</v>
      </c>
      <c r="D63" s="6">
        <v>-1.5017672845179186E-2</v>
      </c>
      <c r="E63" s="6"/>
      <c r="F63" s="6">
        <v>-3.6360804990497888</v>
      </c>
      <c r="G63" s="6">
        <v>2.919930314078798E-3</v>
      </c>
      <c r="H63" s="6"/>
      <c r="I63" s="6">
        <v>-6.0516054300175046</v>
      </c>
      <c r="J63" s="6">
        <v>1.1963041585595446E-3</v>
      </c>
      <c r="K63" s="6"/>
      <c r="L63" s="6">
        <v>-1.8001420702533011</v>
      </c>
      <c r="M63" s="6">
        <v>-1.3261112786974217E-2</v>
      </c>
      <c r="N63" s="6"/>
      <c r="O63" s="6">
        <v>7.4449656949000413</v>
      </c>
      <c r="P63" s="6">
        <v>-1.3939317835012503E-2</v>
      </c>
      <c r="Q63" s="6"/>
      <c r="R63" s="6">
        <v>0.12231190419945906</v>
      </c>
      <c r="S63" s="6">
        <v>-1.3261112786974217E-2</v>
      </c>
      <c r="T63" s="6"/>
    </row>
    <row r="64" spans="1:20" x14ac:dyDescent="0.35">
      <c r="A64" s="6">
        <v>2.7902609975529492E-2</v>
      </c>
      <c r="B64" s="6"/>
      <c r="C64" s="6">
        <v>8.3345526755085686</v>
      </c>
      <c r="D64" s="6">
        <v>-1.3980335878411115E-2</v>
      </c>
      <c r="E64" s="6"/>
      <c r="F64" s="6">
        <v>-3.6756394085550115</v>
      </c>
      <c r="G64" s="6">
        <v>3.0207066430349575E-3</v>
      </c>
      <c r="H64" s="6"/>
      <c r="I64" s="6">
        <v>-6.0840689200040172</v>
      </c>
      <c r="J64" s="6">
        <v>1.3931793666601144E-3</v>
      </c>
      <c r="K64" s="6"/>
      <c r="L64" s="6">
        <v>-1.8412477859683987</v>
      </c>
      <c r="M64" s="6">
        <v>-1.1914584386467992E-2</v>
      </c>
      <c r="N64" s="6"/>
      <c r="O64" s="6">
        <v>7.5286016019101165</v>
      </c>
      <c r="P64" s="6">
        <v>-1.2735064764361639E-2</v>
      </c>
      <c r="Q64" s="6"/>
      <c r="R64" s="6">
        <v>0.13669084148754324</v>
      </c>
      <c r="S64" s="6">
        <v>-1.1914584386467992E-2</v>
      </c>
      <c r="T64" s="6"/>
    </row>
    <row r="65" spans="1:20" x14ac:dyDescent="0.35">
      <c r="A65" s="6">
        <v>2.6094433580812468E-2</v>
      </c>
      <c r="B65" s="6"/>
      <c r="C65" s="6">
        <v>8.4075571481330336</v>
      </c>
      <c r="D65" s="6">
        <v>-1.3073563535597119E-2</v>
      </c>
      <c r="E65" s="6"/>
      <c r="F65" s="6">
        <v>-3.7132990958148842</v>
      </c>
      <c r="G65" s="6">
        <v>3.0737080105044928E-3</v>
      </c>
      <c r="H65" s="6"/>
      <c r="I65" s="6">
        <v>-6.1143612536854608</v>
      </c>
      <c r="J65" s="6">
        <v>1.544850673844465E-3</v>
      </c>
      <c r="K65" s="6"/>
      <c r="L65" s="6">
        <v>-1.8798859606470424</v>
      </c>
      <c r="M65" s="6">
        <v>-1.0767685287801927E-2</v>
      </c>
      <c r="N65" s="6"/>
      <c r="O65" s="6">
        <v>7.6050119904962861</v>
      </c>
      <c r="P65" s="6">
        <v>-1.1699039034838168E-2</v>
      </c>
      <c r="Q65" s="6"/>
      <c r="R65" s="6">
        <v>0.15137771464881591</v>
      </c>
      <c r="S65" s="6">
        <v>-1.0767685287801927E-2</v>
      </c>
      <c r="T65" s="6"/>
    </row>
    <row r="66" spans="1:20" x14ac:dyDescent="0.35">
      <c r="A66" s="6">
        <v>2.4496500982768694E-2</v>
      </c>
      <c r="B66" s="6"/>
      <c r="C66" s="6">
        <v>8.4765923130955567</v>
      </c>
      <c r="D66" s="6">
        <v>-1.227506734717234E-2</v>
      </c>
      <c r="E66" s="6"/>
      <c r="F66" s="6">
        <v>-3.7491221226647693</v>
      </c>
      <c r="G66" s="6">
        <v>3.0921495369264683E-3</v>
      </c>
      <c r="H66" s="6"/>
      <c r="I66" s="6">
        <v>-6.1428131780837241</v>
      </c>
      <c r="J66" s="6">
        <v>1.6596174709723572E-3</v>
      </c>
      <c r="K66" s="6"/>
      <c r="L66" s="6">
        <v>-1.9162851957420639</v>
      </c>
      <c r="M66" s="6">
        <v>-9.7861684905167293E-3</v>
      </c>
      <c r="N66" s="6"/>
      <c r="O66" s="6">
        <v>7.675206224705315</v>
      </c>
      <c r="P66" s="6">
        <v>-1.0802468372480348E-2</v>
      </c>
      <c r="Q66" s="6"/>
      <c r="R66" s="6">
        <v>0.16613405673554846</v>
      </c>
      <c r="S66" s="6">
        <v>-9.7861684905167293E-3</v>
      </c>
      <c r="T66" s="6"/>
    </row>
    <row r="67" spans="1:20" x14ac:dyDescent="0.35">
      <c r="A67" s="6">
        <v>2.3075109564251059E-2</v>
      </c>
      <c r="B67" s="6"/>
      <c r="C67" s="6">
        <v>8.5420478507091637</v>
      </c>
      <c r="D67" s="6">
        <v>-1.156701966054271E-2</v>
      </c>
      <c r="E67" s="6"/>
      <c r="F67" s="6">
        <v>-3.7832044932256705</v>
      </c>
      <c r="G67" s="6">
        <v>3.0858149198556232E-3</v>
      </c>
      <c r="H67" s="6"/>
      <c r="I67" s="6">
        <v>-6.1696762104339209</v>
      </c>
      <c r="J67" s="6">
        <v>1.744738843196219E-3</v>
      </c>
      <c r="K67" s="6"/>
      <c r="L67" s="6">
        <v>-1.950654411525929</v>
      </c>
      <c r="M67" s="6">
        <v>-8.941332594219106E-3</v>
      </c>
      <c r="N67" s="6"/>
      <c r="O67" s="6">
        <v>7.740021034940197</v>
      </c>
      <c r="P67" s="6">
        <v>-1.0021613408331511E-2</v>
      </c>
      <c r="Q67" s="6"/>
      <c r="R67" s="6">
        <v>0.18080392984160595</v>
      </c>
      <c r="S67" s="6">
        <v>-8.941332594219106E-3</v>
      </c>
      <c r="T67" s="6"/>
    </row>
    <row r="68" spans="1:20" x14ac:dyDescent="0.35">
      <c r="A68" s="6">
        <v>2.1803154574501604E-2</v>
      </c>
      <c r="B68" s="6"/>
      <c r="C68" s="6">
        <v>8.6042602362523226</v>
      </c>
      <c r="D68" s="6">
        <v>-1.0935125135356966E-2</v>
      </c>
      <c r="E68" s="6"/>
      <c r="F68" s="6">
        <v>-3.8156557326765532</v>
      </c>
      <c r="G68" s="6">
        <v>3.0618755513828659E-3</v>
      </c>
      <c r="H68" s="6"/>
      <c r="I68" s="6">
        <v>-6.1951467733298324</v>
      </c>
      <c r="J68" s="6">
        <v>1.8062368694290699E-3</v>
      </c>
      <c r="K68" s="6"/>
      <c r="L68" s="6">
        <v>-1.983181251518938</v>
      </c>
      <c r="M68" s="6">
        <v>-8.2096786754417804E-3</v>
      </c>
      <c r="N68" s="6"/>
      <c r="O68" s="6">
        <v>7.8001507153901857</v>
      </c>
      <c r="P68" s="6">
        <v>-9.3371630662819234E-3</v>
      </c>
      <c r="Q68" s="6"/>
      <c r="R68" s="6">
        <v>0.19528595521566197</v>
      </c>
      <c r="S68" s="6">
        <v>-8.2096786754417804E-3</v>
      </c>
      <c r="T68" s="6"/>
    </row>
    <row r="69" spans="1:20" x14ac:dyDescent="0.35">
      <c r="A69" s="6"/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</row>
    <row r="70" spans="1:20" x14ac:dyDescent="0.35">
      <c r="A70" s="6"/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</row>
    <row r="71" spans="1:20" x14ac:dyDescent="0.35">
      <c r="A71" s="6"/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</row>
    <row r="72" spans="1:20" x14ac:dyDescent="0.35">
      <c r="A72" s="6"/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</row>
    <row r="73" spans="1:20" x14ac:dyDescent="0.35">
      <c r="A73" s="6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</row>
    <row r="74" spans="1:20" x14ac:dyDescent="0.35">
      <c r="A74" s="6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</row>
    <row r="75" spans="1:20" x14ac:dyDescent="0.35">
      <c r="A75" s="6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</row>
    <row r="76" spans="1:20" x14ac:dyDescent="0.35">
      <c r="A76" s="6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</row>
    <row r="77" spans="1:20" x14ac:dyDescent="0.35">
      <c r="A77" s="6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</row>
    <row r="78" spans="1:20" x14ac:dyDescent="0.35">
      <c r="A78" s="6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</row>
    <row r="79" spans="1:20" x14ac:dyDescent="0.35">
      <c r="A79" s="6"/>
      <c r="B79" s="6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</row>
    <row r="80" spans="1:20" x14ac:dyDescent="0.35">
      <c r="A80" s="6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</row>
    <row r="81" spans="1:20" x14ac:dyDescent="0.35">
      <c r="A81" s="6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</row>
    <row r="82" spans="1:20" x14ac:dyDescent="0.35">
      <c r="A82" s="6"/>
      <c r="B82" s="6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</row>
    <row r="83" spans="1:20" x14ac:dyDescent="0.35">
      <c r="A83" s="6"/>
      <c r="B83" s="6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</row>
    <row r="84" spans="1:20" x14ac:dyDescent="0.35">
      <c r="A84" s="6"/>
      <c r="B84" s="6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</row>
    <row r="85" spans="1:20" x14ac:dyDescent="0.35">
      <c r="A85" s="6"/>
      <c r="B85" s="6"/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</row>
    <row r="86" spans="1:20" x14ac:dyDescent="0.35">
      <c r="A86" s="6"/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</row>
    <row r="87" spans="1:20" x14ac:dyDescent="0.35">
      <c r="A87" s="6"/>
      <c r="B87" s="6"/>
      <c r="C87" s="6"/>
      <c r="D87" s="6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</row>
    <row r="88" spans="1:20" x14ac:dyDescent="0.35">
      <c r="A88" s="6"/>
      <c r="B88" s="6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</row>
    <row r="89" spans="1:20" x14ac:dyDescent="0.35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</row>
    <row r="90" spans="1:20" x14ac:dyDescent="0.35">
      <c r="A90" s="6"/>
      <c r="B90" s="6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</row>
    <row r="91" spans="1:20" x14ac:dyDescent="0.35">
      <c r="A91" s="6"/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</row>
    <row r="92" spans="1:20" x14ac:dyDescent="0.35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</row>
    <row r="93" spans="1:20" x14ac:dyDescent="0.35">
      <c r="A93" s="6"/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</row>
    <row r="94" spans="1:20" x14ac:dyDescent="0.35">
      <c r="A94" s="6"/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</row>
    <row r="95" spans="1:20" x14ac:dyDescent="0.35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</row>
    <row r="96" spans="1:20" x14ac:dyDescent="0.35">
      <c r="A96" s="6"/>
      <c r="B96" s="6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</row>
    <row r="97" spans="1:20" x14ac:dyDescent="0.35">
      <c r="A97" s="6"/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</row>
    <row r="98" spans="1:20" x14ac:dyDescent="0.35">
      <c r="A98" s="6"/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</row>
    <row r="99" spans="1:20" x14ac:dyDescent="0.35">
      <c r="A99" s="6"/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</row>
    <row r="100" spans="1:20" x14ac:dyDescent="0.35">
      <c r="A100" s="6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</row>
    <row r="101" spans="1:20" x14ac:dyDescent="0.35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</row>
    <row r="102" spans="1:20" x14ac:dyDescent="0.35">
      <c r="A102" s="6"/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</row>
    <row r="103" spans="1:20" x14ac:dyDescent="0.35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</row>
    <row r="104" spans="1:20" x14ac:dyDescent="0.35">
      <c r="A104" s="6"/>
      <c r="B104" s="6"/>
      <c r="C104" s="6"/>
      <c r="D104" s="6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</row>
    <row r="105" spans="1:20" x14ac:dyDescent="0.35">
      <c r="A105" s="6"/>
      <c r="B105" s="6"/>
      <c r="C105" s="6"/>
      <c r="D105" s="6"/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</row>
    <row r="106" spans="1:20" x14ac:dyDescent="0.35">
      <c r="A106" s="6"/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</row>
    <row r="107" spans="1:20" x14ac:dyDescent="0.35">
      <c r="A107" s="6"/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</row>
    <row r="108" spans="1:20" x14ac:dyDescent="0.35">
      <c r="A108" s="6"/>
      <c r="B108" s="6"/>
      <c r="C108" s="6"/>
      <c r="D108" s="6"/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</row>
    <row r="109" spans="1:20" x14ac:dyDescent="0.35">
      <c r="A109" s="6"/>
      <c r="B109" s="6"/>
      <c r="C109" s="6"/>
      <c r="D109" s="6"/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</row>
    <row r="110" spans="1:20" x14ac:dyDescent="0.35">
      <c r="A110" s="6"/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</row>
    <row r="111" spans="1:20" x14ac:dyDescent="0.35">
      <c r="A111" s="6"/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</row>
    <row r="112" spans="1:20" x14ac:dyDescent="0.35">
      <c r="A112" s="6"/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</row>
    <row r="113" spans="1:20" x14ac:dyDescent="0.35">
      <c r="A113" s="6"/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</row>
    <row r="114" spans="1:20" x14ac:dyDescent="0.35">
      <c r="A114" s="6"/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</row>
    <row r="115" spans="1:20" x14ac:dyDescent="0.35">
      <c r="A115" s="6"/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</row>
    <row r="116" spans="1:20" x14ac:dyDescent="0.35">
      <c r="A116" s="6"/>
      <c r="B116" s="6"/>
      <c r="C116" s="6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</row>
    <row r="117" spans="1:20" x14ac:dyDescent="0.35">
      <c r="A117" s="6"/>
      <c r="B117" s="6"/>
      <c r="C117" s="6"/>
      <c r="D117" s="6"/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</row>
    <row r="118" spans="1:20" x14ac:dyDescent="0.35">
      <c r="A118" s="6"/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</row>
    <row r="119" spans="1:20" x14ac:dyDescent="0.35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</row>
    <row r="120" spans="1:20" x14ac:dyDescent="0.35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</row>
    <row r="121" spans="1:20" x14ac:dyDescent="0.35">
      <c r="A121" s="6"/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</row>
    <row r="122" spans="1:20" x14ac:dyDescent="0.35">
      <c r="A122" s="6"/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</row>
    <row r="123" spans="1:20" x14ac:dyDescent="0.35">
      <c r="A123" s="6"/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</row>
    <row r="124" spans="1:20" x14ac:dyDescent="0.35">
      <c r="A124" s="6"/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</row>
    <row r="125" spans="1:20" x14ac:dyDescent="0.35">
      <c r="A125" s="6"/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</row>
    <row r="126" spans="1:20" x14ac:dyDescent="0.35">
      <c r="A126" s="6"/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</row>
    <row r="127" spans="1:20" x14ac:dyDescent="0.35">
      <c r="A127" s="6"/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</row>
    <row r="128" spans="1:20" x14ac:dyDescent="0.35">
      <c r="A128" s="6"/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</row>
    <row r="129" spans="1:20" x14ac:dyDescent="0.35">
      <c r="A129" s="6"/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</row>
    <row r="130" spans="1:20" x14ac:dyDescent="0.35">
      <c r="A130" s="6"/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</row>
    <row r="131" spans="1:20" x14ac:dyDescent="0.35">
      <c r="A131" s="6"/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</row>
    <row r="132" spans="1:20" x14ac:dyDescent="0.35">
      <c r="A132" s="6"/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</row>
    <row r="133" spans="1:20" x14ac:dyDescent="0.35">
      <c r="A133" s="6"/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</row>
    <row r="134" spans="1:20" x14ac:dyDescent="0.35">
      <c r="A134" s="6"/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</row>
    <row r="135" spans="1:20" x14ac:dyDescent="0.35">
      <c r="A135" s="6"/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</row>
    <row r="136" spans="1:20" x14ac:dyDescent="0.35">
      <c r="A136" s="6"/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</row>
    <row r="137" spans="1:20" x14ac:dyDescent="0.35">
      <c r="A137" s="6"/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</row>
    <row r="138" spans="1:20" x14ac:dyDescent="0.35">
      <c r="A138" s="6"/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</row>
    <row r="139" spans="1:20" x14ac:dyDescent="0.35">
      <c r="A139" s="6"/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</row>
    <row r="140" spans="1:20" x14ac:dyDescent="0.35">
      <c r="A140" s="6"/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</row>
    <row r="141" spans="1:20" x14ac:dyDescent="0.35">
      <c r="A141" s="6"/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</row>
    <row r="142" spans="1:20" x14ac:dyDescent="0.35">
      <c r="A142" s="6"/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</row>
    <row r="143" spans="1:20" x14ac:dyDescent="0.35">
      <c r="A143" s="6"/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</row>
    <row r="144" spans="1:20" x14ac:dyDescent="0.35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</row>
    <row r="145" spans="1:20" x14ac:dyDescent="0.35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</row>
    <row r="146" spans="1:20" x14ac:dyDescent="0.35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</row>
    <row r="147" spans="1:20" x14ac:dyDescent="0.35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</row>
    <row r="148" spans="1:20" x14ac:dyDescent="0.35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</row>
    <row r="149" spans="1:20" x14ac:dyDescent="0.35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</row>
    <row r="150" spans="1:20" x14ac:dyDescent="0.35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</row>
    <row r="151" spans="1:20" x14ac:dyDescent="0.35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</row>
    <row r="152" spans="1:20" x14ac:dyDescent="0.35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</row>
    <row r="153" spans="1:20" x14ac:dyDescent="0.35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</row>
    <row r="154" spans="1:20" x14ac:dyDescent="0.35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</row>
    <row r="155" spans="1:20" x14ac:dyDescent="0.35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</row>
    <row r="156" spans="1:20" x14ac:dyDescent="0.35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</row>
    <row r="157" spans="1:20" x14ac:dyDescent="0.35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</row>
    <row r="158" spans="1:20" x14ac:dyDescent="0.35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</row>
    <row r="159" spans="1:20" x14ac:dyDescent="0.35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</row>
    <row r="160" spans="1:20" x14ac:dyDescent="0.35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</row>
    <row r="161" spans="1:20" x14ac:dyDescent="0.35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</row>
    <row r="162" spans="1:20" x14ac:dyDescent="0.35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</row>
    <row r="163" spans="1:20" x14ac:dyDescent="0.35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</row>
    <row r="164" spans="1:20" x14ac:dyDescent="0.35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</row>
    <row r="165" spans="1:20" x14ac:dyDescent="0.35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</row>
    <row r="166" spans="1:20" x14ac:dyDescent="0.35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</row>
    <row r="167" spans="1:20" x14ac:dyDescent="0.35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</row>
    <row r="168" spans="1:20" x14ac:dyDescent="0.35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</row>
    <row r="169" spans="1:20" x14ac:dyDescent="0.35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</row>
    <row r="170" spans="1:20" x14ac:dyDescent="0.35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</row>
    <row r="171" spans="1:20" x14ac:dyDescent="0.35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</row>
    <row r="172" spans="1:20" x14ac:dyDescent="0.35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</row>
    <row r="173" spans="1:20" x14ac:dyDescent="0.35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</row>
    <row r="174" spans="1:20" x14ac:dyDescent="0.35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</row>
    <row r="175" spans="1:20" x14ac:dyDescent="0.35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</row>
    <row r="176" spans="1:20" x14ac:dyDescent="0.35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</row>
    <row r="177" spans="1:20" x14ac:dyDescent="0.35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</row>
    <row r="178" spans="1:20" x14ac:dyDescent="0.35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</row>
    <row r="179" spans="1:20" x14ac:dyDescent="0.35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</row>
    <row r="180" spans="1:20" x14ac:dyDescent="0.35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</row>
    <row r="181" spans="1:20" x14ac:dyDescent="0.35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</row>
    <row r="182" spans="1:20" x14ac:dyDescent="0.35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</row>
    <row r="183" spans="1:20" x14ac:dyDescent="0.35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</row>
    <row r="184" spans="1:20" x14ac:dyDescent="0.35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</row>
    <row r="185" spans="1:20" x14ac:dyDescent="0.35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</row>
    <row r="186" spans="1:20" x14ac:dyDescent="0.35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</row>
    <row r="187" spans="1:20" x14ac:dyDescent="0.35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</row>
    <row r="188" spans="1:20" x14ac:dyDescent="0.35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</row>
    <row r="189" spans="1:20" x14ac:dyDescent="0.35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</row>
    <row r="190" spans="1:20" x14ac:dyDescent="0.35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</row>
    <row r="191" spans="1:20" x14ac:dyDescent="0.35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</row>
    <row r="192" spans="1:20" x14ac:dyDescent="0.35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</row>
    <row r="193" spans="1:20" x14ac:dyDescent="0.35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</row>
    <row r="194" spans="1:20" x14ac:dyDescent="0.35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</row>
    <row r="195" spans="1:20" x14ac:dyDescent="0.35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</row>
    <row r="196" spans="1:20" x14ac:dyDescent="0.35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</row>
    <row r="197" spans="1:20" x14ac:dyDescent="0.35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</row>
    <row r="198" spans="1:20" x14ac:dyDescent="0.35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</row>
    <row r="199" spans="1:20" x14ac:dyDescent="0.35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</row>
    <row r="200" spans="1:20" x14ac:dyDescent="0.35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</row>
    <row r="201" spans="1:20" x14ac:dyDescent="0.35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</row>
    <row r="202" spans="1:20" x14ac:dyDescent="0.35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</row>
    <row r="203" spans="1:20" x14ac:dyDescent="0.35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</row>
    <row r="204" spans="1:20" x14ac:dyDescent="0.35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</row>
    <row r="205" spans="1:20" x14ac:dyDescent="0.35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</row>
    <row r="206" spans="1:20" x14ac:dyDescent="0.35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</row>
    <row r="207" spans="1:20" x14ac:dyDescent="0.35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</row>
    <row r="208" spans="1:20" x14ac:dyDescent="0.35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</row>
    <row r="209" spans="1:20" x14ac:dyDescent="0.35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</row>
    <row r="210" spans="1:20" x14ac:dyDescent="0.35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</row>
    <row r="211" spans="1:20" x14ac:dyDescent="0.35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</row>
    <row r="212" spans="1:20" x14ac:dyDescent="0.35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</row>
    <row r="213" spans="1:20" x14ac:dyDescent="0.35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</row>
    <row r="214" spans="1:20" x14ac:dyDescent="0.35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</row>
    <row r="215" spans="1:20" x14ac:dyDescent="0.35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</row>
    <row r="216" spans="1:20" x14ac:dyDescent="0.35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</row>
    <row r="217" spans="1:20" x14ac:dyDescent="0.35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</row>
    <row r="218" spans="1:20" x14ac:dyDescent="0.35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</row>
  </sheetData>
  <mergeCells count="6">
    <mergeCell ref="R1:S1"/>
    <mergeCell ref="C1:D1"/>
    <mergeCell ref="F1:G1"/>
    <mergeCell ref="I1:J1"/>
    <mergeCell ref="L1:M1"/>
    <mergeCell ref="O1:P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9B501-6E2A-4D6C-BBDB-7789978CB0BC}">
  <sheetPr codeName="Sheet3"/>
  <dimension ref="A260:D262"/>
  <sheetViews>
    <sheetView workbookViewId="0">
      <selection activeCell="B6" sqref="B6"/>
    </sheetView>
  </sheetViews>
  <sheetFormatPr defaultRowHeight="14.5" x14ac:dyDescent="0.35"/>
  <sheetData>
    <row r="260" spans="1:4" x14ac:dyDescent="0.35">
      <c r="A260" t="s">
        <v>75</v>
      </c>
      <c r="D260" t="e">
        <f>MIN('[1]Colour Map (Divergent)'!I:I)</f>
        <v>#REF!</v>
      </c>
    </row>
    <row r="261" spans="1:4" x14ac:dyDescent="0.35">
      <c r="A261" t="s">
        <v>76</v>
      </c>
      <c r="D261" t="e">
        <f>MAX('[1]Colour Map (Divergent)'!I:I)</f>
        <v>#REF!</v>
      </c>
    </row>
    <row r="262" spans="1:4" x14ac:dyDescent="0.35">
      <c r="A262" t="s">
        <v>77</v>
      </c>
      <c r="D262" t="e">
        <f>(D261-D260)/8</f>
        <v>#REF!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Main Page</vt:lpstr>
      <vt:lpstr>Iteration Data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Haythornthwaite</dc:creator>
  <cp:lastModifiedBy>Matthew Haythornthwaite</cp:lastModifiedBy>
  <dcterms:created xsi:type="dcterms:W3CDTF">2021-02-28T18:00:16Z</dcterms:created>
  <dcterms:modified xsi:type="dcterms:W3CDTF">2021-03-27T13:23:49Z</dcterms:modified>
</cp:coreProperties>
</file>