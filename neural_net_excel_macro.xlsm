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hayt\Documents\Software_Developer-Python\2_Machine_Learning_ZTM_Course\Testing_ML_Algorithms\"/>
    </mc:Choice>
  </mc:AlternateContent>
  <xr:revisionPtr revIDLastSave="0" documentId="13_ncr:1_{3F264D13-2DAB-4A53-B249-AAAB2B237400}" xr6:coauthVersionLast="46" xr6:coauthVersionMax="46" xr10:uidLastSave="{00000000-0000-0000-0000-000000000000}"/>
  <bookViews>
    <workbookView xWindow="-110" yWindow="-110" windowWidth="19420" windowHeight="10420" xr2:uid="{0902341D-AD10-4A63-AC83-5FCE75AC7723}"/>
  </bookViews>
  <sheets>
    <sheet name="Main Page" sheetId="1" r:id="rId1"/>
    <sheet name="Iteration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9" i="1" l="1"/>
  <c r="D100" i="1"/>
  <c r="D101" i="1"/>
  <c r="D102" i="1"/>
  <c r="D103" i="1"/>
  <c r="D98" i="1"/>
  <c r="B102" i="1"/>
  <c r="T189" i="1"/>
  <c r="T163" i="1" s="1"/>
  <c r="H189" i="1"/>
  <c r="H163" i="1" s="1"/>
  <c r="H137" i="1" s="1"/>
  <c r="H111" i="1" s="1"/>
  <c r="O189" i="1"/>
  <c r="O163" i="1" s="1"/>
  <c r="P189" i="1"/>
  <c r="P163" i="1" s="1"/>
  <c r="P137" i="1" s="1"/>
  <c r="P111" i="1" s="1"/>
  <c r="O190" i="1"/>
  <c r="O164" i="1" s="1"/>
  <c r="U190" i="1"/>
  <c r="U164" i="1" s="1"/>
  <c r="U138" i="1" s="1"/>
  <c r="U112" i="1" s="1"/>
  <c r="W190" i="1"/>
  <c r="W164" i="1" s="1"/>
  <c r="J191" i="1"/>
  <c r="J165" i="1" s="1"/>
  <c r="W191" i="1"/>
  <c r="W165" i="1" s="1"/>
  <c r="W139" i="1" s="1"/>
  <c r="W113" i="1" s="1"/>
  <c r="X191" i="1"/>
  <c r="X165" i="1" s="1"/>
  <c r="X139" i="1" s="1"/>
  <c r="X113" i="1" s="1"/>
  <c r="E192" i="1"/>
  <c r="E166" i="1" s="1"/>
  <c r="R192" i="1"/>
  <c r="R166" i="1" s="1"/>
  <c r="R140" i="1" s="1"/>
  <c r="R114" i="1" s="1"/>
  <c r="S192" i="1"/>
  <c r="S166" i="1" s="1"/>
  <c r="S140" i="1" s="1"/>
  <c r="S114" i="1" s="1"/>
  <c r="F193" i="1"/>
  <c r="F167" i="1" s="1"/>
  <c r="F141" i="1" s="1"/>
  <c r="F115" i="1" s="1"/>
  <c r="H193" i="1"/>
  <c r="H167" i="1" s="1"/>
  <c r="M193" i="1"/>
  <c r="M167" i="1" s="1"/>
  <c r="M141" i="1" s="1"/>
  <c r="M115" i="1" s="1"/>
  <c r="U193" i="1"/>
  <c r="U167" i="1" s="1"/>
  <c r="U141" i="1" s="1"/>
  <c r="U115" i="1" s="1"/>
  <c r="V193" i="1"/>
  <c r="V167" i="1" s="1"/>
  <c r="V141" i="1" s="1"/>
  <c r="V115" i="1" s="1"/>
  <c r="H194" i="1"/>
  <c r="H168" i="1" s="1"/>
  <c r="H142" i="1" s="1"/>
  <c r="H116" i="1" s="1"/>
  <c r="I194" i="1"/>
  <c r="I168" i="1" s="1"/>
  <c r="I142" i="1" s="1"/>
  <c r="I116" i="1" s="1"/>
  <c r="K194" i="1"/>
  <c r="K168" i="1" s="1"/>
  <c r="S194" i="1"/>
  <c r="S168" i="1" s="1"/>
  <c r="S142" i="1" s="1"/>
  <c r="S116" i="1" s="1"/>
  <c r="X194" i="1"/>
  <c r="X168" i="1" s="1"/>
  <c r="X142" i="1" s="1"/>
  <c r="X116" i="1" s="1"/>
  <c r="F195" i="1"/>
  <c r="F169" i="1" s="1"/>
  <c r="F143" i="1" s="1"/>
  <c r="F117" i="1" s="1"/>
  <c r="K195" i="1"/>
  <c r="K169" i="1" s="1"/>
  <c r="K143" i="1" s="1"/>
  <c r="K117" i="1" s="1"/>
  <c r="L195" i="1"/>
  <c r="L169" i="1" s="1"/>
  <c r="L143" i="1" s="1"/>
  <c r="L117" i="1" s="1"/>
  <c r="S195" i="1"/>
  <c r="S169" i="1" s="1"/>
  <c r="S143" i="1" s="1"/>
  <c r="S117" i="1" s="1"/>
  <c r="T195" i="1"/>
  <c r="T169" i="1" s="1"/>
  <c r="T143" i="1" s="1"/>
  <c r="T117" i="1" s="1"/>
  <c r="E196" i="1"/>
  <c r="E170" i="1" s="1"/>
  <c r="E144" i="1" s="1"/>
  <c r="E118" i="1" s="1"/>
  <c r="F196" i="1"/>
  <c r="F170" i="1" s="1"/>
  <c r="F144" i="1" s="1"/>
  <c r="F118" i="1" s="1"/>
  <c r="I196" i="1"/>
  <c r="I170" i="1" s="1"/>
  <c r="I144" i="1" s="1"/>
  <c r="I118" i="1" s="1"/>
  <c r="O196" i="1"/>
  <c r="O170" i="1" s="1"/>
  <c r="O144" i="1" s="1"/>
  <c r="O118" i="1" s="1"/>
  <c r="Q196" i="1"/>
  <c r="Q170" i="1" s="1"/>
  <c r="Q144" i="1" s="1"/>
  <c r="Q118" i="1" s="1"/>
  <c r="V196" i="1"/>
  <c r="V170" i="1" s="1"/>
  <c r="V144" i="1" s="1"/>
  <c r="V118" i="1" s="1"/>
  <c r="W196" i="1"/>
  <c r="W170" i="1" s="1"/>
  <c r="W144" i="1" s="1"/>
  <c r="W118" i="1" s="1"/>
  <c r="D197" i="1"/>
  <c r="D171" i="1" s="1"/>
  <c r="D145" i="1" s="1"/>
  <c r="D119" i="1" s="1"/>
  <c r="J197" i="1"/>
  <c r="J171" i="1" s="1"/>
  <c r="J145" i="1" s="1"/>
  <c r="J119" i="1" s="1"/>
  <c r="M197" i="1"/>
  <c r="M171" i="1" s="1"/>
  <c r="M145" i="1" s="1"/>
  <c r="M119" i="1" s="1"/>
  <c r="Q197" i="1"/>
  <c r="Q171" i="1" s="1"/>
  <c r="Q145" i="1" s="1"/>
  <c r="Q119" i="1" s="1"/>
  <c r="T197" i="1"/>
  <c r="T171" i="1" s="1"/>
  <c r="T145" i="1" s="1"/>
  <c r="T119" i="1" s="1"/>
  <c r="U197" i="1"/>
  <c r="U171" i="1" s="1"/>
  <c r="U145" i="1" s="1"/>
  <c r="U119" i="1" s="1"/>
  <c r="G198" i="1"/>
  <c r="G172" i="1" s="1"/>
  <c r="G146" i="1" s="1"/>
  <c r="G120" i="1" s="1"/>
  <c r="H198" i="1"/>
  <c r="H172" i="1" s="1"/>
  <c r="H146" i="1" s="1"/>
  <c r="H120" i="1" s="1"/>
  <c r="M198" i="1"/>
  <c r="M172" i="1" s="1"/>
  <c r="M146" i="1" s="1"/>
  <c r="M120" i="1" s="1"/>
  <c r="O198" i="1"/>
  <c r="O172" i="1" s="1"/>
  <c r="O146" i="1" s="1"/>
  <c r="O120" i="1" s="1"/>
  <c r="S198" i="1"/>
  <c r="S172" i="1" s="1"/>
  <c r="S146" i="1" s="1"/>
  <c r="S120" i="1" s="1"/>
  <c r="X198" i="1"/>
  <c r="X172" i="1" s="1"/>
  <c r="X146" i="1" s="1"/>
  <c r="X120" i="1" s="1"/>
  <c r="F199" i="1"/>
  <c r="F173" i="1" s="1"/>
  <c r="F147" i="1" s="1"/>
  <c r="F121" i="1" s="1"/>
  <c r="J199" i="1"/>
  <c r="J173" i="1" s="1"/>
  <c r="J147" i="1" s="1"/>
  <c r="J121" i="1" s="1"/>
  <c r="K199" i="1"/>
  <c r="K173" i="1" s="1"/>
  <c r="K147" i="1" s="1"/>
  <c r="K121" i="1" s="1"/>
  <c r="N199" i="1"/>
  <c r="N173" i="1" s="1"/>
  <c r="N147" i="1" s="1"/>
  <c r="N121" i="1" s="1"/>
  <c r="S199" i="1"/>
  <c r="S173" i="1" s="1"/>
  <c r="S147" i="1" s="1"/>
  <c r="S121" i="1" s="1"/>
  <c r="W199" i="1"/>
  <c r="W173" i="1" s="1"/>
  <c r="W147" i="1" s="1"/>
  <c r="W121" i="1" s="1"/>
  <c r="E200" i="1"/>
  <c r="E174" i="1" s="1"/>
  <c r="E148" i="1" s="1"/>
  <c r="E122" i="1" s="1"/>
  <c r="I200" i="1"/>
  <c r="I174" i="1" s="1"/>
  <c r="I148" i="1" s="1"/>
  <c r="I122" i="1" s="1"/>
  <c r="J200" i="1"/>
  <c r="J174" i="1" s="1"/>
  <c r="J148" i="1" s="1"/>
  <c r="J122" i="1" s="1"/>
  <c r="Q200" i="1"/>
  <c r="Q174" i="1" s="1"/>
  <c r="Q148" i="1" s="1"/>
  <c r="Q122" i="1" s="1"/>
  <c r="R200" i="1"/>
  <c r="R174" i="1" s="1"/>
  <c r="R148" i="1" s="1"/>
  <c r="R122" i="1" s="1"/>
  <c r="U200" i="1"/>
  <c r="U174" i="1" s="1"/>
  <c r="U148" i="1" s="1"/>
  <c r="U122" i="1" s="1"/>
  <c r="V200" i="1"/>
  <c r="V174" i="1" s="1"/>
  <c r="V148" i="1" s="1"/>
  <c r="V122" i="1" s="1"/>
  <c r="X200" i="1"/>
  <c r="X174" i="1" s="1"/>
  <c r="X148" i="1" s="1"/>
  <c r="X122" i="1" s="1"/>
  <c r="G201" i="1"/>
  <c r="G175" i="1" s="1"/>
  <c r="G149" i="1" s="1"/>
  <c r="G123" i="1" s="1"/>
  <c r="H201" i="1"/>
  <c r="H175" i="1" s="1"/>
  <c r="H149" i="1" s="1"/>
  <c r="H123" i="1" s="1"/>
  <c r="K201" i="1"/>
  <c r="K175" i="1" s="1"/>
  <c r="K149" i="1" s="1"/>
  <c r="K123" i="1" s="1"/>
  <c r="L201" i="1"/>
  <c r="L175" i="1" s="1"/>
  <c r="L149" i="1" s="1"/>
  <c r="L123" i="1" s="1"/>
  <c r="M201" i="1"/>
  <c r="M175" i="1" s="1"/>
  <c r="M149" i="1" s="1"/>
  <c r="M123" i="1" s="1"/>
  <c r="Q201" i="1"/>
  <c r="Q175" i="1" s="1"/>
  <c r="Q149" i="1" s="1"/>
  <c r="Q123" i="1" s="1"/>
  <c r="S201" i="1"/>
  <c r="S175" i="1" s="1"/>
  <c r="S149" i="1" s="1"/>
  <c r="S123" i="1" s="1"/>
  <c r="T201" i="1"/>
  <c r="T175" i="1" s="1"/>
  <c r="T149" i="1" s="1"/>
  <c r="T123" i="1" s="1"/>
  <c r="U201" i="1"/>
  <c r="U175" i="1" s="1"/>
  <c r="U149" i="1" s="1"/>
  <c r="U123" i="1" s="1"/>
  <c r="W201" i="1"/>
  <c r="W175" i="1" s="1"/>
  <c r="W149" i="1" s="1"/>
  <c r="W123" i="1" s="1"/>
  <c r="X201" i="1"/>
  <c r="X175" i="1" s="1"/>
  <c r="X149" i="1" s="1"/>
  <c r="X123" i="1" s="1"/>
  <c r="G202" i="1"/>
  <c r="G176" i="1" s="1"/>
  <c r="G150" i="1" s="1"/>
  <c r="G124" i="1" s="1"/>
  <c r="H202" i="1"/>
  <c r="H176" i="1" s="1"/>
  <c r="H150" i="1" s="1"/>
  <c r="H124" i="1" s="1"/>
  <c r="J202" i="1"/>
  <c r="J176" i="1" s="1"/>
  <c r="J150" i="1" s="1"/>
  <c r="J124" i="1" s="1"/>
  <c r="K202" i="1"/>
  <c r="K176" i="1" s="1"/>
  <c r="K150" i="1" s="1"/>
  <c r="K124" i="1" s="1"/>
  <c r="L202" i="1"/>
  <c r="L176" i="1" s="1"/>
  <c r="L150" i="1" s="1"/>
  <c r="L124" i="1" s="1"/>
  <c r="N202" i="1"/>
  <c r="N176" i="1" s="1"/>
  <c r="N150" i="1" s="1"/>
  <c r="N124" i="1" s="1"/>
  <c r="R202" i="1"/>
  <c r="R176" i="1" s="1"/>
  <c r="R150" i="1" s="1"/>
  <c r="R124" i="1" s="1"/>
  <c r="S202" i="1"/>
  <c r="S176" i="1" s="1"/>
  <c r="S150" i="1" s="1"/>
  <c r="S124" i="1" s="1"/>
  <c r="T202" i="1"/>
  <c r="T176" i="1" s="1"/>
  <c r="T150" i="1" s="1"/>
  <c r="T124" i="1" s="1"/>
  <c r="V202" i="1"/>
  <c r="V176" i="1" s="1"/>
  <c r="V150" i="1" s="1"/>
  <c r="V124" i="1" s="1"/>
  <c r="W202" i="1"/>
  <c r="W176" i="1" s="1"/>
  <c r="W150" i="1" s="1"/>
  <c r="W124" i="1" s="1"/>
  <c r="X202" i="1"/>
  <c r="X176" i="1" s="1"/>
  <c r="X150" i="1" s="1"/>
  <c r="X124" i="1" s="1"/>
  <c r="G203" i="1"/>
  <c r="G177" i="1" s="1"/>
  <c r="G151" i="1" s="1"/>
  <c r="G125" i="1" s="1"/>
  <c r="I203" i="1"/>
  <c r="I177" i="1" s="1"/>
  <c r="I151" i="1" s="1"/>
  <c r="I125" i="1" s="1"/>
  <c r="J203" i="1"/>
  <c r="J177" i="1" s="1"/>
  <c r="J151" i="1" s="1"/>
  <c r="J125" i="1" s="1"/>
  <c r="K203" i="1"/>
  <c r="K177" i="1" s="1"/>
  <c r="K151" i="1" s="1"/>
  <c r="K125" i="1" s="1"/>
  <c r="M203" i="1"/>
  <c r="M177" i="1" s="1"/>
  <c r="M151" i="1" s="1"/>
  <c r="M125" i="1" s="1"/>
  <c r="N203" i="1"/>
  <c r="N177" i="1" s="1"/>
  <c r="N151" i="1" s="1"/>
  <c r="N125" i="1" s="1"/>
  <c r="Q203" i="1"/>
  <c r="Q177" i="1" s="1"/>
  <c r="Q151" i="1" s="1"/>
  <c r="Q125" i="1" s="1"/>
  <c r="R203" i="1"/>
  <c r="R177" i="1" s="1"/>
  <c r="R151" i="1" s="1"/>
  <c r="R125" i="1" s="1"/>
  <c r="S203" i="1"/>
  <c r="S177" i="1" s="1"/>
  <c r="S151" i="1" s="1"/>
  <c r="S125" i="1" s="1"/>
  <c r="U203" i="1"/>
  <c r="U177" i="1" s="1"/>
  <c r="U151" i="1" s="1"/>
  <c r="U125" i="1" s="1"/>
  <c r="V203" i="1"/>
  <c r="V177" i="1" s="1"/>
  <c r="V151" i="1" s="1"/>
  <c r="V125" i="1" s="1"/>
  <c r="W203" i="1"/>
  <c r="W177" i="1" s="1"/>
  <c r="W151" i="1" s="1"/>
  <c r="W125" i="1" s="1"/>
  <c r="D204" i="1"/>
  <c r="D178" i="1" s="1"/>
  <c r="D152" i="1" s="1"/>
  <c r="D126" i="1" s="1"/>
  <c r="F204" i="1"/>
  <c r="F178" i="1" s="1"/>
  <c r="F152" i="1" s="1"/>
  <c r="F126" i="1" s="1"/>
  <c r="H204" i="1"/>
  <c r="H178" i="1" s="1"/>
  <c r="H152" i="1" s="1"/>
  <c r="H126" i="1" s="1"/>
  <c r="I204" i="1"/>
  <c r="I178" i="1" s="1"/>
  <c r="I152" i="1" s="1"/>
  <c r="I126" i="1" s="1"/>
  <c r="J204" i="1"/>
  <c r="J178" i="1" s="1"/>
  <c r="J152" i="1" s="1"/>
  <c r="J126" i="1" s="1"/>
  <c r="L204" i="1"/>
  <c r="L178" i="1" s="1"/>
  <c r="L152" i="1" s="1"/>
  <c r="L126" i="1" s="1"/>
  <c r="M204" i="1"/>
  <c r="M178" i="1" s="1"/>
  <c r="M152" i="1" s="1"/>
  <c r="M126" i="1" s="1"/>
  <c r="N204" i="1"/>
  <c r="N178" i="1" s="1"/>
  <c r="N152" i="1" s="1"/>
  <c r="N126" i="1" s="1"/>
  <c r="P204" i="1"/>
  <c r="P178" i="1" s="1"/>
  <c r="P152" i="1" s="1"/>
  <c r="P126" i="1" s="1"/>
  <c r="Q204" i="1"/>
  <c r="Q178" i="1" s="1"/>
  <c r="Q152" i="1" s="1"/>
  <c r="Q126" i="1" s="1"/>
  <c r="R204" i="1"/>
  <c r="R178" i="1" s="1"/>
  <c r="R152" i="1" s="1"/>
  <c r="R126" i="1" s="1"/>
  <c r="T204" i="1"/>
  <c r="T178" i="1" s="1"/>
  <c r="T152" i="1" s="1"/>
  <c r="T126" i="1" s="1"/>
  <c r="U204" i="1"/>
  <c r="U178" i="1" s="1"/>
  <c r="U152" i="1" s="1"/>
  <c r="U126" i="1" s="1"/>
  <c r="V204" i="1"/>
  <c r="V178" i="1" s="1"/>
  <c r="V152" i="1" s="1"/>
  <c r="V126" i="1" s="1"/>
  <c r="X204" i="1"/>
  <c r="X178" i="1" s="1"/>
  <c r="X152" i="1" s="1"/>
  <c r="X126" i="1" s="1"/>
  <c r="D205" i="1"/>
  <c r="D179" i="1" s="1"/>
  <c r="D153" i="1" s="1"/>
  <c r="D127" i="1" s="1"/>
  <c r="E205" i="1"/>
  <c r="E179" i="1" s="1"/>
  <c r="E153" i="1" s="1"/>
  <c r="E127" i="1" s="1"/>
  <c r="G205" i="1"/>
  <c r="G179" i="1" s="1"/>
  <c r="G153" i="1" s="1"/>
  <c r="G127" i="1" s="1"/>
  <c r="H205" i="1"/>
  <c r="H179" i="1" s="1"/>
  <c r="H153" i="1" s="1"/>
  <c r="H127" i="1" s="1"/>
  <c r="I205" i="1"/>
  <c r="I179" i="1" s="1"/>
  <c r="I153" i="1" s="1"/>
  <c r="I127" i="1" s="1"/>
  <c r="K205" i="1"/>
  <c r="K179" i="1" s="1"/>
  <c r="K153" i="1" s="1"/>
  <c r="K127" i="1" s="1"/>
  <c r="L205" i="1"/>
  <c r="L179" i="1" s="1"/>
  <c r="L153" i="1" s="1"/>
  <c r="L127" i="1" s="1"/>
  <c r="M205" i="1"/>
  <c r="M179" i="1" s="1"/>
  <c r="M153" i="1" s="1"/>
  <c r="M127" i="1" s="1"/>
  <c r="O205" i="1"/>
  <c r="O179" i="1" s="1"/>
  <c r="O153" i="1" s="1"/>
  <c r="O127" i="1" s="1"/>
  <c r="P205" i="1"/>
  <c r="P179" i="1" s="1"/>
  <c r="P153" i="1" s="1"/>
  <c r="P127" i="1" s="1"/>
  <c r="Q205" i="1"/>
  <c r="Q179" i="1" s="1"/>
  <c r="Q153" i="1" s="1"/>
  <c r="Q127" i="1" s="1"/>
  <c r="S205" i="1"/>
  <c r="S179" i="1" s="1"/>
  <c r="S153" i="1" s="1"/>
  <c r="S127" i="1" s="1"/>
  <c r="T205" i="1"/>
  <c r="T179" i="1" s="1"/>
  <c r="T153" i="1" s="1"/>
  <c r="T127" i="1" s="1"/>
  <c r="U205" i="1"/>
  <c r="U179" i="1" s="1"/>
  <c r="U153" i="1" s="1"/>
  <c r="U127" i="1" s="1"/>
  <c r="W205" i="1"/>
  <c r="W179" i="1" s="1"/>
  <c r="W153" i="1" s="1"/>
  <c r="W127" i="1" s="1"/>
  <c r="X205" i="1"/>
  <c r="X179" i="1" s="1"/>
  <c r="X153" i="1" s="1"/>
  <c r="X127" i="1" s="1"/>
  <c r="D206" i="1"/>
  <c r="D180" i="1" s="1"/>
  <c r="D154" i="1" s="1"/>
  <c r="D128" i="1" s="1"/>
  <c r="F206" i="1"/>
  <c r="F180" i="1" s="1"/>
  <c r="F154" i="1" s="1"/>
  <c r="F128" i="1" s="1"/>
  <c r="G206" i="1"/>
  <c r="G180" i="1" s="1"/>
  <c r="G154" i="1" s="1"/>
  <c r="G128" i="1" s="1"/>
  <c r="H206" i="1"/>
  <c r="H180" i="1" s="1"/>
  <c r="H154" i="1" s="1"/>
  <c r="H128" i="1" s="1"/>
  <c r="J206" i="1"/>
  <c r="J180" i="1" s="1"/>
  <c r="J154" i="1" s="1"/>
  <c r="J128" i="1" s="1"/>
  <c r="K206" i="1"/>
  <c r="K180" i="1" s="1"/>
  <c r="K154" i="1" s="1"/>
  <c r="K128" i="1" s="1"/>
  <c r="L206" i="1"/>
  <c r="L180" i="1" s="1"/>
  <c r="L154" i="1" s="1"/>
  <c r="L128" i="1" s="1"/>
  <c r="M206" i="1"/>
  <c r="M180" i="1" s="1"/>
  <c r="M154" i="1" s="1"/>
  <c r="M128" i="1" s="1"/>
  <c r="N206" i="1"/>
  <c r="N180" i="1" s="1"/>
  <c r="N154" i="1" s="1"/>
  <c r="N128" i="1" s="1"/>
  <c r="O206" i="1"/>
  <c r="O180" i="1" s="1"/>
  <c r="O154" i="1" s="1"/>
  <c r="O128" i="1" s="1"/>
  <c r="P206" i="1"/>
  <c r="P180" i="1" s="1"/>
  <c r="P154" i="1" s="1"/>
  <c r="P128" i="1" s="1"/>
  <c r="Q206" i="1"/>
  <c r="Q180" i="1" s="1"/>
  <c r="Q154" i="1" s="1"/>
  <c r="Q128" i="1" s="1"/>
  <c r="R206" i="1"/>
  <c r="R180" i="1" s="1"/>
  <c r="R154" i="1" s="1"/>
  <c r="R128" i="1" s="1"/>
  <c r="S206" i="1"/>
  <c r="S180" i="1" s="1"/>
  <c r="S154" i="1" s="1"/>
  <c r="S128" i="1" s="1"/>
  <c r="T206" i="1"/>
  <c r="T180" i="1" s="1"/>
  <c r="T154" i="1" s="1"/>
  <c r="T128" i="1" s="1"/>
  <c r="U206" i="1"/>
  <c r="U180" i="1" s="1"/>
  <c r="U154" i="1" s="1"/>
  <c r="U128" i="1" s="1"/>
  <c r="V206" i="1"/>
  <c r="V180" i="1" s="1"/>
  <c r="V154" i="1" s="1"/>
  <c r="V128" i="1" s="1"/>
  <c r="W206" i="1"/>
  <c r="W180" i="1" s="1"/>
  <c r="W154" i="1" s="1"/>
  <c r="W128" i="1" s="1"/>
  <c r="X206" i="1"/>
  <c r="X180" i="1" s="1"/>
  <c r="X154" i="1" s="1"/>
  <c r="X128" i="1" s="1"/>
  <c r="D207" i="1"/>
  <c r="D181" i="1" s="1"/>
  <c r="D155" i="1" s="1"/>
  <c r="D129" i="1" s="1"/>
  <c r="E207" i="1"/>
  <c r="E181" i="1" s="1"/>
  <c r="E155" i="1" s="1"/>
  <c r="E129" i="1" s="1"/>
  <c r="F207" i="1"/>
  <c r="F181" i="1" s="1"/>
  <c r="F155" i="1" s="1"/>
  <c r="F129" i="1" s="1"/>
  <c r="G207" i="1"/>
  <c r="G181" i="1" s="1"/>
  <c r="G155" i="1" s="1"/>
  <c r="G129" i="1" s="1"/>
  <c r="H207" i="1"/>
  <c r="H181" i="1" s="1"/>
  <c r="H155" i="1" s="1"/>
  <c r="H129" i="1" s="1"/>
  <c r="I207" i="1"/>
  <c r="I181" i="1" s="1"/>
  <c r="I155" i="1" s="1"/>
  <c r="I129" i="1" s="1"/>
  <c r="J207" i="1"/>
  <c r="J181" i="1" s="1"/>
  <c r="J155" i="1" s="1"/>
  <c r="J129" i="1" s="1"/>
  <c r="K207" i="1"/>
  <c r="K181" i="1" s="1"/>
  <c r="K155" i="1" s="1"/>
  <c r="K129" i="1" s="1"/>
  <c r="L207" i="1"/>
  <c r="L181" i="1" s="1"/>
  <c r="L155" i="1" s="1"/>
  <c r="L129" i="1" s="1"/>
  <c r="M207" i="1"/>
  <c r="M181" i="1" s="1"/>
  <c r="M155" i="1" s="1"/>
  <c r="M129" i="1" s="1"/>
  <c r="N207" i="1"/>
  <c r="N181" i="1" s="1"/>
  <c r="N155" i="1" s="1"/>
  <c r="N129" i="1" s="1"/>
  <c r="O207" i="1"/>
  <c r="O181" i="1" s="1"/>
  <c r="O155" i="1" s="1"/>
  <c r="O129" i="1" s="1"/>
  <c r="P207" i="1"/>
  <c r="P181" i="1" s="1"/>
  <c r="P155" i="1" s="1"/>
  <c r="P129" i="1" s="1"/>
  <c r="Q207" i="1"/>
  <c r="Q181" i="1" s="1"/>
  <c r="Q155" i="1" s="1"/>
  <c r="Q129" i="1" s="1"/>
  <c r="R207" i="1"/>
  <c r="R181" i="1" s="1"/>
  <c r="R155" i="1" s="1"/>
  <c r="R129" i="1" s="1"/>
  <c r="S207" i="1"/>
  <c r="S181" i="1" s="1"/>
  <c r="S155" i="1" s="1"/>
  <c r="S129" i="1" s="1"/>
  <c r="T207" i="1"/>
  <c r="T181" i="1" s="1"/>
  <c r="T155" i="1" s="1"/>
  <c r="T129" i="1" s="1"/>
  <c r="U207" i="1"/>
  <c r="U181" i="1" s="1"/>
  <c r="U155" i="1" s="1"/>
  <c r="U129" i="1" s="1"/>
  <c r="V207" i="1"/>
  <c r="V181" i="1" s="1"/>
  <c r="V155" i="1" s="1"/>
  <c r="V129" i="1" s="1"/>
  <c r="W207" i="1"/>
  <c r="W181" i="1" s="1"/>
  <c r="W155" i="1" s="1"/>
  <c r="W129" i="1" s="1"/>
  <c r="X207" i="1"/>
  <c r="X181" i="1" s="1"/>
  <c r="X155" i="1" s="1"/>
  <c r="X129" i="1" s="1"/>
  <c r="J188" i="1"/>
  <c r="J162" i="1" s="1"/>
  <c r="J136" i="1" s="1"/>
  <c r="J110" i="1" s="1"/>
  <c r="F188" i="1"/>
  <c r="F162" i="1" s="1"/>
  <c r="F136" i="1" s="1"/>
  <c r="F110" i="1" s="1"/>
  <c r="G188" i="1"/>
  <c r="G162" i="1" s="1"/>
  <c r="G136" i="1" s="1"/>
  <c r="G110" i="1" s="1"/>
  <c r="H188" i="1"/>
  <c r="H162" i="1" s="1"/>
  <c r="H136" i="1" s="1"/>
  <c r="H110" i="1" s="1"/>
  <c r="I188" i="1"/>
  <c r="I162" i="1" s="1"/>
  <c r="I136" i="1" s="1"/>
  <c r="I110" i="1" s="1"/>
  <c r="K188" i="1"/>
  <c r="K162" i="1" s="1"/>
  <c r="K136" i="1" s="1"/>
  <c r="K110" i="1" s="1"/>
  <c r="L188" i="1"/>
  <c r="L162" i="1" s="1"/>
  <c r="L136" i="1" s="1"/>
  <c r="L110" i="1" s="1"/>
  <c r="M188" i="1"/>
  <c r="M162" i="1" s="1"/>
  <c r="M136" i="1" s="1"/>
  <c r="M110" i="1" s="1"/>
  <c r="N188" i="1"/>
  <c r="N162" i="1" s="1"/>
  <c r="N136" i="1" s="1"/>
  <c r="N110" i="1" s="1"/>
  <c r="O188" i="1"/>
  <c r="O162" i="1" s="1"/>
  <c r="O136" i="1" s="1"/>
  <c r="O110" i="1" s="1"/>
  <c r="P188" i="1"/>
  <c r="P162" i="1" s="1"/>
  <c r="P136" i="1" s="1"/>
  <c r="P110" i="1" s="1"/>
  <c r="Q188" i="1"/>
  <c r="Q162" i="1" s="1"/>
  <c r="Q136" i="1" s="1"/>
  <c r="Q110" i="1" s="1"/>
  <c r="R188" i="1"/>
  <c r="R162" i="1" s="1"/>
  <c r="R136" i="1" s="1"/>
  <c r="R110" i="1" s="1"/>
  <c r="S188" i="1"/>
  <c r="S162" i="1" s="1"/>
  <c r="S136" i="1" s="1"/>
  <c r="S110" i="1" s="1"/>
  <c r="T188" i="1"/>
  <c r="T162" i="1" s="1"/>
  <c r="T136" i="1" s="1"/>
  <c r="T110" i="1" s="1"/>
  <c r="U188" i="1"/>
  <c r="U162" i="1" s="1"/>
  <c r="U136" i="1" s="1"/>
  <c r="U110" i="1" s="1"/>
  <c r="V188" i="1"/>
  <c r="V162" i="1" s="1"/>
  <c r="V136" i="1" s="1"/>
  <c r="V110" i="1" s="1"/>
  <c r="W188" i="1"/>
  <c r="W162" i="1" s="1"/>
  <c r="W136" i="1" s="1"/>
  <c r="W110" i="1" s="1"/>
  <c r="X188" i="1"/>
  <c r="X162" i="1" s="1"/>
  <c r="X136" i="1" s="1"/>
  <c r="X110" i="1" s="1"/>
  <c r="E188" i="1"/>
  <c r="E162" i="1" s="1"/>
  <c r="E136" i="1" s="1"/>
  <c r="E110" i="1" s="1"/>
  <c r="D188" i="1"/>
  <c r="D162" i="1" s="1"/>
  <c r="D136" i="1" s="1"/>
  <c r="D110" i="1" s="1"/>
  <c r="H187" i="1"/>
  <c r="H161" i="1" s="1"/>
  <c r="H135" i="1" s="1"/>
  <c r="H109" i="1" s="1"/>
  <c r="I187" i="1"/>
  <c r="I161" i="1" s="1"/>
  <c r="I135" i="1" s="1"/>
  <c r="I109" i="1" s="1"/>
  <c r="J187" i="1"/>
  <c r="J161" i="1" s="1"/>
  <c r="J135" i="1" s="1"/>
  <c r="J109" i="1" s="1"/>
  <c r="K187" i="1"/>
  <c r="K161" i="1" s="1"/>
  <c r="K135" i="1" s="1"/>
  <c r="K109" i="1" s="1"/>
  <c r="L187" i="1"/>
  <c r="L161" i="1" s="1"/>
  <c r="L135" i="1" s="1"/>
  <c r="L109" i="1" s="1"/>
  <c r="M187" i="1"/>
  <c r="M161" i="1" s="1"/>
  <c r="M135" i="1" s="1"/>
  <c r="M109" i="1" s="1"/>
  <c r="N187" i="1"/>
  <c r="N161" i="1" s="1"/>
  <c r="N135" i="1" s="1"/>
  <c r="N109" i="1" s="1"/>
  <c r="O187" i="1"/>
  <c r="O161" i="1" s="1"/>
  <c r="O135" i="1" s="1"/>
  <c r="O109" i="1" s="1"/>
  <c r="P187" i="1"/>
  <c r="P161" i="1" s="1"/>
  <c r="P135" i="1" s="1"/>
  <c r="P109" i="1" s="1"/>
  <c r="Q187" i="1"/>
  <c r="Q161" i="1" s="1"/>
  <c r="Q135" i="1" s="1"/>
  <c r="Q109" i="1" s="1"/>
  <c r="R187" i="1"/>
  <c r="R161" i="1" s="1"/>
  <c r="R135" i="1" s="1"/>
  <c r="R109" i="1" s="1"/>
  <c r="S187" i="1"/>
  <c r="S161" i="1" s="1"/>
  <c r="S135" i="1" s="1"/>
  <c r="S109" i="1" s="1"/>
  <c r="T187" i="1"/>
  <c r="T161" i="1" s="1"/>
  <c r="T135" i="1" s="1"/>
  <c r="T109" i="1" s="1"/>
  <c r="U187" i="1"/>
  <c r="U161" i="1" s="1"/>
  <c r="U135" i="1" s="1"/>
  <c r="U109" i="1" s="1"/>
  <c r="V187" i="1"/>
  <c r="V161" i="1" s="1"/>
  <c r="V135" i="1" s="1"/>
  <c r="V109" i="1" s="1"/>
  <c r="W187" i="1"/>
  <c r="W161" i="1" s="1"/>
  <c r="W135" i="1" s="1"/>
  <c r="W109" i="1" s="1"/>
  <c r="X187" i="1"/>
  <c r="X161" i="1" s="1"/>
  <c r="X135" i="1" s="1"/>
  <c r="X109" i="1" s="1"/>
  <c r="G187" i="1"/>
  <c r="G161" i="1" s="1"/>
  <c r="G135" i="1" s="1"/>
  <c r="G109" i="1" s="1"/>
  <c r="E187" i="1"/>
  <c r="E161" i="1" s="1"/>
  <c r="E135" i="1" s="1"/>
  <c r="E109" i="1" s="1"/>
  <c r="F187" i="1"/>
  <c r="F161" i="1" s="1"/>
  <c r="F135" i="1" s="1"/>
  <c r="F109" i="1" s="1"/>
  <c r="BG12" i="1"/>
  <c r="BG11" i="1"/>
  <c r="BG10" i="1"/>
  <c r="BG9" i="1"/>
  <c r="BG8" i="1"/>
  <c r="BG7" i="1"/>
  <c r="BG6" i="1"/>
  <c r="BG5" i="1"/>
  <c r="AZ12" i="1"/>
  <c r="AZ11" i="1"/>
  <c r="AZ10" i="1"/>
  <c r="AZ9" i="1"/>
  <c r="AZ8" i="1"/>
  <c r="AZ7" i="1"/>
  <c r="AZ6" i="1"/>
  <c r="AZ5" i="1"/>
  <c r="AS12" i="1"/>
  <c r="AS11" i="1"/>
  <c r="AS10" i="1"/>
  <c r="AS9" i="1"/>
  <c r="AS8" i="1"/>
  <c r="AS7" i="1"/>
  <c r="AS6" i="1"/>
  <c r="AS5" i="1"/>
  <c r="AL6" i="1"/>
  <c r="AL7" i="1"/>
  <c r="AL8" i="1"/>
  <c r="AL9" i="1"/>
  <c r="AL10" i="1"/>
  <c r="AL11" i="1"/>
  <c r="AL12" i="1"/>
  <c r="AL5" i="1"/>
  <c r="BE6" i="1"/>
  <c r="BE7" i="1"/>
  <c r="BE8" i="1"/>
  <c r="BE9" i="1"/>
  <c r="BE10" i="1"/>
  <c r="BE11" i="1"/>
  <c r="BE12" i="1"/>
  <c r="BE5" i="1"/>
  <c r="I201" i="1" l="1"/>
  <c r="I175" i="1" s="1"/>
  <c r="I149" i="1" s="1"/>
  <c r="I123" i="1" s="1"/>
  <c r="T200" i="1"/>
  <c r="T174" i="1" s="1"/>
  <c r="T148" i="1" s="1"/>
  <c r="T122" i="1" s="1"/>
  <c r="X199" i="1"/>
  <c r="X173" i="1" s="1"/>
  <c r="X147" i="1" s="1"/>
  <c r="X121" i="1" s="1"/>
  <c r="G199" i="1"/>
  <c r="G173" i="1" s="1"/>
  <c r="G147" i="1" s="1"/>
  <c r="G121" i="1" s="1"/>
  <c r="L198" i="1"/>
  <c r="L172" i="1" s="1"/>
  <c r="L146" i="1" s="1"/>
  <c r="L120" i="1" s="1"/>
  <c r="P197" i="1"/>
  <c r="P171" i="1" s="1"/>
  <c r="P145" i="1" s="1"/>
  <c r="P119" i="1" s="1"/>
  <c r="R196" i="1"/>
  <c r="R170" i="1" s="1"/>
  <c r="R144" i="1" s="1"/>
  <c r="R118" i="1" s="1"/>
  <c r="W195" i="1"/>
  <c r="W169" i="1" s="1"/>
  <c r="W143" i="1" s="1"/>
  <c r="W117" i="1" s="1"/>
  <c r="D195" i="1"/>
  <c r="D169" i="1" s="1"/>
  <c r="D143" i="1" s="1"/>
  <c r="D117" i="1" s="1"/>
  <c r="X193" i="1"/>
  <c r="X167" i="1" s="1"/>
  <c r="X141" i="1" s="1"/>
  <c r="X115" i="1" s="1"/>
  <c r="U192" i="1"/>
  <c r="U166" i="1" s="1"/>
  <c r="U140" i="1" s="1"/>
  <c r="U114" i="1" s="1"/>
  <c r="R191" i="1"/>
  <c r="R165" i="1" s="1"/>
  <c r="R139" i="1" s="1"/>
  <c r="R113" i="1" s="1"/>
  <c r="M190" i="1"/>
  <c r="M164" i="1" s="1"/>
  <c r="M138" i="1" s="1"/>
  <c r="M112" i="1" s="1"/>
  <c r="F189" i="1"/>
  <c r="F163" i="1" s="1"/>
  <c r="F137" i="1" s="1"/>
  <c r="F111" i="1" s="1"/>
  <c r="P191" i="1"/>
  <c r="P165" i="1" s="1"/>
  <c r="P139" i="1" s="1"/>
  <c r="P113" i="1" s="1"/>
  <c r="L190" i="1"/>
  <c r="L164" i="1" s="1"/>
  <c r="L138" i="1" s="1"/>
  <c r="L112" i="1" s="1"/>
  <c r="G190" i="1"/>
  <c r="G164" i="1" s="1"/>
  <c r="G138" i="1" s="1"/>
  <c r="G112" i="1" s="1"/>
  <c r="F203" i="1"/>
  <c r="F177" i="1" s="1"/>
  <c r="F151" i="1" s="1"/>
  <c r="F125" i="1" s="1"/>
  <c r="P202" i="1"/>
  <c r="P176" i="1" s="1"/>
  <c r="P150" i="1" s="1"/>
  <c r="P124" i="1" s="1"/>
  <c r="F202" i="1"/>
  <c r="F176" i="1" s="1"/>
  <c r="F150" i="1" s="1"/>
  <c r="F124" i="1" s="1"/>
  <c r="P201" i="1"/>
  <c r="P175" i="1" s="1"/>
  <c r="P149" i="1" s="1"/>
  <c r="P123" i="1" s="1"/>
  <c r="E201" i="1"/>
  <c r="E175" i="1" s="1"/>
  <c r="E149" i="1" s="1"/>
  <c r="E123" i="1" s="1"/>
  <c r="N200" i="1"/>
  <c r="N174" i="1" s="1"/>
  <c r="N148" i="1" s="1"/>
  <c r="N122" i="1" s="1"/>
  <c r="R199" i="1"/>
  <c r="R173" i="1" s="1"/>
  <c r="R147" i="1" s="1"/>
  <c r="R121" i="1" s="1"/>
  <c r="U198" i="1"/>
  <c r="U172" i="1" s="1"/>
  <c r="U146" i="1" s="1"/>
  <c r="U120" i="1" s="1"/>
  <c r="E198" i="1"/>
  <c r="E172" i="1" s="1"/>
  <c r="E146" i="1" s="1"/>
  <c r="E120" i="1" s="1"/>
  <c r="I197" i="1"/>
  <c r="I171" i="1" s="1"/>
  <c r="I145" i="1" s="1"/>
  <c r="I119" i="1" s="1"/>
  <c r="M196" i="1"/>
  <c r="M170" i="1" s="1"/>
  <c r="M144" i="1" s="1"/>
  <c r="M118" i="1" s="1"/>
  <c r="R195" i="1"/>
  <c r="R169" i="1" s="1"/>
  <c r="R143" i="1" s="1"/>
  <c r="R117" i="1" s="1"/>
  <c r="Q194" i="1"/>
  <c r="Q168" i="1" s="1"/>
  <c r="Q142" i="1" s="1"/>
  <c r="Q116" i="1" s="1"/>
  <c r="P193" i="1"/>
  <c r="P167" i="1" s="1"/>
  <c r="P141" i="1" s="1"/>
  <c r="P115" i="1" s="1"/>
  <c r="M192" i="1"/>
  <c r="M166" i="1" s="1"/>
  <c r="M140" i="1" s="1"/>
  <c r="M114" i="1" s="1"/>
  <c r="H191" i="1"/>
  <c r="H165" i="1" s="1"/>
  <c r="H139" i="1" s="1"/>
  <c r="H113" i="1" s="1"/>
  <c r="E190" i="1"/>
  <c r="E164" i="1" s="1"/>
  <c r="E138" i="1" s="1"/>
  <c r="E112" i="1" s="1"/>
  <c r="I189" i="1"/>
  <c r="I163" i="1" s="1"/>
  <c r="I137" i="1" s="1"/>
  <c r="I111" i="1" s="1"/>
  <c r="E204" i="1"/>
  <c r="E178" i="1" s="1"/>
  <c r="E152" i="1" s="1"/>
  <c r="E126" i="1" s="1"/>
  <c r="O203" i="1"/>
  <c r="O177" i="1" s="1"/>
  <c r="O151" i="1" s="1"/>
  <c r="O125" i="1" s="1"/>
  <c r="E203" i="1"/>
  <c r="E177" i="1" s="1"/>
  <c r="E151" i="1" s="1"/>
  <c r="E125" i="1" s="1"/>
  <c r="O202" i="1"/>
  <c r="O176" i="1" s="1"/>
  <c r="O150" i="1" s="1"/>
  <c r="O124" i="1" s="1"/>
  <c r="D202" i="1"/>
  <c r="D176" i="1" s="1"/>
  <c r="D150" i="1" s="1"/>
  <c r="D124" i="1" s="1"/>
  <c r="O201" i="1"/>
  <c r="O175" i="1" s="1"/>
  <c r="O149" i="1" s="1"/>
  <c r="O123" i="1" s="1"/>
  <c r="D201" i="1"/>
  <c r="D175" i="1" s="1"/>
  <c r="D149" i="1" s="1"/>
  <c r="D123" i="1" s="1"/>
  <c r="K200" i="1"/>
  <c r="K174" i="1" s="1"/>
  <c r="K148" i="1" s="1"/>
  <c r="K122" i="1" s="1"/>
  <c r="P199" i="1"/>
  <c r="P173" i="1" s="1"/>
  <c r="P147" i="1" s="1"/>
  <c r="P121" i="1" s="1"/>
  <c r="T198" i="1"/>
  <c r="T172" i="1" s="1"/>
  <c r="T146" i="1" s="1"/>
  <c r="T120" i="1" s="1"/>
  <c r="X197" i="1"/>
  <c r="X171" i="1" s="1"/>
  <c r="X145" i="1" s="1"/>
  <c r="X119" i="1" s="1"/>
  <c r="H197" i="1"/>
  <c r="H171" i="1" s="1"/>
  <c r="H145" i="1" s="1"/>
  <c r="H119" i="1" s="1"/>
  <c r="J196" i="1"/>
  <c r="J170" i="1" s="1"/>
  <c r="J144" i="1" s="1"/>
  <c r="J118" i="1" s="1"/>
  <c r="N195" i="1"/>
  <c r="N169" i="1" s="1"/>
  <c r="N143" i="1" s="1"/>
  <c r="N117" i="1" s="1"/>
  <c r="P194" i="1"/>
  <c r="P168" i="1" s="1"/>
  <c r="P142" i="1" s="1"/>
  <c r="P116" i="1" s="1"/>
  <c r="N193" i="1"/>
  <c r="N167" i="1" s="1"/>
  <c r="N141" i="1" s="1"/>
  <c r="N115" i="1" s="1"/>
  <c r="K192" i="1"/>
  <c r="K166" i="1" s="1"/>
  <c r="K140" i="1" s="1"/>
  <c r="K114" i="1" s="1"/>
  <c r="G191" i="1"/>
  <c r="G165" i="1" s="1"/>
  <c r="G139" i="1" s="1"/>
  <c r="G113" i="1" s="1"/>
  <c r="L189" i="1"/>
  <c r="L163" i="1" s="1"/>
  <c r="L137" i="1" s="1"/>
  <c r="L111" i="1" s="1"/>
  <c r="U189" i="1"/>
  <c r="U163" i="1" s="1"/>
  <c r="U137" i="1" s="1"/>
  <c r="U111" i="1" s="1"/>
  <c r="I206" i="1"/>
  <c r="I180" i="1" s="1"/>
  <c r="I154" i="1" s="1"/>
  <c r="I128" i="1" s="1"/>
  <c r="V205" i="1"/>
  <c r="V179" i="1" s="1"/>
  <c r="V153" i="1" s="1"/>
  <c r="V127" i="1" s="1"/>
  <c r="N205" i="1"/>
  <c r="N179" i="1" s="1"/>
  <c r="N153" i="1" s="1"/>
  <c r="N127" i="1" s="1"/>
  <c r="F205" i="1"/>
  <c r="F179" i="1" s="1"/>
  <c r="F153" i="1" s="1"/>
  <c r="F127" i="1" s="1"/>
  <c r="S204" i="1"/>
  <c r="S178" i="1" s="1"/>
  <c r="S152" i="1" s="1"/>
  <c r="S126" i="1" s="1"/>
  <c r="K204" i="1"/>
  <c r="K178" i="1" s="1"/>
  <c r="K152" i="1" s="1"/>
  <c r="K126" i="1" s="1"/>
  <c r="X203" i="1"/>
  <c r="X177" i="1" s="1"/>
  <c r="X151" i="1" s="1"/>
  <c r="X125" i="1" s="1"/>
  <c r="P203" i="1"/>
  <c r="P177" i="1" s="1"/>
  <c r="P151" i="1" s="1"/>
  <c r="P125" i="1" s="1"/>
  <c r="H203" i="1"/>
  <c r="H177" i="1" s="1"/>
  <c r="H151" i="1" s="1"/>
  <c r="H125" i="1" s="1"/>
  <c r="U202" i="1"/>
  <c r="U176" i="1" s="1"/>
  <c r="U150" i="1" s="1"/>
  <c r="U124" i="1" s="1"/>
  <c r="M202" i="1"/>
  <c r="M176" i="1" s="1"/>
  <c r="M150" i="1" s="1"/>
  <c r="M124" i="1" s="1"/>
  <c r="E202" i="1"/>
  <c r="E176" i="1" s="1"/>
  <c r="E150" i="1" s="1"/>
  <c r="E124" i="1" s="1"/>
  <c r="R201" i="1"/>
  <c r="R175" i="1" s="1"/>
  <c r="R149" i="1" s="1"/>
  <c r="R123" i="1" s="1"/>
  <c r="J201" i="1"/>
  <c r="J175" i="1" s="1"/>
  <c r="J149" i="1" s="1"/>
  <c r="J123" i="1" s="1"/>
  <c r="W200" i="1"/>
  <c r="W174" i="1" s="1"/>
  <c r="W148" i="1" s="1"/>
  <c r="W122" i="1" s="1"/>
  <c r="M200" i="1"/>
  <c r="M174" i="1" s="1"/>
  <c r="M148" i="1" s="1"/>
  <c r="M122" i="1" s="1"/>
  <c r="V199" i="1"/>
  <c r="V173" i="1" s="1"/>
  <c r="V147" i="1" s="1"/>
  <c r="V121" i="1" s="1"/>
  <c r="H199" i="1"/>
  <c r="H173" i="1" s="1"/>
  <c r="H147" i="1" s="1"/>
  <c r="H121" i="1" s="1"/>
  <c r="P198" i="1"/>
  <c r="P172" i="1" s="1"/>
  <c r="P146" i="1" s="1"/>
  <c r="P120" i="1" s="1"/>
  <c r="D198" i="1"/>
  <c r="D172" i="1" s="1"/>
  <c r="D146" i="1" s="1"/>
  <c r="D120" i="1" s="1"/>
  <c r="L197" i="1"/>
  <c r="L171" i="1" s="1"/>
  <c r="L145" i="1" s="1"/>
  <c r="L119" i="1" s="1"/>
  <c r="U196" i="1"/>
  <c r="U170" i="1" s="1"/>
  <c r="U144" i="1" s="1"/>
  <c r="U118" i="1" s="1"/>
  <c r="G196" i="1"/>
  <c r="G170" i="1" s="1"/>
  <c r="G144" i="1" s="1"/>
  <c r="G118" i="1" s="1"/>
  <c r="O195" i="1"/>
  <c r="O169" i="1" s="1"/>
  <c r="O143" i="1" s="1"/>
  <c r="O117" i="1" s="1"/>
  <c r="T194" i="1"/>
  <c r="T168" i="1" s="1"/>
  <c r="T142" i="1" s="1"/>
  <c r="T116" i="1" s="1"/>
  <c r="D194" i="1"/>
  <c r="D168" i="1" s="1"/>
  <c r="D142" i="1" s="1"/>
  <c r="D116" i="1" s="1"/>
  <c r="I193" i="1"/>
  <c r="I167" i="1" s="1"/>
  <c r="I141" i="1" s="1"/>
  <c r="I115" i="1" s="1"/>
  <c r="N192" i="1"/>
  <c r="N166" i="1" s="1"/>
  <c r="N140" i="1" s="1"/>
  <c r="N114" i="1" s="1"/>
  <c r="S191" i="1"/>
  <c r="S165" i="1" s="1"/>
  <c r="S139" i="1" s="1"/>
  <c r="S113" i="1" s="1"/>
  <c r="X190" i="1"/>
  <c r="X164" i="1" s="1"/>
  <c r="X138" i="1" s="1"/>
  <c r="X112" i="1" s="1"/>
  <c r="H190" i="1"/>
  <c r="H164" i="1" s="1"/>
  <c r="H138" i="1" s="1"/>
  <c r="H112" i="1" s="1"/>
  <c r="K189" i="1"/>
  <c r="K163" i="1" s="1"/>
  <c r="K137" i="1" s="1"/>
  <c r="K111" i="1" s="1"/>
  <c r="E193" i="1"/>
  <c r="E167" i="1" s="1"/>
  <c r="E141" i="1" s="1"/>
  <c r="E115" i="1" s="1"/>
  <c r="J192" i="1"/>
  <c r="J166" i="1" s="1"/>
  <c r="J140" i="1" s="1"/>
  <c r="J114" i="1" s="1"/>
  <c r="O191" i="1"/>
  <c r="O165" i="1" s="1"/>
  <c r="O139" i="1" s="1"/>
  <c r="O113" i="1" s="1"/>
  <c r="T190" i="1"/>
  <c r="T164" i="1" s="1"/>
  <c r="T138" i="1" s="1"/>
  <c r="T112" i="1" s="1"/>
  <c r="D190" i="1"/>
  <c r="D164" i="1" s="1"/>
  <c r="D138" i="1" s="1"/>
  <c r="D112" i="1" s="1"/>
  <c r="E206" i="1"/>
  <c r="E180" i="1" s="1"/>
  <c r="E154" i="1" s="1"/>
  <c r="E128" i="1" s="1"/>
  <c r="R205" i="1"/>
  <c r="R179" i="1" s="1"/>
  <c r="R153" i="1" s="1"/>
  <c r="R127" i="1" s="1"/>
  <c r="J205" i="1"/>
  <c r="J179" i="1" s="1"/>
  <c r="J153" i="1" s="1"/>
  <c r="J127" i="1" s="1"/>
  <c r="W204" i="1"/>
  <c r="W178" i="1" s="1"/>
  <c r="W152" i="1" s="1"/>
  <c r="W126" i="1" s="1"/>
  <c r="O204" i="1"/>
  <c r="O178" i="1" s="1"/>
  <c r="O152" i="1" s="1"/>
  <c r="O126" i="1" s="1"/>
  <c r="G204" i="1"/>
  <c r="G178" i="1" s="1"/>
  <c r="G152" i="1" s="1"/>
  <c r="G126" i="1" s="1"/>
  <c r="T203" i="1"/>
  <c r="T177" i="1" s="1"/>
  <c r="T151" i="1" s="1"/>
  <c r="T125" i="1" s="1"/>
  <c r="L203" i="1"/>
  <c r="L177" i="1" s="1"/>
  <c r="L151" i="1" s="1"/>
  <c r="L125" i="1" s="1"/>
  <c r="D203" i="1"/>
  <c r="D177" i="1" s="1"/>
  <c r="D151" i="1" s="1"/>
  <c r="D125" i="1" s="1"/>
  <c r="Q202" i="1"/>
  <c r="Q176" i="1" s="1"/>
  <c r="Q150" i="1" s="1"/>
  <c r="Q124" i="1" s="1"/>
  <c r="I202" i="1"/>
  <c r="I176" i="1" s="1"/>
  <c r="I150" i="1" s="1"/>
  <c r="I124" i="1" s="1"/>
  <c r="V201" i="1"/>
  <c r="V175" i="1" s="1"/>
  <c r="V149" i="1" s="1"/>
  <c r="V123" i="1" s="1"/>
  <c r="N201" i="1"/>
  <c r="N175" i="1" s="1"/>
  <c r="N149" i="1" s="1"/>
  <c r="N123" i="1" s="1"/>
  <c r="F201" i="1"/>
  <c r="F175" i="1" s="1"/>
  <c r="F149" i="1" s="1"/>
  <c r="F123" i="1" s="1"/>
  <c r="S200" i="1"/>
  <c r="S174" i="1" s="1"/>
  <c r="S148" i="1" s="1"/>
  <c r="S122" i="1" s="1"/>
  <c r="F200" i="1"/>
  <c r="F174" i="1" s="1"/>
  <c r="F148" i="1" s="1"/>
  <c r="F122" i="1" s="1"/>
  <c r="O199" i="1"/>
  <c r="O173" i="1" s="1"/>
  <c r="O147" i="1" s="1"/>
  <c r="O121" i="1" s="1"/>
  <c r="W198" i="1"/>
  <c r="W172" i="1" s="1"/>
  <c r="W146" i="1" s="1"/>
  <c r="W120" i="1" s="1"/>
  <c r="K198" i="1"/>
  <c r="K172" i="1" s="1"/>
  <c r="K146" i="1" s="1"/>
  <c r="K120" i="1" s="1"/>
  <c r="R197" i="1"/>
  <c r="R171" i="1" s="1"/>
  <c r="R145" i="1" s="1"/>
  <c r="R119" i="1" s="1"/>
  <c r="E197" i="1"/>
  <c r="E171" i="1" s="1"/>
  <c r="E145" i="1" s="1"/>
  <c r="E119" i="1" s="1"/>
  <c r="N196" i="1"/>
  <c r="N170" i="1" s="1"/>
  <c r="N144" i="1" s="1"/>
  <c r="N118" i="1" s="1"/>
  <c r="V195" i="1"/>
  <c r="V169" i="1" s="1"/>
  <c r="V143" i="1" s="1"/>
  <c r="V117" i="1" s="1"/>
  <c r="G195" i="1"/>
  <c r="G169" i="1" s="1"/>
  <c r="G143" i="1" s="1"/>
  <c r="G117" i="1" s="1"/>
  <c r="L194" i="1"/>
  <c r="L168" i="1" s="1"/>
  <c r="L142" i="1" s="1"/>
  <c r="L116" i="1" s="1"/>
  <c r="Q193" i="1"/>
  <c r="Q167" i="1" s="1"/>
  <c r="Q141" i="1" s="1"/>
  <c r="Q115" i="1" s="1"/>
  <c r="V192" i="1"/>
  <c r="V166" i="1" s="1"/>
  <c r="V140" i="1" s="1"/>
  <c r="V114" i="1" s="1"/>
  <c r="F192" i="1"/>
  <c r="F166" i="1" s="1"/>
  <c r="F140" i="1" s="1"/>
  <c r="F114" i="1" s="1"/>
  <c r="K191" i="1"/>
  <c r="K165" i="1" s="1"/>
  <c r="K139" i="1" s="1"/>
  <c r="K113" i="1" s="1"/>
  <c r="P190" i="1"/>
  <c r="P164" i="1" s="1"/>
  <c r="P138" i="1" s="1"/>
  <c r="P112" i="1" s="1"/>
  <c r="L200" i="1"/>
  <c r="L174" i="1" s="1"/>
  <c r="L148" i="1" s="1"/>
  <c r="L122" i="1" s="1"/>
  <c r="D200" i="1"/>
  <c r="D174" i="1" s="1"/>
  <c r="D148" i="1" s="1"/>
  <c r="D122" i="1" s="1"/>
  <c r="Q199" i="1"/>
  <c r="Q173" i="1" s="1"/>
  <c r="Q147" i="1" s="1"/>
  <c r="Q121" i="1" s="1"/>
  <c r="I199" i="1"/>
  <c r="I173" i="1" s="1"/>
  <c r="I147" i="1" s="1"/>
  <c r="I121" i="1" s="1"/>
  <c r="V198" i="1"/>
  <c r="V172" i="1" s="1"/>
  <c r="V146" i="1" s="1"/>
  <c r="V120" i="1" s="1"/>
  <c r="N198" i="1"/>
  <c r="N172" i="1" s="1"/>
  <c r="N146" i="1" s="1"/>
  <c r="N120" i="1" s="1"/>
  <c r="F198" i="1"/>
  <c r="F172" i="1" s="1"/>
  <c r="F146" i="1" s="1"/>
  <c r="F120" i="1" s="1"/>
  <c r="S197" i="1"/>
  <c r="S171" i="1" s="1"/>
  <c r="S145" i="1" s="1"/>
  <c r="S119" i="1" s="1"/>
  <c r="K197" i="1"/>
  <c r="K171" i="1" s="1"/>
  <c r="K145" i="1" s="1"/>
  <c r="K119" i="1" s="1"/>
  <c r="X196" i="1"/>
  <c r="X170" i="1" s="1"/>
  <c r="X144" i="1" s="1"/>
  <c r="X118" i="1" s="1"/>
  <c r="P196" i="1"/>
  <c r="P170" i="1" s="1"/>
  <c r="P144" i="1" s="1"/>
  <c r="P118" i="1" s="1"/>
  <c r="H196" i="1"/>
  <c r="H170" i="1" s="1"/>
  <c r="H144" i="1" s="1"/>
  <c r="H118" i="1" s="1"/>
  <c r="U195" i="1"/>
  <c r="U169" i="1" s="1"/>
  <c r="U143" i="1" s="1"/>
  <c r="U117" i="1" s="1"/>
  <c r="M195" i="1"/>
  <c r="M169" i="1" s="1"/>
  <c r="M143" i="1" s="1"/>
  <c r="M117" i="1" s="1"/>
  <c r="E195" i="1"/>
  <c r="E169" i="1" s="1"/>
  <c r="E143" i="1" s="1"/>
  <c r="E117" i="1" s="1"/>
  <c r="R194" i="1"/>
  <c r="R168" i="1" s="1"/>
  <c r="R142" i="1" s="1"/>
  <c r="R116" i="1" s="1"/>
  <c r="J194" i="1"/>
  <c r="J168" i="1" s="1"/>
  <c r="J142" i="1" s="1"/>
  <c r="J116" i="1" s="1"/>
  <c r="W193" i="1"/>
  <c r="W167" i="1" s="1"/>
  <c r="W141" i="1" s="1"/>
  <c r="W115" i="1" s="1"/>
  <c r="O193" i="1"/>
  <c r="O167" i="1" s="1"/>
  <c r="O141" i="1" s="1"/>
  <c r="O115" i="1" s="1"/>
  <c r="G193" i="1"/>
  <c r="G167" i="1" s="1"/>
  <c r="G141" i="1" s="1"/>
  <c r="G115" i="1" s="1"/>
  <c r="T192" i="1"/>
  <c r="T166" i="1" s="1"/>
  <c r="T140" i="1" s="1"/>
  <c r="T114" i="1" s="1"/>
  <c r="L192" i="1"/>
  <c r="L166" i="1" s="1"/>
  <c r="L140" i="1" s="1"/>
  <c r="L114" i="1" s="1"/>
  <c r="D192" i="1"/>
  <c r="D166" i="1" s="1"/>
  <c r="D140" i="1" s="1"/>
  <c r="D114" i="1" s="1"/>
  <c r="Q191" i="1"/>
  <c r="Q165" i="1" s="1"/>
  <c r="Q139" i="1" s="1"/>
  <c r="Q113" i="1" s="1"/>
  <c r="I191" i="1"/>
  <c r="I165" i="1" s="1"/>
  <c r="I139" i="1" s="1"/>
  <c r="I113" i="1" s="1"/>
  <c r="V190" i="1"/>
  <c r="V164" i="1" s="1"/>
  <c r="V138" i="1" s="1"/>
  <c r="V112" i="1" s="1"/>
  <c r="N190" i="1"/>
  <c r="N164" i="1" s="1"/>
  <c r="N138" i="1" s="1"/>
  <c r="N112" i="1" s="1"/>
  <c r="F190" i="1"/>
  <c r="F164" i="1" s="1"/>
  <c r="F138" i="1" s="1"/>
  <c r="F112" i="1" s="1"/>
  <c r="S189" i="1"/>
  <c r="S163" i="1" s="1"/>
  <c r="S137" i="1" s="1"/>
  <c r="S111" i="1" s="1"/>
  <c r="G189" i="1"/>
  <c r="G163" i="1" s="1"/>
  <c r="G137" i="1" s="1"/>
  <c r="G111" i="1" s="1"/>
  <c r="E189" i="1"/>
  <c r="E163" i="1" s="1"/>
  <c r="E137" i="1" s="1"/>
  <c r="E111" i="1" s="1"/>
  <c r="J195" i="1"/>
  <c r="J169" i="1" s="1"/>
  <c r="J143" i="1" s="1"/>
  <c r="J117" i="1" s="1"/>
  <c r="W194" i="1"/>
  <c r="W168" i="1" s="1"/>
  <c r="W142" i="1" s="1"/>
  <c r="W116" i="1" s="1"/>
  <c r="O194" i="1"/>
  <c r="O168" i="1" s="1"/>
  <c r="O142" i="1" s="1"/>
  <c r="O116" i="1" s="1"/>
  <c r="G194" i="1"/>
  <c r="G168" i="1" s="1"/>
  <c r="G142" i="1" s="1"/>
  <c r="G116" i="1" s="1"/>
  <c r="T193" i="1"/>
  <c r="T167" i="1" s="1"/>
  <c r="T141" i="1" s="1"/>
  <c r="T115" i="1" s="1"/>
  <c r="L193" i="1"/>
  <c r="L167" i="1" s="1"/>
  <c r="L141" i="1" s="1"/>
  <c r="L115" i="1" s="1"/>
  <c r="D193" i="1"/>
  <c r="D167" i="1" s="1"/>
  <c r="D141" i="1" s="1"/>
  <c r="D115" i="1" s="1"/>
  <c r="Q192" i="1"/>
  <c r="Q166" i="1" s="1"/>
  <c r="Q140" i="1" s="1"/>
  <c r="Q114" i="1" s="1"/>
  <c r="I192" i="1"/>
  <c r="I166" i="1" s="1"/>
  <c r="I140" i="1" s="1"/>
  <c r="I114" i="1" s="1"/>
  <c r="V191" i="1"/>
  <c r="V165" i="1" s="1"/>
  <c r="V139" i="1" s="1"/>
  <c r="V113" i="1" s="1"/>
  <c r="N191" i="1"/>
  <c r="N165" i="1" s="1"/>
  <c r="N139" i="1" s="1"/>
  <c r="N113" i="1" s="1"/>
  <c r="F191" i="1"/>
  <c r="F165" i="1" s="1"/>
  <c r="F139" i="1" s="1"/>
  <c r="F113" i="1" s="1"/>
  <c r="S190" i="1"/>
  <c r="S164" i="1" s="1"/>
  <c r="S138" i="1" s="1"/>
  <c r="S112" i="1" s="1"/>
  <c r="K190" i="1"/>
  <c r="K164" i="1" s="1"/>
  <c r="K138" i="1" s="1"/>
  <c r="K112" i="1" s="1"/>
  <c r="X189" i="1"/>
  <c r="X163" i="1" s="1"/>
  <c r="X137" i="1" s="1"/>
  <c r="X111" i="1" s="1"/>
  <c r="N189" i="1"/>
  <c r="N163" i="1" s="1"/>
  <c r="N137" i="1" s="1"/>
  <c r="N111" i="1" s="1"/>
  <c r="D187" i="1"/>
  <c r="D161" i="1" s="1"/>
  <c r="D135" i="1" s="1"/>
  <c r="D109" i="1" s="1"/>
  <c r="P200" i="1"/>
  <c r="P174" i="1" s="1"/>
  <c r="P148" i="1" s="1"/>
  <c r="P122" i="1" s="1"/>
  <c r="H200" i="1"/>
  <c r="H174" i="1" s="1"/>
  <c r="H148" i="1" s="1"/>
  <c r="H122" i="1" s="1"/>
  <c r="U199" i="1"/>
  <c r="U173" i="1" s="1"/>
  <c r="U147" i="1" s="1"/>
  <c r="U121" i="1" s="1"/>
  <c r="M199" i="1"/>
  <c r="M173" i="1" s="1"/>
  <c r="M147" i="1" s="1"/>
  <c r="M121" i="1" s="1"/>
  <c r="E199" i="1"/>
  <c r="E173" i="1" s="1"/>
  <c r="E147" i="1" s="1"/>
  <c r="E121" i="1" s="1"/>
  <c r="R198" i="1"/>
  <c r="R172" i="1" s="1"/>
  <c r="R146" i="1" s="1"/>
  <c r="R120" i="1" s="1"/>
  <c r="J198" i="1"/>
  <c r="J172" i="1" s="1"/>
  <c r="J146" i="1" s="1"/>
  <c r="J120" i="1" s="1"/>
  <c r="W197" i="1"/>
  <c r="W171" i="1" s="1"/>
  <c r="W145" i="1" s="1"/>
  <c r="W119" i="1" s="1"/>
  <c r="O197" i="1"/>
  <c r="O171" i="1" s="1"/>
  <c r="O145" i="1" s="1"/>
  <c r="O119" i="1" s="1"/>
  <c r="G197" i="1"/>
  <c r="G171" i="1" s="1"/>
  <c r="G145" i="1" s="1"/>
  <c r="G119" i="1" s="1"/>
  <c r="T196" i="1"/>
  <c r="T170" i="1" s="1"/>
  <c r="T144" i="1" s="1"/>
  <c r="T118" i="1" s="1"/>
  <c r="L196" i="1"/>
  <c r="L170" i="1" s="1"/>
  <c r="L144" i="1" s="1"/>
  <c r="L118" i="1" s="1"/>
  <c r="D196" i="1"/>
  <c r="D170" i="1" s="1"/>
  <c r="D144" i="1" s="1"/>
  <c r="D118" i="1" s="1"/>
  <c r="Q195" i="1"/>
  <c r="Q169" i="1" s="1"/>
  <c r="Q143" i="1" s="1"/>
  <c r="Q117" i="1" s="1"/>
  <c r="I195" i="1"/>
  <c r="I169" i="1" s="1"/>
  <c r="I143" i="1" s="1"/>
  <c r="I117" i="1" s="1"/>
  <c r="V194" i="1"/>
  <c r="V168" i="1" s="1"/>
  <c r="V142" i="1" s="1"/>
  <c r="V116" i="1" s="1"/>
  <c r="N194" i="1"/>
  <c r="N168" i="1" s="1"/>
  <c r="N142" i="1" s="1"/>
  <c r="N116" i="1" s="1"/>
  <c r="F194" i="1"/>
  <c r="F168" i="1" s="1"/>
  <c r="F142" i="1" s="1"/>
  <c r="F116" i="1" s="1"/>
  <c r="S193" i="1"/>
  <c r="S167" i="1" s="1"/>
  <c r="S141" i="1" s="1"/>
  <c r="S115" i="1" s="1"/>
  <c r="K193" i="1"/>
  <c r="K167" i="1" s="1"/>
  <c r="K141" i="1" s="1"/>
  <c r="K115" i="1" s="1"/>
  <c r="X192" i="1"/>
  <c r="X166" i="1" s="1"/>
  <c r="X140" i="1" s="1"/>
  <c r="X114" i="1" s="1"/>
  <c r="P192" i="1"/>
  <c r="P166" i="1" s="1"/>
  <c r="P140" i="1" s="1"/>
  <c r="P114" i="1" s="1"/>
  <c r="H192" i="1"/>
  <c r="H166" i="1" s="1"/>
  <c r="H140" i="1" s="1"/>
  <c r="H114" i="1" s="1"/>
  <c r="U191" i="1"/>
  <c r="U165" i="1" s="1"/>
  <c r="U139" i="1" s="1"/>
  <c r="U113" i="1" s="1"/>
  <c r="M191" i="1"/>
  <c r="M165" i="1" s="1"/>
  <c r="M139" i="1" s="1"/>
  <c r="M113" i="1" s="1"/>
  <c r="E191" i="1"/>
  <c r="E165" i="1" s="1"/>
  <c r="E139" i="1" s="1"/>
  <c r="E113" i="1" s="1"/>
  <c r="R190" i="1"/>
  <c r="R164" i="1" s="1"/>
  <c r="R138" i="1" s="1"/>
  <c r="R112" i="1" s="1"/>
  <c r="J190" i="1"/>
  <c r="J164" i="1" s="1"/>
  <c r="J138" i="1" s="1"/>
  <c r="J112" i="1" s="1"/>
  <c r="W189" i="1"/>
  <c r="W163" i="1" s="1"/>
  <c r="W137" i="1" s="1"/>
  <c r="W111" i="1" s="1"/>
  <c r="M189" i="1"/>
  <c r="M163" i="1" s="1"/>
  <c r="M137" i="1" s="1"/>
  <c r="M111" i="1" s="1"/>
  <c r="O200" i="1"/>
  <c r="O174" i="1" s="1"/>
  <c r="O148" i="1" s="1"/>
  <c r="O122" i="1" s="1"/>
  <c r="G200" i="1"/>
  <c r="G174" i="1" s="1"/>
  <c r="G148" i="1" s="1"/>
  <c r="G122" i="1" s="1"/>
  <c r="T199" i="1"/>
  <c r="T173" i="1" s="1"/>
  <c r="T147" i="1" s="1"/>
  <c r="T121" i="1" s="1"/>
  <c r="L199" i="1"/>
  <c r="L173" i="1" s="1"/>
  <c r="L147" i="1" s="1"/>
  <c r="L121" i="1" s="1"/>
  <c r="D199" i="1"/>
  <c r="D173" i="1" s="1"/>
  <c r="D147" i="1" s="1"/>
  <c r="D121" i="1" s="1"/>
  <c r="Q198" i="1"/>
  <c r="Q172" i="1" s="1"/>
  <c r="Q146" i="1" s="1"/>
  <c r="Q120" i="1" s="1"/>
  <c r="I198" i="1"/>
  <c r="I172" i="1" s="1"/>
  <c r="I146" i="1" s="1"/>
  <c r="I120" i="1" s="1"/>
  <c r="V197" i="1"/>
  <c r="V171" i="1" s="1"/>
  <c r="V145" i="1" s="1"/>
  <c r="V119" i="1" s="1"/>
  <c r="N197" i="1"/>
  <c r="N171" i="1" s="1"/>
  <c r="N145" i="1" s="1"/>
  <c r="N119" i="1" s="1"/>
  <c r="F197" i="1"/>
  <c r="F171" i="1" s="1"/>
  <c r="F145" i="1" s="1"/>
  <c r="F119" i="1" s="1"/>
  <c r="S196" i="1"/>
  <c r="S170" i="1" s="1"/>
  <c r="S144" i="1" s="1"/>
  <c r="S118" i="1" s="1"/>
  <c r="K196" i="1"/>
  <c r="K170" i="1" s="1"/>
  <c r="K144" i="1" s="1"/>
  <c r="K118" i="1" s="1"/>
  <c r="X195" i="1"/>
  <c r="X169" i="1" s="1"/>
  <c r="X143" i="1" s="1"/>
  <c r="X117" i="1" s="1"/>
  <c r="P195" i="1"/>
  <c r="P169" i="1" s="1"/>
  <c r="P143" i="1" s="1"/>
  <c r="P117" i="1" s="1"/>
  <c r="H195" i="1"/>
  <c r="H169" i="1" s="1"/>
  <c r="H143" i="1" s="1"/>
  <c r="H117" i="1" s="1"/>
  <c r="U194" i="1"/>
  <c r="U168" i="1" s="1"/>
  <c r="U142" i="1" s="1"/>
  <c r="U116" i="1" s="1"/>
  <c r="M194" i="1"/>
  <c r="M168" i="1" s="1"/>
  <c r="M142" i="1" s="1"/>
  <c r="M116" i="1" s="1"/>
  <c r="E194" i="1"/>
  <c r="E168" i="1" s="1"/>
  <c r="E142" i="1" s="1"/>
  <c r="E116" i="1" s="1"/>
  <c r="R193" i="1"/>
  <c r="R167" i="1" s="1"/>
  <c r="R141" i="1" s="1"/>
  <c r="R115" i="1" s="1"/>
  <c r="J193" i="1"/>
  <c r="J167" i="1" s="1"/>
  <c r="J141" i="1" s="1"/>
  <c r="J115" i="1" s="1"/>
  <c r="W192" i="1"/>
  <c r="W166" i="1" s="1"/>
  <c r="W140" i="1" s="1"/>
  <c r="W114" i="1" s="1"/>
  <c r="O192" i="1"/>
  <c r="O166" i="1" s="1"/>
  <c r="O140" i="1" s="1"/>
  <c r="O114" i="1" s="1"/>
  <c r="G192" i="1"/>
  <c r="G166" i="1" s="1"/>
  <c r="G140" i="1" s="1"/>
  <c r="G114" i="1" s="1"/>
  <c r="T191" i="1"/>
  <c r="T165" i="1" s="1"/>
  <c r="T139" i="1" s="1"/>
  <c r="T113" i="1" s="1"/>
  <c r="L191" i="1"/>
  <c r="L165" i="1" s="1"/>
  <c r="L139" i="1" s="1"/>
  <c r="L113" i="1" s="1"/>
  <c r="D191" i="1"/>
  <c r="D165" i="1" s="1"/>
  <c r="D139" i="1" s="1"/>
  <c r="D113" i="1" s="1"/>
  <c r="Q190" i="1"/>
  <c r="Q164" i="1" s="1"/>
  <c r="Q138" i="1" s="1"/>
  <c r="Q112" i="1" s="1"/>
  <c r="I190" i="1"/>
  <c r="I164" i="1" s="1"/>
  <c r="I138" i="1" s="1"/>
  <c r="I112" i="1" s="1"/>
  <c r="V189" i="1"/>
  <c r="V163" i="1" s="1"/>
  <c r="V137" i="1" s="1"/>
  <c r="V111" i="1" s="1"/>
  <c r="D189" i="1"/>
  <c r="D163" i="1" s="1"/>
  <c r="D137" i="1" s="1"/>
  <c r="D111" i="1" s="1"/>
  <c r="R189" i="1"/>
  <c r="R163" i="1" s="1"/>
  <c r="R137" i="1" s="1"/>
  <c r="R111" i="1" s="1"/>
  <c r="J189" i="1"/>
  <c r="J163" i="1" s="1"/>
  <c r="J137" i="1" s="1"/>
  <c r="J111" i="1" s="1"/>
  <c r="Q189" i="1"/>
  <c r="Q163" i="1" s="1"/>
  <c r="Q137" i="1" s="1"/>
  <c r="Q111" i="1" s="1"/>
  <c r="O137" i="1"/>
  <c r="O111" i="1" s="1"/>
  <c r="K142" i="1"/>
  <c r="K116" i="1" s="1"/>
  <c r="H141" i="1"/>
  <c r="H115" i="1" s="1"/>
  <c r="E140" i="1"/>
  <c r="E114" i="1" s="1"/>
  <c r="J139" i="1"/>
  <c r="J113" i="1" s="1"/>
  <c r="W138" i="1"/>
  <c r="W112" i="1" s="1"/>
  <c r="O138" i="1"/>
  <c r="O112" i="1" s="1"/>
  <c r="T137" i="1"/>
  <c r="T111" i="1" s="1"/>
  <c r="I6" i="1"/>
  <c r="I7" i="1"/>
  <c r="I8" i="1"/>
  <c r="I9" i="1"/>
  <c r="I10" i="1"/>
  <c r="I11" i="1"/>
  <c r="I12" i="1"/>
  <c r="H6" i="1"/>
  <c r="AJ6" i="1" s="1"/>
  <c r="H7" i="1"/>
  <c r="AJ7" i="1" s="1"/>
  <c r="H8" i="1"/>
  <c r="AJ8" i="1" s="1"/>
  <c r="H9" i="1"/>
  <c r="AJ9" i="1" s="1"/>
  <c r="H10" i="1"/>
  <c r="AJ10" i="1" s="1"/>
  <c r="H11" i="1"/>
  <c r="AJ11" i="1" s="1"/>
  <c r="H12" i="1"/>
  <c r="AJ12" i="1" s="1"/>
  <c r="H5" i="1"/>
  <c r="AJ5" i="1" s="1"/>
  <c r="G6" i="1"/>
  <c r="G7" i="1"/>
  <c r="G8" i="1"/>
  <c r="G9" i="1"/>
  <c r="G10" i="1"/>
  <c r="G11" i="1"/>
  <c r="G12" i="1"/>
  <c r="G5" i="1"/>
  <c r="I5" i="1"/>
  <c r="S5" i="1" l="1"/>
  <c r="U5" i="1" s="1"/>
  <c r="R5" i="1" s="1"/>
  <c r="T5" i="1" s="1"/>
  <c r="AX6" i="1"/>
  <c r="S6" i="1"/>
  <c r="U6" i="1" s="1"/>
  <c r="R6" i="1" s="1"/>
  <c r="T6" i="1" s="1"/>
  <c r="K6" i="1" s="1"/>
  <c r="AX5" i="1"/>
  <c r="AX12" i="1"/>
  <c r="S12" i="1"/>
  <c r="U12" i="1" s="1"/>
  <c r="AX7" i="1"/>
  <c r="S7" i="1"/>
  <c r="U7" i="1" s="1"/>
  <c r="AX11" i="1"/>
  <c r="S11" i="1"/>
  <c r="U11" i="1" s="1"/>
  <c r="AX10" i="1"/>
  <c r="S10" i="1"/>
  <c r="U10" i="1" s="1"/>
  <c r="AX9" i="1"/>
  <c r="S9" i="1"/>
  <c r="U9" i="1" s="1"/>
  <c r="AX8" i="1"/>
  <c r="S8" i="1"/>
  <c r="U8" i="1" s="1"/>
  <c r="AY8" i="1" l="1"/>
  <c r="AK8" i="1"/>
  <c r="R8" i="1"/>
  <c r="T8" i="1" s="1"/>
  <c r="AR8" i="1"/>
  <c r="Y8" i="1"/>
  <c r="BF8" i="1"/>
  <c r="BF7" i="1"/>
  <c r="Y7" i="1"/>
  <c r="AK7" i="1"/>
  <c r="AR7" i="1"/>
  <c r="AY7" i="1"/>
  <c r="R7" i="1"/>
  <c r="T7" i="1" s="1"/>
  <c r="K7" i="1" s="1"/>
  <c r="AK12" i="1"/>
  <c r="BF12" i="1"/>
  <c r="R12" i="1"/>
  <c r="T12" i="1" s="1"/>
  <c r="AY12" i="1"/>
  <c r="Y12" i="1"/>
  <c r="AR12" i="1"/>
  <c r="R10" i="1"/>
  <c r="T10" i="1" s="1"/>
  <c r="Y10" i="1"/>
  <c r="AK10" i="1"/>
  <c r="AY10" i="1"/>
  <c r="BF10" i="1"/>
  <c r="AR10" i="1"/>
  <c r="AR5" i="1"/>
  <c r="AK5" i="1"/>
  <c r="BF5" i="1"/>
  <c r="AY5" i="1"/>
  <c r="Y5" i="1"/>
  <c r="AR11" i="1"/>
  <c r="BF11" i="1"/>
  <c r="AY11" i="1"/>
  <c r="AK11" i="1"/>
  <c r="R11" i="1"/>
  <c r="T11" i="1" s="1"/>
  <c r="Y11" i="1"/>
  <c r="AR6" i="1"/>
  <c r="AK6" i="1"/>
  <c r="Y6" i="1"/>
  <c r="AY6" i="1"/>
  <c r="BF6" i="1"/>
  <c r="AK9" i="1"/>
  <c r="AR9" i="1"/>
  <c r="BF9" i="1"/>
  <c r="AY9" i="1"/>
  <c r="R9" i="1"/>
  <c r="T9" i="1" s="1"/>
  <c r="Y9" i="1"/>
  <c r="AA12" i="1" l="1"/>
  <c r="BH12" i="1"/>
  <c r="BB12" i="1"/>
  <c r="BA12" i="1"/>
  <c r="K12" i="1"/>
  <c r="M12" i="1" s="1"/>
  <c r="Z12" i="1"/>
  <c r="AM12" i="1"/>
  <c r="BI12" i="1"/>
  <c r="AT12" i="1"/>
  <c r="AE12" i="1"/>
  <c r="AU12" i="1"/>
  <c r="AF12" i="1"/>
  <c r="AN12" i="1"/>
  <c r="AU6" i="1"/>
  <c r="AN6" i="1"/>
  <c r="M6" i="1"/>
  <c r="AE6" i="1"/>
  <c r="BB6" i="1"/>
  <c r="AA6" i="1"/>
  <c r="BH6" i="1"/>
  <c r="Z6" i="1"/>
  <c r="AF6" i="1"/>
  <c r="BA6" i="1"/>
  <c r="AM6" i="1"/>
  <c r="BI6" i="1"/>
  <c r="AT6" i="1"/>
  <c r="BI5" i="1"/>
  <c r="AM5" i="1"/>
  <c r="K5" i="1"/>
  <c r="M5" i="1" s="1"/>
  <c r="AT5" i="1"/>
  <c r="BB5" i="1"/>
  <c r="BA5" i="1"/>
  <c r="AU5" i="1"/>
  <c r="Z5" i="1"/>
  <c r="AN5" i="1"/>
  <c r="AF5" i="1"/>
  <c r="AE5" i="1"/>
  <c r="AA5" i="1"/>
  <c r="BH5" i="1"/>
  <c r="AF7" i="1"/>
  <c r="BA7" i="1"/>
  <c r="AE7" i="1"/>
  <c r="AM7" i="1"/>
  <c r="BI7" i="1"/>
  <c r="AT7" i="1"/>
  <c r="Z7" i="1"/>
  <c r="BB7" i="1"/>
  <c r="M7" i="1"/>
  <c r="AU7" i="1"/>
  <c r="AN7" i="1"/>
  <c r="AA7" i="1"/>
  <c r="BH7" i="1"/>
  <c r="AA11" i="1"/>
  <c r="BH11" i="1"/>
  <c r="BA11" i="1"/>
  <c r="K11" i="1"/>
  <c r="M11" i="1" s="1"/>
  <c r="AM11" i="1"/>
  <c r="AN11" i="1"/>
  <c r="BI11" i="1"/>
  <c r="AT11" i="1"/>
  <c r="BB11" i="1"/>
  <c r="Z11" i="1"/>
  <c r="AU11" i="1"/>
  <c r="AF11" i="1"/>
  <c r="AE11" i="1"/>
  <c r="BI10" i="1"/>
  <c r="AT10" i="1"/>
  <c r="BB10" i="1"/>
  <c r="AN10" i="1"/>
  <c r="Z10" i="1"/>
  <c r="AU10" i="1"/>
  <c r="AF10" i="1"/>
  <c r="BH10" i="1"/>
  <c r="AE10" i="1"/>
  <c r="AA10" i="1"/>
  <c r="AM10" i="1"/>
  <c r="BA10" i="1"/>
  <c r="K10" i="1"/>
  <c r="M10" i="1" s="1"/>
  <c r="AA9" i="1"/>
  <c r="AF9" i="1"/>
  <c r="BH9" i="1"/>
  <c r="BA9" i="1"/>
  <c r="AN9" i="1"/>
  <c r="AT9" i="1"/>
  <c r="AE9" i="1"/>
  <c r="BI9" i="1"/>
  <c r="AM9" i="1"/>
  <c r="K9" i="1"/>
  <c r="M9" i="1" s="1"/>
  <c r="BB9" i="1"/>
  <c r="AU9" i="1"/>
  <c r="Z9" i="1"/>
  <c r="AF8" i="1"/>
  <c r="BA8" i="1"/>
  <c r="AM8" i="1"/>
  <c r="AE8" i="1"/>
  <c r="K8" i="1"/>
  <c r="M8" i="1" s="1"/>
  <c r="BI8" i="1"/>
  <c r="AT8" i="1"/>
  <c r="Z8" i="1"/>
  <c r="BH8" i="1"/>
  <c r="BB8" i="1"/>
  <c r="AN8" i="1"/>
  <c r="AU8" i="1"/>
  <c r="AA8" i="1"/>
  <c r="AW9" i="1" l="1"/>
  <c r="AW6" i="1"/>
  <c r="AW8" i="1"/>
  <c r="AI8" i="1"/>
  <c r="BD8" i="1"/>
  <c r="X11" i="1"/>
  <c r="AC12" i="1"/>
  <c r="AW12" i="1"/>
  <c r="X8" i="1"/>
  <c r="AI9" i="1"/>
  <c r="AC10" i="1"/>
  <c r="AC8" i="1"/>
  <c r="AP7" i="1"/>
  <c r="AW11" i="1"/>
  <c r="AC7" i="1"/>
  <c r="X12" i="1"/>
  <c r="BD6" i="1"/>
  <c r="AI12" i="1"/>
  <c r="X10" i="1"/>
  <c r="X7" i="1"/>
  <c r="X6" i="1"/>
  <c r="AP10" i="1"/>
  <c r="BD11" i="1"/>
  <c r="AW10" i="1"/>
  <c r="AC11" i="1"/>
  <c r="BD7" i="1"/>
  <c r="BD12" i="1"/>
  <c r="AC9" i="1"/>
  <c r="AP9" i="1"/>
  <c r="AP11" i="1"/>
  <c r="AC5" i="1"/>
  <c r="BD5" i="1"/>
  <c r="AI5" i="1"/>
  <c r="AP5" i="1"/>
  <c r="M14" i="1"/>
  <c r="AI10" i="1"/>
  <c r="X9" i="1"/>
  <c r="AI7" i="1"/>
  <c r="X5" i="1"/>
  <c r="AP6" i="1"/>
  <c r="AP8" i="1"/>
  <c r="BD9" i="1"/>
  <c r="BD10" i="1"/>
  <c r="AI11" i="1"/>
  <c r="AW7" i="1"/>
  <c r="AC6" i="1"/>
  <c r="AP12" i="1"/>
  <c r="AW5" i="1"/>
  <c r="AI6" i="1"/>
  <c r="Y14" i="1" l="1"/>
  <c r="AX14" i="1"/>
  <c r="BB14" i="1" s="1"/>
  <c r="AJ14" i="1"/>
  <c r="AQ14" i="1"/>
  <c r="BE14" i="1"/>
  <c r="BI14" i="1" s="1"/>
  <c r="AD14" i="1"/>
  <c r="AF14" i="1" s="1"/>
  <c r="AU14" i="1" l="1"/>
  <c r="AN14" i="1"/>
  <c r="AA14" i="1"/>
</calcChain>
</file>

<file path=xl/sharedStrings.xml><?xml version="1.0" encoding="utf-8"?>
<sst xmlns="http://schemas.openxmlformats.org/spreadsheetml/2006/main" count="152" uniqueCount="81">
  <si>
    <t>Input</t>
  </si>
  <si>
    <t>Hidden</t>
  </si>
  <si>
    <t>Output</t>
  </si>
  <si>
    <t>x1</t>
  </si>
  <si>
    <t>y</t>
  </si>
  <si>
    <t>Data</t>
  </si>
  <si>
    <t>x2</t>
  </si>
  <si>
    <t>Normalised Data</t>
  </si>
  <si>
    <t>w1</t>
  </si>
  <si>
    <t>w2</t>
  </si>
  <si>
    <t>w3</t>
  </si>
  <si>
    <t>b1</t>
  </si>
  <si>
    <t>b2</t>
  </si>
  <si>
    <t>b3</t>
  </si>
  <si>
    <t>a2</t>
  </si>
  <si>
    <t>z2</t>
  </si>
  <si>
    <t>z1</t>
  </si>
  <si>
    <t>a1</t>
  </si>
  <si>
    <t>Prediction</t>
  </si>
  <si>
    <t>dC/dw3</t>
  </si>
  <si>
    <t>da2/dz2</t>
  </si>
  <si>
    <t>Cost</t>
  </si>
  <si>
    <t>dC/db3</t>
  </si>
  <si>
    <t>dz2/db2</t>
  </si>
  <si>
    <t>C = \sum_{i=1}^{n} (a2_{i} - y_{i})^2</t>
  </si>
  <si>
    <t>.</t>
  </si>
  <si>
    <t xml:space="preserve">z2 = (a1 * w3) + b3 </t>
  </si>
  <si>
    <t>a2 = \sigma (z2)</t>
  </si>
  <si>
    <t xml:space="preserve">z1 = (x1 * w1) + b1 + (x2 * w2) + b2 </t>
  </si>
  <si>
    <t>\frac{da2}{dz2} = \sigma (z2). (1 - \sigma (z2))</t>
  </si>
  <si>
    <t>\frac{dC}{da2} = a(a2 - y)</t>
  </si>
  <si>
    <t>dz2/dw3</t>
  </si>
  <si>
    <t>\frac{dC}{dw3} = \frac{dz2}{dw3}.\frac{da2}{dz2}.\frac{dC}{da2}</t>
  </si>
  <si>
    <t>\frac{dz2}{dw3} = a1</t>
  </si>
  <si>
    <t>\frac{dC}{db3} = \frac{dz2}{db3}.\frac{da2}{dz2}.\frac{dC}{da2}</t>
  </si>
  <si>
    <t>\frac{dz2}{db3} = 1</t>
  </si>
  <si>
    <t>\frac{dC}{dw2} = \frac{dz1}{dw2}.\frac{da1}{dz1}.\frac{dz2}{da1}.\frac{da2}{dz2}.\frac{dC}{da2}</t>
  </si>
  <si>
    <t>\frac{dC}{db2} = \frac{dz1}{db2}.\frac{da1}{dz1}.\frac{dz2}{da1}.\frac{da2}{dz2}.\frac{dC}{da2}</t>
  </si>
  <si>
    <t>\frac{dC}{dw1} = \frac{dz1}{dw1}.\frac{da1}{dz1}.\frac{dz2}{da1}.\frac{da2}{dz2}.\frac{dC}{da2}</t>
  </si>
  <si>
    <t>\frac{dC}{db1} = \frac{dz1}{db1}.\frac{da1}{dz1}.\frac{dz2}{da1}.\frac{da2}{dz2}.\frac{dC}{da2}</t>
  </si>
  <si>
    <t>a1 = \sigma (z1)</t>
  </si>
  <si>
    <t>\sigma (z2) = \frac{1}{1 + e^{-z2}}</t>
  </si>
  <si>
    <t>\sigma (z1) = \frac{1}{1 + e^{-z1}}</t>
  </si>
  <si>
    <t>\frac{dz2}{da1} = w3</t>
  </si>
  <si>
    <t>\frac{da1}{dz1} = \sigma (z1). (1 - \sigma (z1))</t>
  </si>
  <si>
    <t>\frac{dz1}{dw2} = x2</t>
  </si>
  <si>
    <t>\frac{dz1}{db2} = 1</t>
  </si>
  <si>
    <t>\frac{dz1}{db1} = 1</t>
  </si>
  <si>
    <t>\frac{dz1}{dw1} = x1</t>
  </si>
  <si>
    <t>dz2/da1</t>
  </si>
  <si>
    <t>da1/dz1</t>
  </si>
  <si>
    <t>dz1/dw2</t>
  </si>
  <si>
    <t>dC/dw2</t>
  </si>
  <si>
    <t>dC/da2</t>
  </si>
  <si>
    <t>dz1/db2</t>
  </si>
  <si>
    <t>dC/db2</t>
  </si>
  <si>
    <t>dz1/dw1</t>
  </si>
  <si>
    <t>dC/dw1</t>
  </si>
  <si>
    <t>dz1/db1</t>
  </si>
  <si>
    <t>dC/db1</t>
  </si>
  <si>
    <t>Gradient:</t>
  </si>
  <si>
    <t>N.B./ Negative gradient means increase</t>
  </si>
  <si>
    <t>Learning Rate</t>
  </si>
  <si>
    <t>PREDICTION (a2)</t>
  </si>
  <si>
    <t>X1</t>
  </si>
  <si>
    <t>w3 iterations</t>
  </si>
  <si>
    <t>Weight</t>
  </si>
  <si>
    <t>Gradient</t>
  </si>
  <si>
    <t>b3 iterations</t>
  </si>
  <si>
    <t>w2 iterations</t>
  </si>
  <si>
    <t>b2 iterations</t>
  </si>
  <si>
    <t>w1 iterations</t>
  </si>
  <si>
    <t>b1 iterations</t>
  </si>
  <si>
    <t>Overall</t>
  </si>
  <si>
    <t>Bias</t>
  </si>
  <si>
    <t>Re-instantiate Model Weights</t>
  </si>
  <si>
    <t>Min Value</t>
  </si>
  <si>
    <t>Max Value</t>
  </si>
  <si>
    <t>Good Start</t>
  </si>
  <si>
    <t>Bad Start</t>
  </si>
  <si>
    <t>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</si>
</sst>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1" fillId="0" borderId="0" xfId="0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1" fillId="0" borderId="6" xfId="0" applyNumberFormat="1" applyFont="1" applyBorder="1"/>
    <xf numFmtId="0" fontId="0" fillId="0" borderId="7" xfId="0" applyBorder="1"/>
    <xf numFmtId="2" fontId="1" fillId="0" borderId="7" xfId="0" applyNumberFormat="1" applyFont="1" applyBorder="1" applyAlignment="1">
      <alignment horizontal="center"/>
    </xf>
    <xf numFmtId="0" fontId="1" fillId="0" borderId="7" xfId="0" applyFont="1" applyBorder="1"/>
    <xf numFmtId="2" fontId="1" fillId="0" borderId="7" xfId="0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 vertical="center"/>
    </xf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165" fontId="4" fillId="0" borderId="17" xfId="0" applyNumberFormat="1" applyFont="1" applyBorder="1"/>
    <xf numFmtId="165" fontId="4" fillId="0" borderId="14" xfId="0" applyNumberFormat="1" applyFont="1" applyBorder="1"/>
    <xf numFmtId="165" fontId="4" fillId="0" borderId="15" xfId="0" applyNumberFormat="1" applyFont="1" applyBorder="1"/>
    <xf numFmtId="165" fontId="4" fillId="0" borderId="18" xfId="0" applyNumberFormat="1" applyFont="1" applyBorder="1"/>
    <xf numFmtId="165" fontId="4" fillId="0" borderId="0" xfId="0" applyNumberFormat="1" applyFont="1" applyBorder="1"/>
    <xf numFmtId="165" fontId="4" fillId="0" borderId="9" xfId="0" applyNumberFormat="1" applyFont="1" applyBorder="1"/>
    <xf numFmtId="165" fontId="4" fillId="0" borderId="19" xfId="0" applyNumberFormat="1" applyFont="1" applyBorder="1"/>
    <xf numFmtId="165" fontId="4" fillId="0" borderId="12" xfId="0" applyNumberFormat="1" applyFont="1" applyBorder="1"/>
    <xf numFmtId="165" fontId="4" fillId="0" borderId="13" xfId="0" applyNumberFormat="1" applyFont="1" applyBorder="1"/>
    <xf numFmtId="2" fontId="4" fillId="0" borderId="0" xfId="0" applyNumberFormat="1" applyFont="1" applyBorder="1"/>
    <xf numFmtId="2" fontId="4" fillId="0" borderId="14" xfId="0" applyNumberFormat="1" applyFont="1" applyBorder="1"/>
    <xf numFmtId="2" fontId="4" fillId="0" borderId="17" xfId="0" applyNumberFormat="1" applyFont="1" applyBorder="1"/>
    <xf numFmtId="2" fontId="4" fillId="0" borderId="15" xfId="0" applyNumberFormat="1" applyFont="1" applyBorder="1"/>
    <xf numFmtId="2" fontId="4" fillId="0" borderId="18" xfId="0" applyNumberFormat="1" applyFont="1" applyBorder="1"/>
    <xf numFmtId="2" fontId="4" fillId="0" borderId="9" xfId="0" applyNumberFormat="1" applyFont="1" applyBorder="1"/>
    <xf numFmtId="2" fontId="4" fillId="0" borderId="19" xfId="0" applyNumberFormat="1" applyFont="1" applyBorder="1"/>
    <xf numFmtId="2" fontId="4" fillId="0" borderId="12" xfId="0" applyNumberFormat="1" applyFont="1" applyBorder="1"/>
    <xf numFmtId="2" fontId="4" fillId="0" borderId="13" xfId="0" applyNumberFormat="1" applyFont="1" applyBorder="1"/>
    <xf numFmtId="2" fontId="1" fillId="0" borderId="3" xfId="0" applyNumberFormat="1" applyFont="1" applyBorder="1"/>
    <xf numFmtId="2" fontId="1" fillId="0" borderId="8" xfId="0" applyNumberFormat="1" applyFont="1" applyBorder="1"/>
    <xf numFmtId="2" fontId="1" fillId="0" borderId="5" xfId="0" applyNumberFormat="1" applyFont="1" applyBorder="1"/>
    <xf numFmtId="0" fontId="0" fillId="0" borderId="0" xfId="0" applyAlignment="1"/>
    <xf numFmtId="0" fontId="1" fillId="0" borderId="4" xfId="0" applyFont="1" applyBorder="1"/>
    <xf numFmtId="0" fontId="0" fillId="0" borderId="6" xfId="0" applyBorder="1"/>
    <xf numFmtId="2" fontId="0" fillId="0" borderId="8" xfId="0" applyNumberFormat="1" applyBorder="1"/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3" xfId="0" applyFont="1" applyBorder="1" applyAlignment="1"/>
    <xf numFmtId="0" fontId="0" fillId="0" borderId="4" xfId="0" applyFont="1" applyBorder="1"/>
    <xf numFmtId="0" fontId="0" fillId="0" borderId="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chemeClr val="tx1"/>
                </a:solidFill>
              </a:rPr>
              <a:t>Classification</a:t>
            </a:r>
            <a:r>
              <a:rPr lang="en-GB" sz="1600" b="1" baseline="0">
                <a:solidFill>
                  <a:schemeClr val="tx1"/>
                </a:solidFill>
              </a:rPr>
              <a:t> Prediction</a:t>
            </a:r>
            <a:endParaRPr lang="en-GB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7.5009471786415191E-2"/>
          <c:w val="0.85436567206596636"/>
          <c:h val="0.81986803370068861"/>
        </c:manualLayout>
      </c:layout>
      <c:surfaceChart>
        <c:wireframe val="0"/>
        <c:ser>
          <c:idx val="0"/>
          <c:order val="0"/>
          <c:tx>
            <c:v>0</c:v>
          </c:tx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Page'!$D$109:$X$109</c:f>
              <c:numCache>
                <c:formatCode>0.00</c:formatCode>
                <c:ptCount val="21"/>
                <c:pt idx="0">
                  <c:v>0.10702291363925941</c:v>
                </c:pt>
                <c:pt idx="1">
                  <c:v>0.10805745517395057</c:v>
                </c:pt>
                <c:pt idx="2">
                  <c:v>0.10931294672281984</c:v>
                </c:pt>
                <c:pt idx="3">
                  <c:v>0.11083795854139794</c:v>
                </c:pt>
                <c:pt idx="4">
                  <c:v>0.11269231245849111</c:v>
                </c:pt>
                <c:pt idx="5">
                  <c:v>0.11494990487049529</c:v>
                </c:pt>
                <c:pt idx="6">
                  <c:v>0.11770230168864945</c:v>
                </c:pt>
                <c:pt idx="7">
                  <c:v>0.12106332067868854</c:v>
                </c:pt>
                <c:pt idx="8">
                  <c:v>0.12517486223246249</c:v>
                </c:pt>
                <c:pt idx="9">
                  <c:v>0.13021428533131105</c:v>
                </c:pt>
                <c:pt idx="10">
                  <c:v>0.13640362501151959</c:v>
                </c:pt>
                <c:pt idx="11">
                  <c:v>0.14402085753494331</c:v>
                </c:pt>
                <c:pt idx="12">
                  <c:v>0.15341313857048322</c:v>
                </c:pt>
                <c:pt idx="13">
                  <c:v>0.16501129029944137</c:v>
                </c:pt>
                <c:pt idx="14">
                  <c:v>0.17934351127744436</c:v>
                </c:pt>
                <c:pt idx="15">
                  <c:v>0.19704393814349122</c:v>
                </c:pt>
                <c:pt idx="16">
                  <c:v>0.21884792320914076</c:v>
                </c:pt>
                <c:pt idx="17">
                  <c:v>0.24556075689744819</c:v>
                </c:pt>
                <c:pt idx="18">
                  <c:v>0.27798150152140461</c:v>
                </c:pt>
                <c:pt idx="19">
                  <c:v>0.31676298766705835</c:v>
                </c:pt>
                <c:pt idx="20">
                  <c:v>0.36220117671342794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F-4768-8448-4082E61BA44F}"/>
            </c:ext>
          </c:extLst>
        </c:ser>
        <c:ser>
          <c:idx val="1"/>
          <c:order val="1"/>
          <c:tx>
            <c:v>0.05</c:v>
          </c:tx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Page'!$D$110:$X$110</c:f>
              <c:numCache>
                <c:formatCode>0.00</c:formatCode>
                <c:ptCount val="21"/>
                <c:pt idx="0">
                  <c:v>0.10808765955250423</c:v>
                </c:pt>
                <c:pt idx="1">
                  <c:v>0.1093496175714285</c:v>
                </c:pt>
                <c:pt idx="2">
                  <c:v>0.11088252389165197</c:v>
                </c:pt>
                <c:pt idx="3">
                  <c:v>0.112746533651862</c:v>
                </c:pt>
                <c:pt idx="4">
                  <c:v>0.11501596095122323</c:v>
                </c:pt>
                <c:pt idx="5">
                  <c:v>0.117782896962421</c:v>
                </c:pt>
                <c:pt idx="6">
                  <c:v>0.12116182177078347</c:v>
                </c:pt>
                <c:pt idx="7">
                  <c:v>0.12529547212818715</c:v>
                </c:pt>
                <c:pt idx="8">
                  <c:v>0.13036226249836164</c:v>
                </c:pt>
                <c:pt idx="9">
                  <c:v>0.13658555479382767</c:v>
                </c:pt>
                <c:pt idx="10">
                  <c:v>0.14424497861699914</c:v>
                </c:pt>
                <c:pt idx="11">
                  <c:v>0.15368971586434674</c:v>
                </c:pt>
                <c:pt idx="12">
                  <c:v>0.16535300105928413</c:v>
                </c:pt>
                <c:pt idx="13">
                  <c:v>0.17976576448178627</c:v>
                </c:pt>
                <c:pt idx="14">
                  <c:v>0.19756496706624593</c:v>
                </c:pt>
                <c:pt idx="15">
                  <c:v>0.21948837060541027</c:v>
                </c:pt>
                <c:pt idx="16">
                  <c:v>0.24634232584042173</c:v>
                </c:pt>
                <c:pt idx="17">
                  <c:v>0.27892414324723702</c:v>
                </c:pt>
                <c:pt idx="18">
                  <c:v>0.31788021043519804</c:v>
                </c:pt>
                <c:pt idx="19">
                  <c:v>0.3634936491047755</c:v>
                </c:pt>
                <c:pt idx="20">
                  <c:v>0.41543012427435583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F-4768-8448-4082E61BA44F}"/>
            </c:ext>
          </c:extLst>
        </c:ser>
        <c:ser>
          <c:idx val="2"/>
          <c:order val="2"/>
          <c:tx>
            <c:v>0.1</c:v>
          </c:tx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Page'!$D$111:$X$111</c:f>
              <c:numCache>
                <c:formatCode>0.00</c:formatCode>
                <c:ptCount val="21"/>
                <c:pt idx="0">
                  <c:v>0.10938647774645144</c:v>
                </c:pt>
                <c:pt idx="1">
                  <c:v>0.11092732058314421</c:v>
                </c:pt>
                <c:pt idx="2">
                  <c:v>0.11280103808420021</c:v>
                </c:pt>
                <c:pt idx="3">
                  <c:v>0.11508236457585976</c:v>
                </c:pt>
                <c:pt idx="4">
                  <c:v>0.11786391971059589</c:v>
                </c:pt>
                <c:pt idx="5">
                  <c:v>0.12126084999004159</c:v>
                </c:pt>
                <c:pt idx="6">
                  <c:v>0.12541673371165987</c:v>
                </c:pt>
                <c:pt idx="7">
                  <c:v>0.1305110473080921</c:v>
                </c:pt>
                <c:pt idx="8">
                  <c:v>0.1367684875078361</c:v>
                </c:pt>
                <c:pt idx="9">
                  <c:v>0.14447034660743349</c:v>
                </c:pt>
                <c:pt idx="10">
                  <c:v>0.15396784301109548</c:v>
                </c:pt>
                <c:pt idx="11">
                  <c:v>0.16569663339894861</c:v>
                </c:pt>
                <c:pt idx="12">
                  <c:v>0.18019038608948115</c:v>
                </c:pt>
                <c:pt idx="13">
                  <c:v>0.19808888342629627</c:v>
                </c:pt>
                <c:pt idx="14">
                  <c:v>0.22013227520373696</c:v>
                </c:pt>
                <c:pt idx="15">
                  <c:v>0.24712791924736077</c:v>
                </c:pt>
                <c:pt idx="16">
                  <c:v>0.27987127525834365</c:v>
                </c:pt>
                <c:pt idx="17">
                  <c:v>0.31900213750400974</c:v>
                </c:pt>
                <c:pt idx="18">
                  <c:v>0.36479060486220755</c:v>
                </c:pt>
                <c:pt idx="19">
                  <c:v>0.41688265524432427</c:v>
                </c:pt>
                <c:pt idx="20">
                  <c:v>0.47409033101078601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3F-4768-8448-4082E61BA44F}"/>
            </c:ext>
          </c:extLst>
        </c:ser>
        <c:ser>
          <c:idx val="3"/>
          <c:order val="3"/>
          <c:tx>
            <c:v>0.15</c:v>
          </c:tx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Page'!$D$112:$X$112</c:f>
              <c:numCache>
                <c:formatCode>0.00</c:formatCode>
                <c:ptCount val="21"/>
                <c:pt idx="0">
                  <c:v>0.11097234985289632</c:v>
                </c:pt>
                <c:pt idx="1">
                  <c:v>0.11285582728582888</c:v>
                </c:pt>
                <c:pt idx="2">
                  <c:v>0.11514911764356187</c:v>
                </c:pt>
                <c:pt idx="3">
                  <c:v>0.11794537229744083</c:v>
                </c:pt>
                <c:pt idx="4">
                  <c:v>0.12136040828815171</c:v>
                </c:pt>
                <c:pt idx="5">
                  <c:v>0.1255386506761054</c:v>
                </c:pt>
                <c:pt idx="6">
                  <c:v>0.13066064438637207</c:v>
                </c:pt>
                <c:pt idx="7">
                  <c:v>0.13695242894239151</c:v>
                </c:pt>
                <c:pt idx="8">
                  <c:v>0.14469696872199897</c:v>
                </c:pt>
                <c:pt idx="9">
                  <c:v>0.15424752892829577</c:v>
                </c:pt>
                <c:pt idx="10">
                  <c:v>0.16604219816846874</c:v>
                </c:pt>
                <c:pt idx="11">
                  <c:v>0.18061738895782509</c:v>
                </c:pt>
                <c:pt idx="12">
                  <c:v>0.19861570180969382</c:v>
                </c:pt>
                <c:pt idx="13">
                  <c:v>0.22077965238313843</c:v>
                </c:pt>
                <c:pt idx="14">
                  <c:v>0.24791755131400964</c:v>
                </c:pt>
                <c:pt idx="15">
                  <c:v>0.28082290723598236</c:v>
                </c:pt>
                <c:pt idx="16">
                  <c:v>0.32012876945072621</c:v>
                </c:pt>
                <c:pt idx="17">
                  <c:v>0.36609203060524786</c:v>
                </c:pt>
                <c:pt idx="18">
                  <c:v>0.41833882633924424</c:v>
                </c:pt>
                <c:pt idx="19">
                  <c:v>0.47565755466648513</c:v>
                </c:pt>
                <c:pt idx="20">
                  <c:v>0.5359681457541543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3F-4768-8448-4082E61BA44F}"/>
            </c:ext>
          </c:extLst>
        </c:ser>
        <c:ser>
          <c:idx val="4"/>
          <c:order val="4"/>
          <c:tx>
            <c:v>0.2</c:v>
          </c:tx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Page'!$D$113:$X$113</c:f>
              <c:numCache>
                <c:formatCode>0.00</c:formatCode>
                <c:ptCount val="21"/>
                <c:pt idx="0">
                  <c:v>0.11291090279578328</c:v>
                </c:pt>
                <c:pt idx="1">
                  <c:v>0.11521622206445906</c:v>
                </c:pt>
                <c:pt idx="2">
                  <c:v>0.11802725710107324</c:v>
                </c:pt>
                <c:pt idx="3">
                  <c:v>0.12146049963429884</c:v>
                </c:pt>
                <c:pt idx="4">
                  <c:v>0.12566122673680899</c:v>
                </c:pt>
                <c:pt idx="5">
                  <c:v>0.13081105838672716</c:v>
                </c:pt>
                <c:pt idx="6">
                  <c:v>0.13713738492060459</c:v>
                </c:pt>
                <c:pt idx="7">
                  <c:v>0.14492485221800538</c:v>
                </c:pt>
                <c:pt idx="8">
                  <c:v>0.15452878258209432</c:v>
                </c:pt>
                <c:pt idx="9">
                  <c:v>0.16638970627110569</c:v>
                </c:pt>
                <c:pt idx="10">
                  <c:v>0.18104678599562099</c:v>
                </c:pt>
                <c:pt idx="11">
                  <c:v>0.1991454368392693</c:v>
                </c:pt>
                <c:pt idx="12">
                  <c:v>0.22143051752223353</c:v>
                </c:pt>
                <c:pt idx="13">
                  <c:v>0.24871123616583604</c:v>
                </c:pt>
                <c:pt idx="14">
                  <c:v>0.28177904868383019</c:v>
                </c:pt>
                <c:pt idx="15">
                  <c:v>0.32126010654287757</c:v>
                </c:pt>
                <c:pt idx="16">
                  <c:v>0.36739791252902831</c:v>
                </c:pt>
                <c:pt idx="17">
                  <c:v>0.41979860679103348</c:v>
                </c:pt>
                <c:pt idx="18">
                  <c:v>0.47722691468946288</c:v>
                </c:pt>
                <c:pt idx="19">
                  <c:v>0.53758180013540702</c:v>
                </c:pt>
                <c:pt idx="20">
                  <c:v>0.59814989876890301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3F-4768-8448-4082E61BA44F}"/>
            </c:ext>
          </c:extLst>
        </c:ser>
        <c:ser>
          <c:idx val="5"/>
          <c:order val="5"/>
          <c:tx>
            <c:v>0.25</c:v>
          </c:tx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Page'!$D$114:$X$114</c:f>
              <c:numCache>
                <c:formatCode>0.00</c:formatCode>
                <c:ptCount val="21"/>
                <c:pt idx="0">
                  <c:v>0.11528367975972083</c:v>
                </c:pt>
                <c:pt idx="1">
                  <c:v>0.11810957651354709</c:v>
                </c:pt>
                <c:pt idx="2">
                  <c:v>0.12156112701527251</c:v>
                </c:pt>
                <c:pt idx="3">
                  <c:v>0.1257844656312512</c:v>
                </c:pt>
                <c:pt idx="4">
                  <c:v>0.13096229399050163</c:v>
                </c:pt>
                <c:pt idx="5">
                  <c:v>0.13732336130003703</c:v>
                </c:pt>
                <c:pt idx="6">
                  <c:v>0.14515400439451587</c:v>
                </c:pt>
                <c:pt idx="7">
                  <c:v>0.1548116129873848</c:v>
                </c:pt>
                <c:pt idx="8">
                  <c:v>0.16673916866340768</c:v>
                </c:pt>
                <c:pt idx="9">
                  <c:v>0.1814785901629937</c:v>
                </c:pt>
                <c:pt idx="10">
                  <c:v>0.19967810317398371</c:v>
                </c:pt>
                <c:pt idx="11">
                  <c:v>0.22208488599785697</c:v>
                </c:pt>
                <c:pt idx="12">
                  <c:v>0.24950898785566747</c:v>
                </c:pt>
                <c:pt idx="13">
                  <c:v>0.28273970892469075</c:v>
                </c:pt>
                <c:pt idx="14">
                  <c:v>0.32239614873477207</c:v>
                </c:pt>
                <c:pt idx="15">
                  <c:v>0.36870823640209172</c:v>
                </c:pt>
                <c:pt idx="16">
                  <c:v>0.42126196537999083</c:v>
                </c:pt>
                <c:pt idx="17">
                  <c:v>0.47879836467142128</c:v>
                </c:pt>
                <c:pt idx="18">
                  <c:v>0.53919561108681713</c:v>
                </c:pt>
                <c:pt idx="19">
                  <c:v>0.59973014204991937</c:v>
                </c:pt>
                <c:pt idx="20">
                  <c:v>0.65758217596994528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3F-4768-8448-4082E61BA44F}"/>
            </c:ext>
          </c:extLst>
        </c:ser>
        <c:ser>
          <c:idx val="6"/>
          <c:order val="6"/>
          <c:tx>
            <c:v>0.3</c:v>
          </c:tx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Page'!$D$115:$X$115</c:f>
              <c:numCache>
                <c:formatCode>0.00</c:formatCode>
                <c:ptCount val="21"/>
                <c:pt idx="0">
                  <c:v>0.11819233294093956</c:v>
                </c:pt>
                <c:pt idx="1">
                  <c:v>0.12166229343557593</c:v>
                </c:pt>
                <c:pt idx="2">
                  <c:v>0.12590837111924294</c:v>
                </c:pt>
                <c:pt idx="3">
                  <c:v>0.13111435590702156</c:v>
                </c:pt>
                <c:pt idx="4">
                  <c:v>0.13751036397288854</c:v>
                </c:pt>
                <c:pt idx="5">
                  <c:v>0.14538443259254213</c:v>
                </c:pt>
                <c:pt idx="6">
                  <c:v>0.15509602920797241</c:v>
                </c:pt>
                <c:pt idx="7">
                  <c:v>0.16709059635526435</c:v>
                </c:pt>
                <c:pt idx="8">
                  <c:v>0.18191281447119359</c:v>
                </c:pt>
                <c:pt idx="9">
                  <c:v>0.20021371550826386</c:v>
                </c:pt>
                <c:pt idx="10">
                  <c:v>0.22274277318364602</c:v>
                </c:pt>
                <c:pt idx="11">
                  <c:v>0.25031082036129987</c:v>
                </c:pt>
                <c:pt idx="12">
                  <c:v>0.28370489709718116</c:v>
                </c:pt>
                <c:pt idx="13">
                  <c:v>0.32353689566398325</c:v>
                </c:pt>
                <c:pt idx="14">
                  <c:v>0.3700229875642605</c:v>
                </c:pt>
                <c:pt idx="15">
                  <c:v>0.42272887043597346</c:v>
                </c:pt>
                <c:pt idx="16">
                  <c:v>0.4803718578800833</c:v>
                </c:pt>
                <c:pt idx="17">
                  <c:v>0.54080952442714481</c:v>
                </c:pt>
                <c:pt idx="18">
                  <c:v>0.60130847569009804</c:v>
                </c:pt>
                <c:pt idx="19">
                  <c:v>0.65905432725631974</c:v>
                </c:pt>
                <c:pt idx="20">
                  <c:v>0.71171189161712534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3F-4768-8448-4082E61BA44F}"/>
            </c:ext>
          </c:extLst>
        </c:ser>
        <c:ser>
          <c:idx val="7"/>
          <c:order val="7"/>
          <c:tx>
            <c:v>0.35</c:v>
          </c:tx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Page'!$D$116:$X$116</c:f>
              <c:numCache>
                <c:formatCode>0.00</c:formatCode>
                <c:ptCount val="21"/>
                <c:pt idx="0">
                  <c:v>0.12176400191753547</c:v>
                </c:pt>
                <c:pt idx="1">
                  <c:v>0.12603294698306175</c:v>
                </c:pt>
                <c:pt idx="2">
                  <c:v>0.13126724887375882</c:v>
                </c:pt>
                <c:pt idx="3">
                  <c:v>0.13769839886618493</c:v>
                </c:pt>
                <c:pt idx="4">
                  <c:v>0.14561614419523997</c:v>
                </c:pt>
                <c:pt idx="5">
                  <c:v>0.15538204035673742</c:v>
                </c:pt>
                <c:pt idx="6">
                  <c:v>0.16744400040995791</c:v>
                </c:pt>
                <c:pt idx="7">
                  <c:v>0.18234947198239224</c:v>
                </c:pt>
                <c:pt idx="8">
                  <c:v>0.20075228857132257</c:v>
                </c:pt>
                <c:pt idx="9">
                  <c:v>0.22340419444860643</c:v>
                </c:pt>
                <c:pt idx="10">
                  <c:v>0.25111674758307828</c:v>
                </c:pt>
                <c:pt idx="11">
                  <c:v>0.28467462215240524</c:v>
                </c:pt>
                <c:pt idx="12">
                  <c:v>0.32468234664785056</c:v>
                </c:pt>
                <c:pt idx="13">
                  <c:v>0.37134215092456713</c:v>
                </c:pt>
                <c:pt idx="14">
                  <c:v>0.42419928983969196</c:v>
                </c:pt>
                <c:pt idx="15">
                  <c:v>0.48194734726466348</c:v>
                </c:pt>
                <c:pt idx="16">
                  <c:v>0.54242348592240819</c:v>
                </c:pt>
                <c:pt idx="17">
                  <c:v>0.60288484935744391</c:v>
                </c:pt>
                <c:pt idx="18">
                  <c:v>0.66052285807899169</c:v>
                </c:pt>
                <c:pt idx="19">
                  <c:v>0.7130213784727073</c:v>
                </c:pt>
                <c:pt idx="20">
                  <c:v>0.75892843204205873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3F-4768-8448-4082E61BA44F}"/>
            </c:ext>
          </c:extLst>
        </c:ser>
        <c:ser>
          <c:idx val="8"/>
          <c:order val="8"/>
          <c:tx>
            <c:v>0.4</c:v>
          </c:tx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Page'!$D$117:$X$117</c:f>
              <c:numCache>
                <c:formatCode>0.00</c:formatCode>
                <c:ptCount val="21"/>
                <c:pt idx="0">
                  <c:v>0.12615819702758835</c:v>
                </c:pt>
                <c:pt idx="1">
                  <c:v>0.13142097765649563</c:v>
                </c:pt>
                <c:pt idx="2">
                  <c:v>0.13788747194196621</c:v>
                </c:pt>
                <c:pt idx="3">
                  <c:v>0.14584914662810416</c:v>
                </c:pt>
                <c:pt idx="4">
                  <c:v>0.15566965559579635</c:v>
                </c:pt>
                <c:pt idx="5">
                  <c:v>0.16779939194420884</c:v>
                </c:pt>
                <c:pt idx="6">
                  <c:v>0.18278857580946836</c:v>
                </c:pt>
                <c:pt idx="7">
                  <c:v>0.20129383712646157</c:v>
                </c:pt>
                <c:pt idx="8">
                  <c:v>0.22406916515565425</c:v>
                </c:pt>
                <c:pt idx="9">
                  <c:v>0.25192678334145108</c:v>
                </c:pt>
                <c:pt idx="10">
                  <c:v>0.28564889285060485</c:v>
                </c:pt>
                <c:pt idx="11">
                  <c:v>0.32583250067999764</c:v>
                </c:pt>
                <c:pt idx="12">
                  <c:v>0.37266571095924927</c:v>
                </c:pt>
                <c:pt idx="13">
                  <c:v>0.42567319102410794</c:v>
                </c:pt>
                <c:pt idx="14">
                  <c:v>0.48352478546144695</c:v>
                </c:pt>
                <c:pt idx="15">
                  <c:v>0.5440374412939557</c:v>
                </c:pt>
                <c:pt idx="16">
                  <c:v>0.60445921297239391</c:v>
                </c:pt>
                <c:pt idx="17">
                  <c:v>0.6619877321765798</c:v>
                </c:pt>
                <c:pt idx="18">
                  <c:v>0.7143261868591968</c:v>
                </c:pt>
                <c:pt idx="19">
                  <c:v>0.76004779032022662</c:v>
                </c:pt>
                <c:pt idx="20">
                  <c:v>0.79865950787336681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3F-4768-8448-4082E61BA44F}"/>
            </c:ext>
          </c:extLst>
        </c:ser>
        <c:ser>
          <c:idx val="9"/>
          <c:order val="9"/>
          <c:tx>
            <c:v>0.45</c:v>
          </c:tx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Page'!$D$118:$X$118</c:f>
              <c:numCache>
                <c:formatCode>0.00</c:formatCode>
                <c:ptCount val="21"/>
                <c:pt idx="0">
                  <c:v>0.13157554704949012</c:v>
                </c:pt>
                <c:pt idx="1">
                  <c:v>0.13807758919747531</c:v>
                </c:pt>
                <c:pt idx="2">
                  <c:v>0.14608344735916381</c:v>
                </c:pt>
                <c:pt idx="3">
                  <c:v>0.1559588841366617</c:v>
                </c:pt>
                <c:pt idx="4">
                  <c:v>0.16815678212821725</c:v>
                </c:pt>
                <c:pt idx="5">
                  <c:v>0.18323013911578401</c:v>
                </c:pt>
                <c:pt idx="6">
                  <c:v>0.20183837597035906</c:v>
                </c:pt>
                <c:pt idx="7">
                  <c:v>0.22473770066013257</c:v>
                </c:pt>
                <c:pt idx="8">
                  <c:v>0.25274094137449693</c:v>
                </c:pt>
                <c:pt idx="9">
                  <c:v>0.28662771775779505</c:v>
                </c:pt>
                <c:pt idx="10">
                  <c:v>0.32698735642685961</c:v>
                </c:pt>
                <c:pt idx="11">
                  <c:v>0.37399365170981491</c:v>
                </c:pt>
                <c:pt idx="12">
                  <c:v>0.42715054097594068</c:v>
                </c:pt>
                <c:pt idx="13">
                  <c:v>0.48510412479946019</c:v>
                </c:pt>
                <c:pt idx="14">
                  <c:v>0.54565133622656958</c:v>
                </c:pt>
                <c:pt idx="15">
                  <c:v>0.60603151671480204</c:v>
                </c:pt>
                <c:pt idx="16">
                  <c:v>0.66344891373992687</c:v>
                </c:pt>
                <c:pt idx="17">
                  <c:v>0.71562629912332498</c:v>
                </c:pt>
                <c:pt idx="18">
                  <c:v>0.76116211861457717</c:v>
                </c:pt>
                <c:pt idx="19">
                  <c:v>0.79958638588558539</c:v>
                </c:pt>
                <c:pt idx="20">
                  <c:v>0.83117454503017885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3F-4768-8448-4082E61BA44F}"/>
            </c:ext>
          </c:extLst>
        </c:ser>
        <c:ser>
          <c:idx val="10"/>
          <c:order val="10"/>
          <c:tx>
            <c:v>0.5</c:v>
          </c:tx>
          <c:spPr>
            <a:solidFill>
              <a:schemeClr val="accent1"/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Page'!$D$119:$X$119</c:f>
              <c:numCache>
                <c:formatCode>0.00</c:formatCode>
                <c:ptCount val="21"/>
                <c:pt idx="0">
                  <c:v>0.13826875666534733</c:v>
                </c:pt>
                <c:pt idx="1">
                  <c:v>0.14631905389917654</c:v>
                </c:pt>
                <c:pt idx="2">
                  <c:v>0.1562497352403999</c:v>
                </c:pt>
                <c:pt idx="3">
                  <c:v>0.16851618218569919</c:v>
                </c:pt>
                <c:pt idx="4">
                  <c:v>0.18367417511495124</c:v>
                </c:pt>
                <c:pt idx="5">
                  <c:v>0.2023859199323392</c:v>
                </c:pt>
                <c:pt idx="6">
                  <c:v>0.22540981630830595</c:v>
                </c:pt>
                <c:pt idx="7">
                  <c:v>0.25355923533542413</c:v>
                </c:pt>
                <c:pt idx="8">
                  <c:v>0.28761110524238448</c:v>
                </c:pt>
                <c:pt idx="9">
                  <c:v>0.32814691222423137</c:v>
                </c:pt>
                <c:pt idx="10">
                  <c:v>0.37532595678117125</c:v>
                </c:pt>
                <c:pt idx="11">
                  <c:v>0.42863130623729112</c:v>
                </c:pt>
                <c:pt idx="12">
                  <c:v>0.48668531730624381</c:v>
                </c:pt>
                <c:pt idx="13">
                  <c:v>0.54726511637658215</c:v>
                </c:pt>
                <c:pt idx="14">
                  <c:v>0.60760171103085692</c:v>
                </c:pt>
                <c:pt idx="15">
                  <c:v>0.6649063674150183</c:v>
                </c:pt>
                <c:pt idx="16">
                  <c:v>0.71692169809224282</c:v>
                </c:pt>
                <c:pt idx="17">
                  <c:v>0.76227141619101446</c:v>
                </c:pt>
                <c:pt idx="18">
                  <c:v>0.8005084440353577</c:v>
                </c:pt>
                <c:pt idx="19">
                  <c:v>0.83192419145757157</c:v>
                </c:pt>
                <c:pt idx="20">
                  <c:v>0.85726150591378925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3F-4768-8448-4082E61BA44F}"/>
            </c:ext>
          </c:extLst>
        </c:ser>
        <c:ser>
          <c:idx val="11"/>
          <c:order val="11"/>
          <c:tx>
            <c:v>0.55</c:v>
          </c:tx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Page'!$D$120:$X$120</c:f>
              <c:numCache>
                <c:formatCode>0.00</c:formatCode>
                <c:ptCount val="21"/>
                <c:pt idx="0">
                  <c:v>0.14655597380182317</c:v>
                </c:pt>
                <c:pt idx="1">
                  <c:v>0.1565422182177871</c:v>
                </c:pt>
                <c:pt idx="2">
                  <c:v>0.16887760339391852</c:v>
                </c:pt>
                <c:pt idx="3">
                  <c:v>0.18412069707058876</c:v>
                </c:pt>
                <c:pt idx="4">
                  <c:v>0.20293648387362645</c:v>
                </c:pt>
                <c:pt idx="5">
                  <c:v>0.22608552743582863</c:v>
                </c:pt>
                <c:pt idx="6">
                  <c:v>0.25438167879004403</c:v>
                </c:pt>
                <c:pt idx="7">
                  <c:v>0.28859906347177622</c:v>
                </c:pt>
                <c:pt idx="8">
                  <c:v>0.32931116607383026</c:v>
                </c:pt>
                <c:pt idx="9">
                  <c:v>0.37666260933982593</c:v>
                </c:pt>
                <c:pt idx="10">
                  <c:v>0.43011545290736719</c:v>
                </c:pt>
                <c:pt idx="11">
                  <c:v>0.48826831471372345</c:v>
                </c:pt>
                <c:pt idx="12">
                  <c:v>0.54887872738000987</c:v>
                </c:pt>
                <c:pt idx="13">
                  <c:v>0.60916974663991197</c:v>
                </c:pt>
                <c:pt idx="14">
                  <c:v>0.66636005830578438</c:v>
                </c:pt>
                <c:pt idx="15">
                  <c:v>0.71821236707213398</c:v>
                </c:pt>
                <c:pt idx="16">
                  <c:v>0.76337568268964506</c:v>
                </c:pt>
                <c:pt idx="17">
                  <c:v>0.80142569318704804</c:v>
                </c:pt>
                <c:pt idx="18">
                  <c:v>0.83266956550343008</c:v>
                </c:pt>
                <c:pt idx="19">
                  <c:v>0.85785823983611653</c:v>
                </c:pt>
                <c:pt idx="20">
                  <c:v>0.87792540362024818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3F-4768-8448-4082E61BA44F}"/>
            </c:ext>
          </c:extLst>
        </c:ser>
        <c:ser>
          <c:idx val="12"/>
          <c:order val="12"/>
          <c:tx>
            <c:v>0.6</c:v>
          </c:tx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Page'!$D$121:$X$121</c:f>
              <c:numCache>
                <c:formatCode>0.00</c:formatCode>
                <c:ptCount val="21"/>
                <c:pt idx="0">
                  <c:v>0.15683634242946332</c:v>
                </c:pt>
                <c:pt idx="1">
                  <c:v>0.16924105708371309</c:v>
                </c:pt>
                <c:pt idx="2">
                  <c:v>0.18456971829606889</c:v>
                </c:pt>
                <c:pt idx="3">
                  <c:v>0.20349008268658111</c:v>
                </c:pt>
                <c:pt idx="4">
                  <c:v>0.22676484936619012</c:v>
                </c:pt>
                <c:pt idx="5">
                  <c:v>0.25520828521421568</c:v>
                </c:pt>
                <c:pt idx="6">
                  <c:v>0.28959160040895615</c:v>
                </c:pt>
                <c:pt idx="7">
                  <c:v>0.3304801156398785</c:v>
                </c:pt>
                <c:pt idx="8">
                  <c:v>0.37800359211215856</c:v>
                </c:pt>
                <c:pt idx="9">
                  <c:v>0.43160294664432736</c:v>
                </c:pt>
                <c:pt idx="10">
                  <c:v>0.48985306846417331</c:v>
                </c:pt>
                <c:pt idx="11">
                  <c:v>0.55049211486070571</c:v>
                </c:pt>
                <c:pt idx="12">
                  <c:v>0.6107355745412385</c:v>
                </c:pt>
                <c:pt idx="13">
                  <c:v>0.66780995197678161</c:v>
                </c:pt>
                <c:pt idx="14">
                  <c:v>0.71949828984674469</c:v>
                </c:pt>
                <c:pt idx="15">
                  <c:v>0.76447491812101442</c:v>
                </c:pt>
                <c:pt idx="16">
                  <c:v>0.80233814442388873</c:v>
                </c:pt>
                <c:pt idx="17">
                  <c:v>0.83341068381200667</c:v>
                </c:pt>
                <c:pt idx="18">
                  <c:v>0.85845138319901215</c:v>
                </c:pt>
                <c:pt idx="19">
                  <c:v>0.87839592612052242</c:v>
                </c:pt>
                <c:pt idx="20">
                  <c:v>0.89417887032074472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3F-4768-8448-4082E61BA44F}"/>
            </c:ext>
          </c:extLst>
        </c:ser>
        <c:ser>
          <c:idx val="13"/>
          <c:order val="13"/>
          <c:tx>
            <c:v>0.65</c:v>
          </c:tx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Page'!$D$122:$X$122</c:f>
              <c:numCache>
                <c:formatCode>0.00</c:formatCode>
                <c:ptCount val="21"/>
                <c:pt idx="0">
                  <c:v>0.1696065546395164</c:v>
                </c:pt>
                <c:pt idx="1">
                  <c:v>0.18502125215425377</c:v>
                </c:pt>
                <c:pt idx="2">
                  <c:v>0.20404673129391904</c:v>
                </c:pt>
                <c:pt idx="3">
                  <c:v>0.22744779740913521</c:v>
                </c:pt>
                <c:pt idx="4">
                  <c:v>0.25603906799126597</c:v>
                </c:pt>
                <c:pt idx="5">
                  <c:v>0.29058872380906442</c:v>
                </c:pt>
                <c:pt idx="6">
                  <c:v>0.33165375824570587</c:v>
                </c:pt>
                <c:pt idx="7">
                  <c:v>0.37934888738276379</c:v>
                </c:pt>
                <c:pt idx="8">
                  <c:v>0.43309375266723282</c:v>
                </c:pt>
                <c:pt idx="9">
                  <c:v>0.49143952971627547</c:v>
                </c:pt>
                <c:pt idx="10">
                  <c:v>0.55210522443851684</c:v>
                </c:pt>
                <c:pt idx="11">
                  <c:v>0.6122991460206979</c:v>
                </c:pt>
                <c:pt idx="12">
                  <c:v>0.66925601445574778</c:v>
                </c:pt>
                <c:pt idx="13">
                  <c:v>0.72077945067581861</c:v>
                </c:pt>
                <c:pt idx="14">
                  <c:v>0.76556912286232026</c:v>
                </c:pt>
                <c:pt idx="15">
                  <c:v>0.8032458090440161</c:v>
                </c:pt>
                <c:pt idx="16">
                  <c:v>0.83414756311000904</c:v>
                </c:pt>
                <c:pt idx="17">
                  <c:v>0.85904095398545366</c:v>
                </c:pt>
                <c:pt idx="18">
                  <c:v>0.87886353674227369</c:v>
                </c:pt>
                <c:pt idx="19">
                  <c:v>0.89454821418055508</c:v>
                </c:pt>
                <c:pt idx="20">
                  <c:v>0.90692911078202687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3F-4768-8448-4082E61BA44F}"/>
            </c:ext>
          </c:extLst>
        </c:ser>
        <c:ser>
          <c:idx val="14"/>
          <c:order val="14"/>
          <c:tx>
            <c:v>0.7</c:v>
          </c:tx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Page'!$D$123:$X$123</c:f>
              <c:numCache>
                <c:formatCode>0.00</c:formatCode>
                <c:ptCount val="21"/>
                <c:pt idx="0">
                  <c:v>0.18547531205722151</c:v>
                </c:pt>
                <c:pt idx="1">
                  <c:v>0.20460644464791267</c:v>
                </c:pt>
                <c:pt idx="2">
                  <c:v>0.22813438685905921</c:v>
                </c:pt>
                <c:pt idx="3">
                  <c:v>0.25687404040938033</c:v>
                </c:pt>
                <c:pt idx="4">
                  <c:v>0.29159044121595323</c:v>
                </c:pt>
                <c:pt idx="5">
                  <c:v>0.33283209087037069</c:v>
                </c:pt>
                <c:pt idx="6">
                  <c:v>0.38069847699286946</c:v>
                </c:pt>
                <c:pt idx="7">
                  <c:v>0.4345878357581115</c:v>
                </c:pt>
                <c:pt idx="8">
                  <c:v>0.49302764935127219</c:v>
                </c:pt>
                <c:pt idx="9">
                  <c:v>0.553718001737454</c:v>
                </c:pt>
                <c:pt idx="10">
                  <c:v>0.61386041265732272</c:v>
                </c:pt>
                <c:pt idx="11">
                  <c:v>0.67069821223604553</c:v>
                </c:pt>
                <c:pt idx="12">
                  <c:v>0.72205583429344367</c:v>
                </c:pt>
                <c:pt idx="13">
                  <c:v>0.7666582976535935</c:v>
                </c:pt>
                <c:pt idx="14">
                  <c:v>0.8041486985565276</c:v>
                </c:pt>
                <c:pt idx="15">
                  <c:v>0.83488022020365604</c:v>
                </c:pt>
                <c:pt idx="16">
                  <c:v>0.85962697017086187</c:v>
                </c:pt>
                <c:pt idx="17">
                  <c:v>0.87932825218742738</c:v>
                </c:pt>
                <c:pt idx="18">
                  <c:v>0.89491524958767277</c:v>
                </c:pt>
                <c:pt idx="19">
                  <c:v>0.90721879167788178</c:v>
                </c:pt>
                <c:pt idx="20">
                  <c:v>0.91693536443423795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3F-4768-8448-4082E61BA44F}"/>
            </c:ext>
          </c:extLst>
        </c:ser>
        <c:ser>
          <c:idx val="15"/>
          <c:order val="15"/>
          <c:tx>
            <c:v>0.75</c:v>
          </c:tx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Page'!$D$124:$X$124</c:f>
              <c:numCache>
                <c:formatCode>0.00</c:formatCode>
                <c:ptCount val="21"/>
                <c:pt idx="0">
                  <c:v>0.20516923772957549</c:v>
                </c:pt>
                <c:pt idx="1">
                  <c:v>0.2288246329933788</c:v>
                </c:pt>
                <c:pt idx="2">
                  <c:v>0.25771321565896921</c:v>
                </c:pt>
                <c:pt idx="3">
                  <c:v>0.29259675995873058</c:v>
                </c:pt>
                <c:pt idx="4">
                  <c:v>0.3340151101453076</c:v>
                </c:pt>
                <c:pt idx="5">
                  <c:v>0.38205234233882818</c:v>
                </c:pt>
                <c:pt idx="6">
                  <c:v>0.43608516026413702</c:v>
                </c:pt>
                <c:pt idx="7">
                  <c:v>0.49461737797920768</c:v>
                </c:pt>
                <c:pt idx="8">
                  <c:v>0.55533039239386739</c:v>
                </c:pt>
                <c:pt idx="9">
                  <c:v>0.615419326329816</c:v>
                </c:pt>
                <c:pt idx="10">
                  <c:v>0.67213651227897586</c:v>
                </c:pt>
                <c:pt idx="11">
                  <c:v>0.72332742590631915</c:v>
                </c:pt>
                <c:pt idx="12">
                  <c:v>0.76774244359385224</c:v>
                </c:pt>
                <c:pt idx="13">
                  <c:v>0.80504682467755417</c:v>
                </c:pt>
                <c:pt idx="14">
                  <c:v>0.83560867197577005</c:v>
                </c:pt>
                <c:pt idx="15">
                  <c:v>0.86020944972141156</c:v>
                </c:pt>
                <c:pt idx="16">
                  <c:v>0.87979008910452705</c:v>
                </c:pt>
                <c:pt idx="17">
                  <c:v>0.89527999081075271</c:v>
                </c:pt>
                <c:pt idx="18">
                  <c:v>0.90750666661900414</c:v>
                </c:pt>
                <c:pt idx="19">
                  <c:v>0.91716294078054794</c:v>
                </c:pt>
                <c:pt idx="20">
                  <c:v>0.92480740030397734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D3F-4768-8448-4082E61BA44F}"/>
            </c:ext>
          </c:extLst>
        </c:ser>
        <c:ser>
          <c:idx val="16"/>
          <c:order val="16"/>
          <c:tx>
            <c:v>0.8</c:v>
          </c:tx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Page'!$D$125:$X$125</c:f>
              <c:numCache>
                <c:formatCode>0.00</c:formatCode>
                <c:ptCount val="21"/>
                <c:pt idx="0">
                  <c:v>0.2295185510708776</c:v>
                </c:pt>
                <c:pt idx="1">
                  <c:v>0.25855660683000581</c:v>
                </c:pt>
                <c:pt idx="2">
                  <c:v>0.29360768714829116</c:v>
                </c:pt>
                <c:pt idx="3">
                  <c:v>0.33520281235099358</c:v>
                </c:pt>
                <c:pt idx="4">
                  <c:v>0.38341046437068782</c:v>
                </c:pt>
                <c:pt idx="5">
                  <c:v>0.43758569009991721</c:v>
                </c:pt>
                <c:pt idx="6">
                  <c:v>0.49620866594526186</c:v>
                </c:pt>
                <c:pt idx="7">
                  <c:v>0.55694234206462356</c:v>
                </c:pt>
                <c:pt idx="8">
                  <c:v>0.61697583922296029</c:v>
                </c:pt>
                <c:pt idx="9">
                  <c:v>0.67357088201597759</c:v>
                </c:pt>
                <c:pt idx="10">
                  <c:v>0.72459421119192868</c:v>
                </c:pt>
                <c:pt idx="11">
                  <c:v>0.76882156213723463</c:v>
                </c:pt>
                <c:pt idx="12">
                  <c:v>0.80594019932634742</c:v>
                </c:pt>
                <c:pt idx="13">
                  <c:v>0.83633293538290143</c:v>
                </c:pt>
                <c:pt idx="14">
                  <c:v>0.86078841059237254</c:v>
                </c:pt>
                <c:pt idx="15">
                  <c:v>0.88024906408802039</c:v>
                </c:pt>
                <c:pt idx="16">
                  <c:v>0.89564245204974147</c:v>
                </c:pt>
                <c:pt idx="17">
                  <c:v>0.90779274720349501</c:v>
                </c:pt>
                <c:pt idx="18">
                  <c:v>0.9173891134306047</c:v>
                </c:pt>
                <c:pt idx="19">
                  <c:v>0.92498676045758921</c:v>
                </c:pt>
                <c:pt idx="20">
                  <c:v>0.93102306743238405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3F-4768-8448-4082E61BA44F}"/>
            </c:ext>
          </c:extLst>
        </c:ser>
        <c:ser>
          <c:idx val="17"/>
          <c:order val="17"/>
          <c:tx>
            <c:v>0.85</c:v>
          </c:tx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Page'!$D$126:$X$126</c:f>
              <c:numCache>
                <c:formatCode>0.00</c:formatCode>
                <c:ptCount val="21"/>
                <c:pt idx="0">
                  <c:v>0.2594042269093389</c:v>
                </c:pt>
                <c:pt idx="1">
                  <c:v>0.29462322967383447</c:v>
                </c:pt>
                <c:pt idx="2">
                  <c:v>0.33639519341364349</c:v>
                </c:pt>
                <c:pt idx="3">
                  <c:v>0.38477282359083737</c:v>
                </c:pt>
                <c:pt idx="4">
                  <c:v>0.4390893887498995</c:v>
                </c:pt>
                <c:pt idx="5">
                  <c:v>0.4978014633361702</c:v>
                </c:pt>
                <c:pt idx="6">
                  <c:v>0.55855379643528447</c:v>
                </c:pt>
                <c:pt idx="7">
                  <c:v>0.6185299038339358</c:v>
                </c:pt>
                <c:pt idx="8">
                  <c:v>0.67500128935070414</c:v>
                </c:pt>
                <c:pt idx="9">
                  <c:v>0.72585617629663812</c:v>
                </c:pt>
                <c:pt idx="10">
                  <c:v>0.76989565508910252</c:v>
                </c:pt>
                <c:pt idx="11">
                  <c:v>0.80682883462138932</c:v>
                </c:pt>
                <c:pt idx="12">
                  <c:v>0.83705302745248267</c:v>
                </c:pt>
                <c:pt idx="13">
                  <c:v>0.86136387072648046</c:v>
                </c:pt>
                <c:pt idx="14">
                  <c:v>0.88070519367756583</c:v>
                </c:pt>
                <c:pt idx="15">
                  <c:v>0.89600264743575453</c:v>
                </c:pt>
                <c:pt idx="16">
                  <c:v>0.90807704496230168</c:v>
                </c:pt>
                <c:pt idx="17">
                  <c:v>0.91761389153484252</c:v>
                </c:pt>
                <c:pt idx="18">
                  <c:v>0.92516503149797924</c:v>
                </c:pt>
                <c:pt idx="19">
                  <c:v>0.93116500045498152</c:v>
                </c:pt>
                <c:pt idx="20">
                  <c:v>0.93595176473017028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D3F-4768-8448-4082E61BA44F}"/>
            </c:ext>
          </c:extLst>
        </c:ser>
        <c:ser>
          <c:idx val="18"/>
          <c:order val="18"/>
          <c:tx>
            <c:v>0.9</c:v>
          </c:tx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Page'!$D$127:$X$127</c:f>
              <c:numCache>
                <c:formatCode>0.00</c:formatCode>
                <c:ptCount val="21"/>
                <c:pt idx="0">
                  <c:v>0.29564339419937125</c:v>
                </c:pt>
                <c:pt idx="1">
                  <c:v>0.33759224890192741</c:v>
                </c:pt>
                <c:pt idx="2">
                  <c:v>0.38613940005273389</c:v>
                </c:pt>
                <c:pt idx="3">
                  <c:v>0.44059621927088544</c:v>
                </c:pt>
                <c:pt idx="4">
                  <c:v>0.49939571998673143</c:v>
                </c:pt>
                <c:pt idx="5">
                  <c:v>0.56016470122828277</c:v>
                </c:pt>
                <c:pt idx="6">
                  <c:v>0.62008147297854455</c:v>
                </c:pt>
                <c:pt idx="7">
                  <c:v>0.67642770266097718</c:v>
                </c:pt>
                <c:pt idx="8">
                  <c:v>0.72711330783370565</c:v>
                </c:pt>
                <c:pt idx="9">
                  <c:v>0.77096472460212573</c:v>
                </c:pt>
                <c:pt idx="10">
                  <c:v>0.80771274287651773</c:v>
                </c:pt>
                <c:pt idx="11">
                  <c:v>0.83776896528002032</c:v>
                </c:pt>
                <c:pt idx="12">
                  <c:v>0.86193584805233403</c:v>
                </c:pt>
                <c:pt idx="13">
                  <c:v>0.88115849435735705</c:v>
                </c:pt>
                <c:pt idx="14">
                  <c:v>0.8963605910309671</c:v>
                </c:pt>
                <c:pt idx="15">
                  <c:v>0.90835957135938661</c:v>
                </c:pt>
                <c:pt idx="16">
                  <c:v>0.91783728418546306</c:v>
                </c:pt>
                <c:pt idx="17">
                  <c:v>0.9253422205224886</c:v>
                </c:pt>
                <c:pt idx="18">
                  <c:v>0.93130608725578856</c:v>
                </c:pt>
                <c:pt idx="19">
                  <c:v>0.93606457488894057</c:v>
                </c:pt>
                <c:pt idx="20">
                  <c:v>0.93987726384771675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3F-4768-8448-4082E61BA44F}"/>
            </c:ext>
          </c:extLst>
        </c:ser>
        <c:ser>
          <c:idx val="19"/>
          <c:order val="19"/>
          <c:tx>
            <c:v>0.95</c:v>
          </c:tx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Page'!$D$128:$X$128</c:f>
              <c:numCache>
                <c:formatCode>0.00</c:formatCode>
                <c:ptCount val="21"/>
                <c:pt idx="0">
                  <c:v>0.33879397402371964</c:v>
                </c:pt>
                <c:pt idx="1">
                  <c:v>0.3875101733597095</c:v>
                </c:pt>
                <c:pt idx="2">
                  <c:v>0.44210614429466338</c:v>
                </c:pt>
                <c:pt idx="3">
                  <c:v>0.50099138548639799</c:v>
                </c:pt>
                <c:pt idx="4">
                  <c:v>0.56177500221109411</c:v>
                </c:pt>
                <c:pt idx="5">
                  <c:v>0.62163049979734464</c:v>
                </c:pt>
                <c:pt idx="6">
                  <c:v>0.67785009080062786</c:v>
                </c:pt>
                <c:pt idx="7">
                  <c:v>0.72836559288121394</c:v>
                </c:pt>
                <c:pt idx="8">
                  <c:v>0.77202877317234575</c:v>
                </c:pt>
                <c:pt idx="9">
                  <c:v>0.80859193659707207</c:v>
                </c:pt>
                <c:pt idx="10">
                  <c:v>0.8384807660263166</c:v>
                </c:pt>
                <c:pt idx="11">
                  <c:v>0.8625043604828263</c:v>
                </c:pt>
                <c:pt idx="12">
                  <c:v>0.88160898255546938</c:v>
                </c:pt>
                <c:pt idx="13">
                  <c:v>0.89671629682851284</c:v>
                </c:pt>
                <c:pt idx="14">
                  <c:v>0.90864033779190034</c:v>
                </c:pt>
                <c:pt idx="15">
                  <c:v>0.91805930041670769</c:v>
                </c:pt>
                <c:pt idx="16">
                  <c:v>0.92551833458108645</c:v>
                </c:pt>
                <c:pt idx="17">
                  <c:v>0.93144633329286508</c:v>
                </c:pt>
                <c:pt idx="18">
                  <c:v>0.9361767252986618</c:v>
                </c:pt>
                <c:pt idx="19">
                  <c:v>0.93996732170253439</c:v>
                </c:pt>
                <c:pt idx="20">
                  <c:v>0.94301726587553236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D3F-4768-8448-4082E61BA44F}"/>
            </c:ext>
          </c:extLst>
        </c:ser>
        <c:ser>
          <c:idx val="20"/>
          <c:order val="20"/>
          <c:tx>
            <c:v>1</c:v>
          </c:tx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cat>
            <c:numRef>
              <c:f>'Main Page'!$D$130:$X$130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'Main Page'!$D$129:$X$129</c:f>
              <c:numCache>
                <c:formatCode>0.00</c:formatCode>
                <c:ptCount val="21"/>
                <c:pt idx="0">
                  <c:v>0.38888512266386005</c:v>
                </c:pt>
                <c:pt idx="1">
                  <c:v>0.44361912603075115</c:v>
                </c:pt>
                <c:pt idx="2">
                  <c:v>0.50258840918595182</c:v>
                </c:pt>
                <c:pt idx="3">
                  <c:v>0.56338464520439946</c:v>
                </c:pt>
                <c:pt idx="4">
                  <c:v>0.62317693776168492</c:v>
                </c:pt>
                <c:pt idx="5">
                  <c:v>0.67926842310121072</c:v>
                </c:pt>
                <c:pt idx="6">
                  <c:v>0.72961301897992481</c:v>
                </c:pt>
                <c:pt idx="7">
                  <c:v>0.7730878036352169</c:v>
                </c:pt>
                <c:pt idx="8">
                  <c:v>0.80946642847606121</c:v>
                </c:pt>
                <c:pt idx="9">
                  <c:v>0.83918844691472561</c:v>
                </c:pt>
                <c:pt idx="10">
                  <c:v>0.8630694259136007</c:v>
                </c:pt>
                <c:pt idx="11">
                  <c:v>0.88205667464322413</c:v>
                </c:pt>
                <c:pt idx="12">
                  <c:v>0.89706977875239524</c:v>
                </c:pt>
                <c:pt idx="13">
                  <c:v>0.90891935559035997</c:v>
                </c:pt>
                <c:pt idx="14">
                  <c:v>0.91827994920513012</c:v>
                </c:pt>
                <c:pt idx="15">
                  <c:v>0.92569338067664819</c:v>
                </c:pt>
                <c:pt idx="16">
                  <c:v>0.9315857439871077</c:v>
                </c:pt>
                <c:pt idx="17">
                  <c:v>0.93628822014486579</c:v>
                </c:pt>
                <c:pt idx="18">
                  <c:v>0.94005686283412626</c:v>
                </c:pt>
                <c:pt idx="19">
                  <c:v>0.94308946170650843</c:v>
                </c:pt>
                <c:pt idx="20">
                  <c:v>0.94553910870449531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3F-4768-8448-4082E61BA44F}"/>
            </c:ext>
          </c:extLst>
        </c:ser>
        <c:bandFmts>
          <c:bandFmt>
            <c:idx val="0"/>
            <c:spPr>
              <a:solidFill>
                <a:schemeClr val="accent1">
                  <a:shade val="32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1">
                  <a:shade val="35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1">
                  <a:shade val="38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1">
                  <a:shade val="40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1">
                  <a:shade val="43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>
                  <a:shade val="46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shade val="48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>
                  <a:shade val="51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>
                  <a:shade val="54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>
                  <a:shade val="56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>
                  <a:shade val="59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>
                  <a:shade val="6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shade val="65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>
                  <a:shade val="67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>
                  <a:shade val="70000"/>
                </a:schemeClr>
              </a:solidFill>
              <a:ln/>
              <a:effectLst/>
              <a:sp3d prstMaterial="flat"/>
            </c:spPr>
          </c:bandFmt>
          <c:bandFmt>
            <c:idx val="15"/>
            <c:spPr>
              <a:solidFill>
                <a:schemeClr val="accent1">
                  <a:shade val="73000"/>
                </a:schemeClr>
              </a:solidFill>
              <a:ln/>
              <a:effectLst/>
              <a:sp3d prstMaterial="flat"/>
            </c:spPr>
          </c:bandFmt>
          <c:bandFmt>
            <c:idx val="16"/>
            <c:spPr>
              <a:solidFill>
                <a:schemeClr val="accent1">
                  <a:shade val="75000"/>
                </a:schemeClr>
              </a:solidFill>
              <a:ln/>
              <a:effectLst/>
              <a:sp3d prstMaterial="flat"/>
            </c:spPr>
          </c:bandFmt>
          <c:bandFmt>
            <c:idx val="17"/>
            <c:spPr>
              <a:solidFill>
                <a:schemeClr val="accent1">
                  <a:shade val="78000"/>
                </a:schemeClr>
              </a:solidFill>
              <a:ln/>
              <a:effectLst/>
              <a:sp3d prstMaterial="flat"/>
            </c:spPr>
          </c:bandFmt>
          <c:bandFmt>
            <c:idx val="18"/>
            <c:spPr>
              <a:solidFill>
                <a:schemeClr val="accent1">
                  <a:shade val="81000"/>
                </a:schemeClr>
              </a:solidFill>
              <a:ln/>
              <a:effectLst/>
              <a:sp3d prstMaterial="flat"/>
            </c:spPr>
          </c:bandFmt>
          <c:bandFmt>
            <c:idx val="19"/>
            <c:spPr>
              <a:solidFill>
                <a:schemeClr val="accent1">
                  <a:shade val="83000"/>
                </a:schemeClr>
              </a:solidFill>
              <a:ln/>
              <a:effectLst/>
              <a:sp3d prstMaterial="flat"/>
            </c:spPr>
          </c:bandFmt>
          <c:bandFmt>
            <c:idx val="20"/>
            <c:spPr>
              <a:solidFill>
                <a:schemeClr val="accent1">
                  <a:shade val="86000"/>
                </a:schemeClr>
              </a:solidFill>
              <a:ln/>
              <a:effectLst/>
              <a:sp3d prstMaterial="flat"/>
            </c:spPr>
          </c:bandFmt>
          <c:bandFmt>
            <c:idx val="21"/>
            <c:spPr>
              <a:solidFill>
                <a:schemeClr val="accent1">
                  <a:shade val="89000"/>
                </a:schemeClr>
              </a:solidFill>
              <a:ln/>
              <a:effectLst/>
              <a:sp3d prstMaterial="flat"/>
            </c:spPr>
          </c:bandFmt>
          <c:bandFmt>
            <c:idx val="22"/>
            <c:spPr>
              <a:solidFill>
                <a:schemeClr val="accent1">
                  <a:shade val="91000"/>
                </a:schemeClr>
              </a:solidFill>
              <a:ln/>
              <a:effectLst/>
              <a:sp3d prstMaterial="flat"/>
            </c:spPr>
          </c:bandFmt>
          <c:bandFmt>
            <c:idx val="23"/>
            <c:spPr>
              <a:solidFill>
                <a:schemeClr val="accent1">
                  <a:shade val="94000"/>
                </a:schemeClr>
              </a:solidFill>
              <a:ln/>
              <a:effectLst/>
              <a:sp3d prstMaterial="flat"/>
            </c:spPr>
          </c:bandFmt>
          <c:bandFmt>
            <c:idx val="24"/>
            <c:spPr>
              <a:solidFill>
                <a:schemeClr val="accent1">
                  <a:shade val="97000"/>
                </a:schemeClr>
              </a:solidFill>
              <a:ln/>
              <a:effectLst/>
              <a:sp3d prstMaterial="flat"/>
            </c:spPr>
          </c:bandFmt>
          <c:bandFmt>
            <c:idx val="25"/>
            <c:spPr>
              <a:solidFill>
                <a:schemeClr val="accent1"/>
              </a:solidFill>
              <a:ln/>
              <a:effectLst/>
              <a:sp3d prstMaterial="flat"/>
            </c:spPr>
          </c:bandFmt>
          <c:bandFmt>
            <c:idx val="26"/>
            <c:spPr>
              <a:solidFill>
                <a:schemeClr val="accent1">
                  <a:tint val="98000"/>
                </a:schemeClr>
              </a:solidFill>
              <a:ln/>
              <a:effectLst/>
              <a:sp3d prstMaterial="flat"/>
            </c:spPr>
          </c:bandFmt>
          <c:bandFmt>
            <c:idx val="27"/>
            <c:spPr>
              <a:solidFill>
                <a:schemeClr val="accent1">
                  <a:tint val="95000"/>
                </a:schemeClr>
              </a:solidFill>
              <a:ln/>
              <a:effectLst/>
              <a:sp3d prstMaterial="flat"/>
            </c:spPr>
          </c:bandFmt>
          <c:bandFmt>
            <c:idx val="28"/>
            <c:spPr>
              <a:solidFill>
                <a:schemeClr val="accent1">
                  <a:tint val="92000"/>
                </a:schemeClr>
              </a:solidFill>
              <a:ln/>
              <a:effectLst/>
              <a:sp3d prstMaterial="flat"/>
            </c:spPr>
          </c:bandFmt>
          <c:bandFmt>
            <c:idx val="29"/>
            <c:spPr>
              <a:solidFill>
                <a:schemeClr val="accent1">
                  <a:tint val="90000"/>
                </a:schemeClr>
              </a:solidFill>
              <a:ln/>
              <a:effectLst/>
              <a:sp3d prstMaterial="flat"/>
            </c:spPr>
          </c:bandFmt>
          <c:bandFmt>
            <c:idx val="30"/>
            <c:spPr>
              <a:solidFill>
                <a:schemeClr val="accent1">
                  <a:tint val="87000"/>
                </a:schemeClr>
              </a:solidFill>
              <a:ln/>
              <a:effectLst/>
              <a:sp3d prstMaterial="flat"/>
            </c:spPr>
          </c:bandFmt>
          <c:bandFmt>
            <c:idx val="31"/>
            <c:spPr>
              <a:solidFill>
                <a:schemeClr val="accent1">
                  <a:tint val="84000"/>
                </a:schemeClr>
              </a:solidFill>
              <a:ln/>
              <a:effectLst/>
              <a:sp3d prstMaterial="flat"/>
            </c:spPr>
          </c:bandFmt>
          <c:bandFmt>
            <c:idx val="32"/>
            <c:spPr>
              <a:solidFill>
                <a:schemeClr val="accent1">
                  <a:tint val="82000"/>
                </a:schemeClr>
              </a:solidFill>
              <a:ln/>
              <a:effectLst/>
              <a:sp3d prstMaterial="flat"/>
            </c:spPr>
          </c:bandFmt>
          <c:bandFmt>
            <c:idx val="33"/>
            <c:spPr>
              <a:solidFill>
                <a:schemeClr val="accent1">
                  <a:tint val="79000"/>
                </a:schemeClr>
              </a:solidFill>
              <a:ln/>
              <a:effectLst/>
              <a:sp3d prstMaterial="flat"/>
            </c:spPr>
          </c:bandFmt>
          <c:bandFmt>
            <c:idx val="34"/>
            <c:spPr>
              <a:solidFill>
                <a:schemeClr val="accent1">
                  <a:tint val="76000"/>
                </a:schemeClr>
              </a:solidFill>
              <a:ln/>
              <a:effectLst/>
              <a:sp3d prstMaterial="flat"/>
            </c:spPr>
          </c:bandFmt>
          <c:bandFmt>
            <c:idx val="35"/>
            <c:spPr>
              <a:solidFill>
                <a:schemeClr val="accent1">
                  <a:tint val="74000"/>
                </a:schemeClr>
              </a:solidFill>
              <a:ln/>
              <a:effectLst/>
              <a:sp3d prstMaterial="flat"/>
            </c:spPr>
          </c:bandFmt>
          <c:bandFmt>
            <c:idx val="36"/>
            <c:spPr>
              <a:solidFill>
                <a:schemeClr val="accent1">
                  <a:tint val="71000"/>
                </a:schemeClr>
              </a:solidFill>
              <a:ln/>
              <a:effectLst/>
              <a:sp3d prstMaterial="flat"/>
            </c:spPr>
          </c:bandFmt>
          <c:bandFmt>
            <c:idx val="37"/>
            <c:spPr>
              <a:solidFill>
                <a:schemeClr val="accent1">
                  <a:tint val="68000"/>
                </a:schemeClr>
              </a:solidFill>
              <a:ln/>
              <a:effectLst/>
              <a:sp3d prstMaterial="flat"/>
            </c:spPr>
          </c:bandFmt>
          <c:bandFmt>
            <c:idx val="38"/>
            <c:spPr>
              <a:solidFill>
                <a:schemeClr val="accent1">
                  <a:tint val="65000"/>
                </a:schemeClr>
              </a:solidFill>
              <a:ln/>
              <a:effectLst/>
              <a:sp3d prstMaterial="flat"/>
            </c:spPr>
          </c:bandFmt>
          <c:bandFmt>
            <c:idx val="39"/>
            <c:spPr>
              <a:solidFill>
                <a:schemeClr val="accent1">
                  <a:tint val="63000"/>
                </a:schemeClr>
              </a:solidFill>
              <a:ln/>
              <a:effectLst/>
              <a:sp3d prstMaterial="flat"/>
            </c:spPr>
          </c:bandFmt>
          <c:bandFmt>
            <c:idx val="40"/>
            <c:spPr>
              <a:solidFill>
                <a:schemeClr val="accent1">
                  <a:tint val="60000"/>
                </a:schemeClr>
              </a:solidFill>
              <a:ln/>
              <a:effectLst/>
              <a:sp3d prstMaterial="flat"/>
            </c:spPr>
          </c:bandFmt>
          <c:bandFmt>
            <c:idx val="41"/>
            <c:spPr>
              <a:solidFill>
                <a:schemeClr val="accent1">
                  <a:tint val="57000"/>
                </a:schemeClr>
              </a:solidFill>
              <a:ln/>
              <a:effectLst/>
              <a:sp3d prstMaterial="flat"/>
            </c:spPr>
          </c:bandFmt>
          <c:bandFmt>
            <c:idx val="42"/>
            <c:spPr>
              <a:solidFill>
                <a:schemeClr val="accent1">
                  <a:tint val="55000"/>
                </a:schemeClr>
              </a:solidFill>
              <a:ln/>
              <a:effectLst/>
              <a:sp3d prstMaterial="flat"/>
            </c:spPr>
          </c:bandFmt>
          <c:bandFmt>
            <c:idx val="43"/>
            <c:spPr>
              <a:solidFill>
                <a:schemeClr val="accent1">
                  <a:tint val="52000"/>
                </a:schemeClr>
              </a:solidFill>
              <a:ln/>
              <a:effectLst/>
              <a:sp3d prstMaterial="flat"/>
            </c:spPr>
          </c:bandFmt>
          <c:bandFmt>
            <c:idx val="44"/>
            <c:spPr>
              <a:solidFill>
                <a:schemeClr val="accent1">
                  <a:tint val="49000"/>
                </a:schemeClr>
              </a:solidFill>
              <a:ln/>
              <a:effectLst/>
              <a:sp3d prstMaterial="flat"/>
            </c:spPr>
          </c:bandFmt>
          <c:bandFmt>
            <c:idx val="45"/>
            <c:spPr>
              <a:solidFill>
                <a:schemeClr val="accent1">
                  <a:tint val="47000"/>
                </a:schemeClr>
              </a:solidFill>
              <a:ln/>
              <a:effectLst/>
              <a:sp3d prstMaterial="flat"/>
            </c:spPr>
          </c:bandFmt>
          <c:bandFmt>
            <c:idx val="46"/>
            <c:spPr>
              <a:solidFill>
                <a:schemeClr val="accent1">
                  <a:tint val="44000"/>
                </a:schemeClr>
              </a:solidFill>
              <a:ln/>
              <a:effectLst/>
              <a:sp3d prstMaterial="flat"/>
            </c:spPr>
          </c:bandFmt>
          <c:bandFmt>
            <c:idx val="47"/>
            <c:spPr>
              <a:solidFill>
                <a:schemeClr val="accent1">
                  <a:tint val="41000"/>
                </a:schemeClr>
              </a:solidFill>
              <a:ln/>
              <a:effectLst/>
              <a:sp3d prstMaterial="flat"/>
            </c:spPr>
          </c:bandFmt>
          <c:bandFmt>
            <c:idx val="48"/>
            <c:spPr>
              <a:solidFill>
                <a:schemeClr val="accent1">
                  <a:tint val="39000"/>
                </a:schemeClr>
              </a:solidFill>
              <a:ln/>
              <a:effectLst/>
              <a:sp3d prstMaterial="flat"/>
            </c:spPr>
          </c:bandFmt>
          <c:bandFmt>
            <c:idx val="49"/>
            <c:spPr>
              <a:solidFill>
                <a:schemeClr val="accent1">
                  <a:tint val="36000"/>
                </a:schemeClr>
              </a:solidFill>
              <a:ln/>
              <a:effectLst/>
              <a:sp3d prstMaterial="flat"/>
            </c:spPr>
          </c:bandFmt>
        </c:bandFmts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x2 </a:t>
                </a:r>
              </a:p>
            </c:rich>
          </c:tx>
          <c:layout>
            <c:manualLayout>
              <c:xMode val="edge"/>
              <c:yMode val="edge"/>
              <c:x val="0.90299194626750301"/>
              <c:y val="0.4482324094020686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5"/>
      <c:rotY val="3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1686639660913157E-2"/>
          <c:y val="9.6625275438948457E-2"/>
          <c:w val="0.85228397592545235"/>
          <c:h val="0.78334631809254918"/>
        </c:manualLayout>
      </c:layout>
      <c:surface3DChart>
        <c:wireframe val="0"/>
        <c:ser>
          <c:idx val="0"/>
          <c:order val="0"/>
          <c:spPr>
            <a:solidFill>
              <a:schemeClr val="accent4">
                <a:tint val="37000"/>
              </a:schemeClr>
            </a:solidFill>
            <a:ln/>
            <a:effectLst/>
            <a:sp3d prstMaterial="flat"/>
          </c:spPr>
          <c:val>
            <c:numRef>
              <c:f>'Main Page'!$D$109:$X$109</c:f>
              <c:numCache>
                <c:formatCode>0.00</c:formatCode>
                <c:ptCount val="21"/>
                <c:pt idx="0">
                  <c:v>0.10702291363925941</c:v>
                </c:pt>
                <c:pt idx="1">
                  <c:v>0.10805745517395057</c:v>
                </c:pt>
                <c:pt idx="2">
                  <c:v>0.10931294672281984</c:v>
                </c:pt>
                <c:pt idx="3">
                  <c:v>0.11083795854139794</c:v>
                </c:pt>
                <c:pt idx="4">
                  <c:v>0.11269231245849111</c:v>
                </c:pt>
                <c:pt idx="5">
                  <c:v>0.11494990487049529</c:v>
                </c:pt>
                <c:pt idx="6">
                  <c:v>0.11770230168864945</c:v>
                </c:pt>
                <c:pt idx="7">
                  <c:v>0.12106332067868854</c:v>
                </c:pt>
                <c:pt idx="8">
                  <c:v>0.12517486223246249</c:v>
                </c:pt>
                <c:pt idx="9">
                  <c:v>0.13021428533131105</c:v>
                </c:pt>
                <c:pt idx="10">
                  <c:v>0.13640362501151959</c:v>
                </c:pt>
                <c:pt idx="11">
                  <c:v>0.14402085753494331</c:v>
                </c:pt>
                <c:pt idx="12">
                  <c:v>0.15341313857048322</c:v>
                </c:pt>
                <c:pt idx="13">
                  <c:v>0.16501129029944137</c:v>
                </c:pt>
                <c:pt idx="14">
                  <c:v>0.17934351127744436</c:v>
                </c:pt>
                <c:pt idx="15">
                  <c:v>0.19704393814349122</c:v>
                </c:pt>
                <c:pt idx="16">
                  <c:v>0.21884792320914076</c:v>
                </c:pt>
                <c:pt idx="17">
                  <c:v>0.24556075689744819</c:v>
                </c:pt>
                <c:pt idx="18">
                  <c:v>0.27798150152140461</c:v>
                </c:pt>
                <c:pt idx="19">
                  <c:v>0.31676298766705835</c:v>
                </c:pt>
                <c:pt idx="20">
                  <c:v>0.36220117671342794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9-44E6-8147-7424CDB1CF7D}"/>
            </c:ext>
          </c:extLst>
        </c:ser>
        <c:ser>
          <c:idx val="1"/>
          <c:order val="1"/>
          <c:spPr>
            <a:solidFill>
              <a:schemeClr val="accent4">
                <a:tint val="43000"/>
              </a:schemeClr>
            </a:solidFill>
            <a:ln/>
            <a:effectLst/>
            <a:sp3d prstMaterial="flat"/>
          </c:spPr>
          <c:val>
            <c:numRef>
              <c:f>'Main Page'!$D$110:$X$110</c:f>
              <c:numCache>
                <c:formatCode>0.00</c:formatCode>
                <c:ptCount val="21"/>
                <c:pt idx="0">
                  <c:v>0.10808765955250423</c:v>
                </c:pt>
                <c:pt idx="1">
                  <c:v>0.1093496175714285</c:v>
                </c:pt>
                <c:pt idx="2">
                  <c:v>0.11088252389165197</c:v>
                </c:pt>
                <c:pt idx="3">
                  <c:v>0.112746533651862</c:v>
                </c:pt>
                <c:pt idx="4">
                  <c:v>0.11501596095122323</c:v>
                </c:pt>
                <c:pt idx="5">
                  <c:v>0.117782896962421</c:v>
                </c:pt>
                <c:pt idx="6">
                  <c:v>0.12116182177078347</c:v>
                </c:pt>
                <c:pt idx="7">
                  <c:v>0.12529547212818715</c:v>
                </c:pt>
                <c:pt idx="8">
                  <c:v>0.13036226249836164</c:v>
                </c:pt>
                <c:pt idx="9">
                  <c:v>0.13658555479382767</c:v>
                </c:pt>
                <c:pt idx="10">
                  <c:v>0.14424497861699914</c:v>
                </c:pt>
                <c:pt idx="11">
                  <c:v>0.15368971586434674</c:v>
                </c:pt>
                <c:pt idx="12">
                  <c:v>0.16535300105928413</c:v>
                </c:pt>
                <c:pt idx="13">
                  <c:v>0.17976576448178627</c:v>
                </c:pt>
                <c:pt idx="14">
                  <c:v>0.19756496706624593</c:v>
                </c:pt>
                <c:pt idx="15">
                  <c:v>0.21948837060541027</c:v>
                </c:pt>
                <c:pt idx="16">
                  <c:v>0.24634232584042173</c:v>
                </c:pt>
                <c:pt idx="17">
                  <c:v>0.27892414324723702</c:v>
                </c:pt>
                <c:pt idx="18">
                  <c:v>0.31788021043519804</c:v>
                </c:pt>
                <c:pt idx="19">
                  <c:v>0.3634936491047755</c:v>
                </c:pt>
                <c:pt idx="20">
                  <c:v>0.41543012427435583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9-44E6-8147-7424CDB1CF7D}"/>
            </c:ext>
          </c:extLst>
        </c:ser>
        <c:ser>
          <c:idx val="2"/>
          <c:order val="2"/>
          <c:spPr>
            <a:solidFill>
              <a:schemeClr val="accent4">
                <a:tint val="50000"/>
              </a:schemeClr>
            </a:solidFill>
            <a:ln/>
            <a:effectLst/>
            <a:sp3d prstMaterial="flat"/>
          </c:spPr>
          <c:val>
            <c:numRef>
              <c:f>'Main Page'!$D$111:$X$111</c:f>
              <c:numCache>
                <c:formatCode>0.00</c:formatCode>
                <c:ptCount val="21"/>
                <c:pt idx="0">
                  <c:v>0.10938647774645144</c:v>
                </c:pt>
                <c:pt idx="1">
                  <c:v>0.11092732058314421</c:v>
                </c:pt>
                <c:pt idx="2">
                  <c:v>0.11280103808420021</c:v>
                </c:pt>
                <c:pt idx="3">
                  <c:v>0.11508236457585976</c:v>
                </c:pt>
                <c:pt idx="4">
                  <c:v>0.11786391971059589</c:v>
                </c:pt>
                <c:pt idx="5">
                  <c:v>0.12126084999004159</c:v>
                </c:pt>
                <c:pt idx="6">
                  <c:v>0.12541673371165987</c:v>
                </c:pt>
                <c:pt idx="7">
                  <c:v>0.1305110473080921</c:v>
                </c:pt>
                <c:pt idx="8">
                  <c:v>0.1367684875078361</c:v>
                </c:pt>
                <c:pt idx="9">
                  <c:v>0.14447034660743349</c:v>
                </c:pt>
                <c:pt idx="10">
                  <c:v>0.15396784301109548</c:v>
                </c:pt>
                <c:pt idx="11">
                  <c:v>0.16569663339894861</c:v>
                </c:pt>
                <c:pt idx="12">
                  <c:v>0.18019038608948115</c:v>
                </c:pt>
                <c:pt idx="13">
                  <c:v>0.19808888342629627</c:v>
                </c:pt>
                <c:pt idx="14">
                  <c:v>0.22013227520373696</c:v>
                </c:pt>
                <c:pt idx="15">
                  <c:v>0.24712791924736077</c:v>
                </c:pt>
                <c:pt idx="16">
                  <c:v>0.27987127525834365</c:v>
                </c:pt>
                <c:pt idx="17">
                  <c:v>0.31900213750400974</c:v>
                </c:pt>
                <c:pt idx="18">
                  <c:v>0.36479060486220755</c:v>
                </c:pt>
                <c:pt idx="19">
                  <c:v>0.41688265524432427</c:v>
                </c:pt>
                <c:pt idx="20">
                  <c:v>0.47409033101078601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59-44E6-8147-7424CDB1CF7D}"/>
            </c:ext>
          </c:extLst>
        </c:ser>
        <c:ser>
          <c:idx val="3"/>
          <c:order val="3"/>
          <c:spPr>
            <a:solidFill>
              <a:schemeClr val="accent4">
                <a:tint val="56000"/>
              </a:schemeClr>
            </a:solidFill>
            <a:ln/>
            <a:effectLst/>
            <a:sp3d prstMaterial="flat"/>
          </c:spPr>
          <c:val>
            <c:numRef>
              <c:f>'Main Page'!$D$112:$X$112</c:f>
              <c:numCache>
                <c:formatCode>0.00</c:formatCode>
                <c:ptCount val="21"/>
                <c:pt idx="0">
                  <c:v>0.11097234985289632</c:v>
                </c:pt>
                <c:pt idx="1">
                  <c:v>0.11285582728582888</c:v>
                </c:pt>
                <c:pt idx="2">
                  <c:v>0.11514911764356187</c:v>
                </c:pt>
                <c:pt idx="3">
                  <c:v>0.11794537229744083</c:v>
                </c:pt>
                <c:pt idx="4">
                  <c:v>0.12136040828815171</c:v>
                </c:pt>
                <c:pt idx="5">
                  <c:v>0.1255386506761054</c:v>
                </c:pt>
                <c:pt idx="6">
                  <c:v>0.13066064438637207</c:v>
                </c:pt>
                <c:pt idx="7">
                  <c:v>0.13695242894239151</c:v>
                </c:pt>
                <c:pt idx="8">
                  <c:v>0.14469696872199897</c:v>
                </c:pt>
                <c:pt idx="9">
                  <c:v>0.15424752892829577</c:v>
                </c:pt>
                <c:pt idx="10">
                  <c:v>0.16604219816846874</c:v>
                </c:pt>
                <c:pt idx="11">
                  <c:v>0.18061738895782509</c:v>
                </c:pt>
                <c:pt idx="12">
                  <c:v>0.19861570180969382</c:v>
                </c:pt>
                <c:pt idx="13">
                  <c:v>0.22077965238313843</c:v>
                </c:pt>
                <c:pt idx="14">
                  <c:v>0.24791755131400964</c:v>
                </c:pt>
                <c:pt idx="15">
                  <c:v>0.28082290723598236</c:v>
                </c:pt>
                <c:pt idx="16">
                  <c:v>0.32012876945072621</c:v>
                </c:pt>
                <c:pt idx="17">
                  <c:v>0.36609203060524786</c:v>
                </c:pt>
                <c:pt idx="18">
                  <c:v>0.41833882633924424</c:v>
                </c:pt>
                <c:pt idx="19">
                  <c:v>0.47565755466648513</c:v>
                </c:pt>
                <c:pt idx="20">
                  <c:v>0.5359681457541543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59-44E6-8147-7424CDB1CF7D}"/>
            </c:ext>
          </c:extLst>
        </c:ser>
        <c:ser>
          <c:idx val="4"/>
          <c:order val="4"/>
          <c:spPr>
            <a:solidFill>
              <a:schemeClr val="accent4">
                <a:tint val="62000"/>
              </a:schemeClr>
            </a:solidFill>
            <a:ln/>
            <a:effectLst/>
            <a:sp3d prstMaterial="flat"/>
          </c:spPr>
          <c:val>
            <c:numRef>
              <c:f>'Main Page'!$D$113:$X$113</c:f>
              <c:numCache>
                <c:formatCode>0.00</c:formatCode>
                <c:ptCount val="21"/>
                <c:pt idx="0">
                  <c:v>0.11291090279578328</c:v>
                </c:pt>
                <c:pt idx="1">
                  <c:v>0.11521622206445906</c:v>
                </c:pt>
                <c:pt idx="2">
                  <c:v>0.11802725710107324</c:v>
                </c:pt>
                <c:pt idx="3">
                  <c:v>0.12146049963429884</c:v>
                </c:pt>
                <c:pt idx="4">
                  <c:v>0.12566122673680899</c:v>
                </c:pt>
                <c:pt idx="5">
                  <c:v>0.13081105838672716</c:v>
                </c:pt>
                <c:pt idx="6">
                  <c:v>0.13713738492060459</c:v>
                </c:pt>
                <c:pt idx="7">
                  <c:v>0.14492485221800538</c:v>
                </c:pt>
                <c:pt idx="8">
                  <c:v>0.15452878258209432</c:v>
                </c:pt>
                <c:pt idx="9">
                  <c:v>0.16638970627110569</c:v>
                </c:pt>
                <c:pt idx="10">
                  <c:v>0.18104678599562099</c:v>
                </c:pt>
                <c:pt idx="11">
                  <c:v>0.1991454368392693</c:v>
                </c:pt>
                <c:pt idx="12">
                  <c:v>0.22143051752223353</c:v>
                </c:pt>
                <c:pt idx="13">
                  <c:v>0.24871123616583604</c:v>
                </c:pt>
                <c:pt idx="14">
                  <c:v>0.28177904868383019</c:v>
                </c:pt>
                <c:pt idx="15">
                  <c:v>0.32126010654287757</c:v>
                </c:pt>
                <c:pt idx="16">
                  <c:v>0.36739791252902831</c:v>
                </c:pt>
                <c:pt idx="17">
                  <c:v>0.41979860679103348</c:v>
                </c:pt>
                <c:pt idx="18">
                  <c:v>0.47722691468946288</c:v>
                </c:pt>
                <c:pt idx="19">
                  <c:v>0.53758180013540702</c:v>
                </c:pt>
                <c:pt idx="20">
                  <c:v>0.59814989876890301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59-44E6-8147-7424CDB1CF7D}"/>
            </c:ext>
          </c:extLst>
        </c:ser>
        <c:ser>
          <c:idx val="5"/>
          <c:order val="5"/>
          <c:spPr>
            <a:solidFill>
              <a:schemeClr val="accent4">
                <a:tint val="69000"/>
              </a:schemeClr>
            </a:solidFill>
            <a:ln/>
            <a:effectLst/>
            <a:sp3d prstMaterial="flat"/>
          </c:spPr>
          <c:val>
            <c:numRef>
              <c:f>'Main Page'!$D$114:$X$114</c:f>
              <c:numCache>
                <c:formatCode>0.00</c:formatCode>
                <c:ptCount val="21"/>
                <c:pt idx="0">
                  <c:v>0.11528367975972083</c:v>
                </c:pt>
                <c:pt idx="1">
                  <c:v>0.11810957651354709</c:v>
                </c:pt>
                <c:pt idx="2">
                  <c:v>0.12156112701527251</c:v>
                </c:pt>
                <c:pt idx="3">
                  <c:v>0.1257844656312512</c:v>
                </c:pt>
                <c:pt idx="4">
                  <c:v>0.13096229399050163</c:v>
                </c:pt>
                <c:pt idx="5">
                  <c:v>0.13732336130003703</c:v>
                </c:pt>
                <c:pt idx="6">
                  <c:v>0.14515400439451587</c:v>
                </c:pt>
                <c:pt idx="7">
                  <c:v>0.1548116129873848</c:v>
                </c:pt>
                <c:pt idx="8">
                  <c:v>0.16673916866340768</c:v>
                </c:pt>
                <c:pt idx="9">
                  <c:v>0.1814785901629937</c:v>
                </c:pt>
                <c:pt idx="10">
                  <c:v>0.19967810317398371</c:v>
                </c:pt>
                <c:pt idx="11">
                  <c:v>0.22208488599785697</c:v>
                </c:pt>
                <c:pt idx="12">
                  <c:v>0.24950898785566747</c:v>
                </c:pt>
                <c:pt idx="13">
                  <c:v>0.28273970892469075</c:v>
                </c:pt>
                <c:pt idx="14">
                  <c:v>0.32239614873477207</c:v>
                </c:pt>
                <c:pt idx="15">
                  <c:v>0.36870823640209172</c:v>
                </c:pt>
                <c:pt idx="16">
                  <c:v>0.42126196537999083</c:v>
                </c:pt>
                <c:pt idx="17">
                  <c:v>0.47879836467142128</c:v>
                </c:pt>
                <c:pt idx="18">
                  <c:v>0.53919561108681713</c:v>
                </c:pt>
                <c:pt idx="19">
                  <c:v>0.59973014204991937</c:v>
                </c:pt>
                <c:pt idx="20">
                  <c:v>0.65758217596994528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59-44E6-8147-7424CDB1CF7D}"/>
            </c:ext>
          </c:extLst>
        </c:ser>
        <c:ser>
          <c:idx val="6"/>
          <c:order val="6"/>
          <c:spPr>
            <a:solidFill>
              <a:schemeClr val="accent4">
                <a:tint val="75000"/>
              </a:schemeClr>
            </a:solidFill>
            <a:ln/>
            <a:effectLst/>
            <a:sp3d prstMaterial="flat"/>
          </c:spPr>
          <c:val>
            <c:numRef>
              <c:f>'Main Page'!$D$115:$X$115</c:f>
              <c:numCache>
                <c:formatCode>0.00</c:formatCode>
                <c:ptCount val="21"/>
                <c:pt idx="0">
                  <c:v>0.11819233294093956</c:v>
                </c:pt>
                <c:pt idx="1">
                  <c:v>0.12166229343557593</c:v>
                </c:pt>
                <c:pt idx="2">
                  <c:v>0.12590837111924294</c:v>
                </c:pt>
                <c:pt idx="3">
                  <c:v>0.13111435590702156</c:v>
                </c:pt>
                <c:pt idx="4">
                  <c:v>0.13751036397288854</c:v>
                </c:pt>
                <c:pt idx="5">
                  <c:v>0.14538443259254213</c:v>
                </c:pt>
                <c:pt idx="6">
                  <c:v>0.15509602920797241</c:v>
                </c:pt>
                <c:pt idx="7">
                  <c:v>0.16709059635526435</c:v>
                </c:pt>
                <c:pt idx="8">
                  <c:v>0.18191281447119359</c:v>
                </c:pt>
                <c:pt idx="9">
                  <c:v>0.20021371550826386</c:v>
                </c:pt>
                <c:pt idx="10">
                  <c:v>0.22274277318364602</c:v>
                </c:pt>
                <c:pt idx="11">
                  <c:v>0.25031082036129987</c:v>
                </c:pt>
                <c:pt idx="12">
                  <c:v>0.28370489709718116</c:v>
                </c:pt>
                <c:pt idx="13">
                  <c:v>0.32353689566398325</c:v>
                </c:pt>
                <c:pt idx="14">
                  <c:v>0.3700229875642605</c:v>
                </c:pt>
                <c:pt idx="15">
                  <c:v>0.42272887043597346</c:v>
                </c:pt>
                <c:pt idx="16">
                  <c:v>0.4803718578800833</c:v>
                </c:pt>
                <c:pt idx="17">
                  <c:v>0.54080952442714481</c:v>
                </c:pt>
                <c:pt idx="18">
                  <c:v>0.60130847569009804</c:v>
                </c:pt>
                <c:pt idx="19">
                  <c:v>0.65905432725631974</c:v>
                </c:pt>
                <c:pt idx="20">
                  <c:v>0.71171189161712534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59-44E6-8147-7424CDB1CF7D}"/>
            </c:ext>
          </c:extLst>
        </c:ser>
        <c:ser>
          <c:idx val="7"/>
          <c:order val="7"/>
          <c:spPr>
            <a:solidFill>
              <a:schemeClr val="accent4">
                <a:tint val="81000"/>
              </a:schemeClr>
            </a:solidFill>
            <a:ln/>
            <a:effectLst/>
            <a:sp3d prstMaterial="flat"/>
          </c:spPr>
          <c:val>
            <c:numRef>
              <c:f>'Main Page'!$D$116:$X$116</c:f>
              <c:numCache>
                <c:formatCode>0.00</c:formatCode>
                <c:ptCount val="21"/>
                <c:pt idx="0">
                  <c:v>0.12176400191753547</c:v>
                </c:pt>
                <c:pt idx="1">
                  <c:v>0.12603294698306175</c:v>
                </c:pt>
                <c:pt idx="2">
                  <c:v>0.13126724887375882</c:v>
                </c:pt>
                <c:pt idx="3">
                  <c:v>0.13769839886618493</c:v>
                </c:pt>
                <c:pt idx="4">
                  <c:v>0.14561614419523997</c:v>
                </c:pt>
                <c:pt idx="5">
                  <c:v>0.15538204035673742</c:v>
                </c:pt>
                <c:pt idx="6">
                  <c:v>0.16744400040995791</c:v>
                </c:pt>
                <c:pt idx="7">
                  <c:v>0.18234947198239224</c:v>
                </c:pt>
                <c:pt idx="8">
                  <c:v>0.20075228857132257</c:v>
                </c:pt>
                <c:pt idx="9">
                  <c:v>0.22340419444860643</c:v>
                </c:pt>
                <c:pt idx="10">
                  <c:v>0.25111674758307828</c:v>
                </c:pt>
                <c:pt idx="11">
                  <c:v>0.28467462215240524</c:v>
                </c:pt>
                <c:pt idx="12">
                  <c:v>0.32468234664785056</c:v>
                </c:pt>
                <c:pt idx="13">
                  <c:v>0.37134215092456713</c:v>
                </c:pt>
                <c:pt idx="14">
                  <c:v>0.42419928983969196</c:v>
                </c:pt>
                <c:pt idx="15">
                  <c:v>0.48194734726466348</c:v>
                </c:pt>
                <c:pt idx="16">
                  <c:v>0.54242348592240819</c:v>
                </c:pt>
                <c:pt idx="17">
                  <c:v>0.60288484935744391</c:v>
                </c:pt>
                <c:pt idx="18">
                  <c:v>0.66052285807899169</c:v>
                </c:pt>
                <c:pt idx="19">
                  <c:v>0.7130213784727073</c:v>
                </c:pt>
                <c:pt idx="20">
                  <c:v>0.75892843204205873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59-44E6-8147-7424CDB1CF7D}"/>
            </c:ext>
          </c:extLst>
        </c:ser>
        <c:ser>
          <c:idx val="8"/>
          <c:order val="8"/>
          <c:spPr>
            <a:solidFill>
              <a:schemeClr val="accent4">
                <a:tint val="88000"/>
              </a:schemeClr>
            </a:solidFill>
            <a:ln/>
            <a:effectLst/>
            <a:sp3d prstMaterial="flat"/>
          </c:spPr>
          <c:val>
            <c:numRef>
              <c:f>'Main Page'!$D$117:$X$117</c:f>
              <c:numCache>
                <c:formatCode>0.00</c:formatCode>
                <c:ptCount val="21"/>
                <c:pt idx="0">
                  <c:v>0.12615819702758835</c:v>
                </c:pt>
                <c:pt idx="1">
                  <c:v>0.13142097765649563</c:v>
                </c:pt>
                <c:pt idx="2">
                  <c:v>0.13788747194196621</c:v>
                </c:pt>
                <c:pt idx="3">
                  <c:v>0.14584914662810416</c:v>
                </c:pt>
                <c:pt idx="4">
                  <c:v>0.15566965559579635</c:v>
                </c:pt>
                <c:pt idx="5">
                  <c:v>0.16779939194420884</c:v>
                </c:pt>
                <c:pt idx="6">
                  <c:v>0.18278857580946836</c:v>
                </c:pt>
                <c:pt idx="7">
                  <c:v>0.20129383712646157</c:v>
                </c:pt>
                <c:pt idx="8">
                  <c:v>0.22406916515565425</c:v>
                </c:pt>
                <c:pt idx="9">
                  <c:v>0.25192678334145108</c:v>
                </c:pt>
                <c:pt idx="10">
                  <c:v>0.28564889285060485</c:v>
                </c:pt>
                <c:pt idx="11">
                  <c:v>0.32583250067999764</c:v>
                </c:pt>
                <c:pt idx="12">
                  <c:v>0.37266571095924927</c:v>
                </c:pt>
                <c:pt idx="13">
                  <c:v>0.42567319102410794</c:v>
                </c:pt>
                <c:pt idx="14">
                  <c:v>0.48352478546144695</c:v>
                </c:pt>
                <c:pt idx="15">
                  <c:v>0.5440374412939557</c:v>
                </c:pt>
                <c:pt idx="16">
                  <c:v>0.60445921297239391</c:v>
                </c:pt>
                <c:pt idx="17">
                  <c:v>0.6619877321765798</c:v>
                </c:pt>
                <c:pt idx="18">
                  <c:v>0.7143261868591968</c:v>
                </c:pt>
                <c:pt idx="19">
                  <c:v>0.76004779032022662</c:v>
                </c:pt>
                <c:pt idx="20">
                  <c:v>0.79865950787336681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59-44E6-8147-7424CDB1CF7D}"/>
            </c:ext>
          </c:extLst>
        </c:ser>
        <c:ser>
          <c:idx val="9"/>
          <c:order val="9"/>
          <c:spPr>
            <a:solidFill>
              <a:schemeClr val="accent4">
                <a:tint val="94000"/>
              </a:schemeClr>
            </a:solidFill>
            <a:ln/>
            <a:effectLst/>
            <a:sp3d prstMaterial="flat"/>
          </c:spPr>
          <c:val>
            <c:numRef>
              <c:f>'Main Page'!$D$118:$X$118</c:f>
              <c:numCache>
                <c:formatCode>0.00</c:formatCode>
                <c:ptCount val="21"/>
                <c:pt idx="0">
                  <c:v>0.13157554704949012</c:v>
                </c:pt>
                <c:pt idx="1">
                  <c:v>0.13807758919747531</c:v>
                </c:pt>
                <c:pt idx="2">
                  <c:v>0.14608344735916381</c:v>
                </c:pt>
                <c:pt idx="3">
                  <c:v>0.1559588841366617</c:v>
                </c:pt>
                <c:pt idx="4">
                  <c:v>0.16815678212821725</c:v>
                </c:pt>
                <c:pt idx="5">
                  <c:v>0.18323013911578401</c:v>
                </c:pt>
                <c:pt idx="6">
                  <c:v>0.20183837597035906</c:v>
                </c:pt>
                <c:pt idx="7">
                  <c:v>0.22473770066013257</c:v>
                </c:pt>
                <c:pt idx="8">
                  <c:v>0.25274094137449693</c:v>
                </c:pt>
                <c:pt idx="9">
                  <c:v>0.28662771775779505</c:v>
                </c:pt>
                <c:pt idx="10">
                  <c:v>0.32698735642685961</c:v>
                </c:pt>
                <c:pt idx="11">
                  <c:v>0.37399365170981491</c:v>
                </c:pt>
                <c:pt idx="12">
                  <c:v>0.42715054097594068</c:v>
                </c:pt>
                <c:pt idx="13">
                  <c:v>0.48510412479946019</c:v>
                </c:pt>
                <c:pt idx="14">
                  <c:v>0.54565133622656958</c:v>
                </c:pt>
                <c:pt idx="15">
                  <c:v>0.60603151671480204</c:v>
                </c:pt>
                <c:pt idx="16">
                  <c:v>0.66344891373992687</c:v>
                </c:pt>
                <c:pt idx="17">
                  <c:v>0.71562629912332498</c:v>
                </c:pt>
                <c:pt idx="18">
                  <c:v>0.76116211861457717</c:v>
                </c:pt>
                <c:pt idx="19">
                  <c:v>0.79958638588558539</c:v>
                </c:pt>
                <c:pt idx="20">
                  <c:v>0.83117454503017885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59-44E6-8147-7424CDB1CF7D}"/>
            </c:ext>
          </c:extLst>
        </c:ser>
        <c:ser>
          <c:idx val="10"/>
          <c:order val="10"/>
          <c:spPr>
            <a:solidFill>
              <a:schemeClr val="accent4"/>
            </a:solidFill>
            <a:ln/>
            <a:effectLst/>
            <a:sp3d prstMaterial="flat"/>
          </c:spPr>
          <c:val>
            <c:numRef>
              <c:f>'Main Page'!$D$119:$X$119</c:f>
              <c:numCache>
                <c:formatCode>0.00</c:formatCode>
                <c:ptCount val="21"/>
                <c:pt idx="0">
                  <c:v>0.13826875666534733</c:v>
                </c:pt>
                <c:pt idx="1">
                  <c:v>0.14631905389917654</c:v>
                </c:pt>
                <c:pt idx="2">
                  <c:v>0.1562497352403999</c:v>
                </c:pt>
                <c:pt idx="3">
                  <c:v>0.16851618218569919</c:v>
                </c:pt>
                <c:pt idx="4">
                  <c:v>0.18367417511495124</c:v>
                </c:pt>
                <c:pt idx="5">
                  <c:v>0.2023859199323392</c:v>
                </c:pt>
                <c:pt idx="6">
                  <c:v>0.22540981630830595</c:v>
                </c:pt>
                <c:pt idx="7">
                  <c:v>0.25355923533542413</c:v>
                </c:pt>
                <c:pt idx="8">
                  <c:v>0.28761110524238448</c:v>
                </c:pt>
                <c:pt idx="9">
                  <c:v>0.32814691222423137</c:v>
                </c:pt>
                <c:pt idx="10">
                  <c:v>0.37532595678117125</c:v>
                </c:pt>
                <c:pt idx="11">
                  <c:v>0.42863130623729112</c:v>
                </c:pt>
                <c:pt idx="12">
                  <c:v>0.48668531730624381</c:v>
                </c:pt>
                <c:pt idx="13">
                  <c:v>0.54726511637658215</c:v>
                </c:pt>
                <c:pt idx="14">
                  <c:v>0.60760171103085692</c:v>
                </c:pt>
                <c:pt idx="15">
                  <c:v>0.6649063674150183</c:v>
                </c:pt>
                <c:pt idx="16">
                  <c:v>0.71692169809224282</c:v>
                </c:pt>
                <c:pt idx="17">
                  <c:v>0.76227141619101446</c:v>
                </c:pt>
                <c:pt idx="18">
                  <c:v>0.8005084440353577</c:v>
                </c:pt>
                <c:pt idx="19">
                  <c:v>0.83192419145757157</c:v>
                </c:pt>
                <c:pt idx="20">
                  <c:v>0.85726150591378925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59-44E6-8147-7424CDB1CF7D}"/>
            </c:ext>
          </c:extLst>
        </c:ser>
        <c:ser>
          <c:idx val="11"/>
          <c:order val="11"/>
          <c:spPr>
            <a:solidFill>
              <a:schemeClr val="accent4">
                <a:shade val="93000"/>
              </a:schemeClr>
            </a:solidFill>
            <a:ln/>
            <a:effectLst/>
            <a:sp3d prstMaterial="flat"/>
          </c:spPr>
          <c:val>
            <c:numRef>
              <c:f>'Main Page'!$D$120:$X$120</c:f>
              <c:numCache>
                <c:formatCode>0.00</c:formatCode>
                <c:ptCount val="21"/>
                <c:pt idx="0">
                  <c:v>0.14655597380182317</c:v>
                </c:pt>
                <c:pt idx="1">
                  <c:v>0.1565422182177871</c:v>
                </c:pt>
                <c:pt idx="2">
                  <c:v>0.16887760339391852</c:v>
                </c:pt>
                <c:pt idx="3">
                  <c:v>0.18412069707058876</c:v>
                </c:pt>
                <c:pt idx="4">
                  <c:v>0.20293648387362645</c:v>
                </c:pt>
                <c:pt idx="5">
                  <c:v>0.22608552743582863</c:v>
                </c:pt>
                <c:pt idx="6">
                  <c:v>0.25438167879004403</c:v>
                </c:pt>
                <c:pt idx="7">
                  <c:v>0.28859906347177622</c:v>
                </c:pt>
                <c:pt idx="8">
                  <c:v>0.32931116607383026</c:v>
                </c:pt>
                <c:pt idx="9">
                  <c:v>0.37666260933982593</c:v>
                </c:pt>
                <c:pt idx="10">
                  <c:v>0.43011545290736719</c:v>
                </c:pt>
                <c:pt idx="11">
                  <c:v>0.48826831471372345</c:v>
                </c:pt>
                <c:pt idx="12">
                  <c:v>0.54887872738000987</c:v>
                </c:pt>
                <c:pt idx="13">
                  <c:v>0.60916974663991197</c:v>
                </c:pt>
                <c:pt idx="14">
                  <c:v>0.66636005830578438</c:v>
                </c:pt>
                <c:pt idx="15">
                  <c:v>0.71821236707213398</c:v>
                </c:pt>
                <c:pt idx="16">
                  <c:v>0.76337568268964506</c:v>
                </c:pt>
                <c:pt idx="17">
                  <c:v>0.80142569318704804</c:v>
                </c:pt>
                <c:pt idx="18">
                  <c:v>0.83266956550343008</c:v>
                </c:pt>
                <c:pt idx="19">
                  <c:v>0.85785823983611653</c:v>
                </c:pt>
                <c:pt idx="20">
                  <c:v>0.87792540362024818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59-44E6-8147-7424CDB1CF7D}"/>
            </c:ext>
          </c:extLst>
        </c:ser>
        <c:ser>
          <c:idx val="12"/>
          <c:order val="12"/>
          <c:spPr>
            <a:solidFill>
              <a:schemeClr val="accent4">
                <a:shade val="87000"/>
              </a:schemeClr>
            </a:solidFill>
            <a:ln/>
            <a:effectLst/>
            <a:sp3d prstMaterial="flat"/>
          </c:spPr>
          <c:val>
            <c:numRef>
              <c:f>'Main Page'!$D$121:$X$121</c:f>
              <c:numCache>
                <c:formatCode>0.00</c:formatCode>
                <c:ptCount val="21"/>
                <c:pt idx="0">
                  <c:v>0.15683634242946332</c:v>
                </c:pt>
                <c:pt idx="1">
                  <c:v>0.16924105708371309</c:v>
                </c:pt>
                <c:pt idx="2">
                  <c:v>0.18456971829606889</c:v>
                </c:pt>
                <c:pt idx="3">
                  <c:v>0.20349008268658111</c:v>
                </c:pt>
                <c:pt idx="4">
                  <c:v>0.22676484936619012</c:v>
                </c:pt>
                <c:pt idx="5">
                  <c:v>0.25520828521421568</c:v>
                </c:pt>
                <c:pt idx="6">
                  <c:v>0.28959160040895615</c:v>
                </c:pt>
                <c:pt idx="7">
                  <c:v>0.3304801156398785</c:v>
                </c:pt>
                <c:pt idx="8">
                  <c:v>0.37800359211215856</c:v>
                </c:pt>
                <c:pt idx="9">
                  <c:v>0.43160294664432736</c:v>
                </c:pt>
                <c:pt idx="10">
                  <c:v>0.48985306846417331</c:v>
                </c:pt>
                <c:pt idx="11">
                  <c:v>0.55049211486070571</c:v>
                </c:pt>
                <c:pt idx="12">
                  <c:v>0.6107355745412385</c:v>
                </c:pt>
                <c:pt idx="13">
                  <c:v>0.66780995197678161</c:v>
                </c:pt>
                <c:pt idx="14">
                  <c:v>0.71949828984674469</c:v>
                </c:pt>
                <c:pt idx="15">
                  <c:v>0.76447491812101442</c:v>
                </c:pt>
                <c:pt idx="16">
                  <c:v>0.80233814442388873</c:v>
                </c:pt>
                <c:pt idx="17">
                  <c:v>0.83341068381200667</c:v>
                </c:pt>
                <c:pt idx="18">
                  <c:v>0.85845138319901215</c:v>
                </c:pt>
                <c:pt idx="19">
                  <c:v>0.87839592612052242</c:v>
                </c:pt>
                <c:pt idx="20">
                  <c:v>0.89417887032074472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59-44E6-8147-7424CDB1CF7D}"/>
            </c:ext>
          </c:extLst>
        </c:ser>
        <c:ser>
          <c:idx val="13"/>
          <c:order val="13"/>
          <c:spPr>
            <a:solidFill>
              <a:schemeClr val="accent4">
                <a:shade val="80000"/>
              </a:schemeClr>
            </a:solidFill>
            <a:ln/>
            <a:effectLst/>
            <a:sp3d prstMaterial="flat"/>
          </c:spPr>
          <c:val>
            <c:numRef>
              <c:f>'Main Page'!$D$122:$X$122</c:f>
              <c:numCache>
                <c:formatCode>0.00</c:formatCode>
                <c:ptCount val="21"/>
                <c:pt idx="0">
                  <c:v>0.1696065546395164</c:v>
                </c:pt>
                <c:pt idx="1">
                  <c:v>0.18502125215425377</c:v>
                </c:pt>
                <c:pt idx="2">
                  <c:v>0.20404673129391904</c:v>
                </c:pt>
                <c:pt idx="3">
                  <c:v>0.22744779740913521</c:v>
                </c:pt>
                <c:pt idx="4">
                  <c:v>0.25603906799126597</c:v>
                </c:pt>
                <c:pt idx="5">
                  <c:v>0.29058872380906442</c:v>
                </c:pt>
                <c:pt idx="6">
                  <c:v>0.33165375824570587</c:v>
                </c:pt>
                <c:pt idx="7">
                  <c:v>0.37934888738276379</c:v>
                </c:pt>
                <c:pt idx="8">
                  <c:v>0.43309375266723282</c:v>
                </c:pt>
                <c:pt idx="9">
                  <c:v>0.49143952971627547</c:v>
                </c:pt>
                <c:pt idx="10">
                  <c:v>0.55210522443851684</c:v>
                </c:pt>
                <c:pt idx="11">
                  <c:v>0.6122991460206979</c:v>
                </c:pt>
                <c:pt idx="12">
                  <c:v>0.66925601445574778</c:v>
                </c:pt>
                <c:pt idx="13">
                  <c:v>0.72077945067581861</c:v>
                </c:pt>
                <c:pt idx="14">
                  <c:v>0.76556912286232026</c:v>
                </c:pt>
                <c:pt idx="15">
                  <c:v>0.8032458090440161</c:v>
                </c:pt>
                <c:pt idx="16">
                  <c:v>0.83414756311000904</c:v>
                </c:pt>
                <c:pt idx="17">
                  <c:v>0.85904095398545366</c:v>
                </c:pt>
                <c:pt idx="18">
                  <c:v>0.87886353674227369</c:v>
                </c:pt>
                <c:pt idx="19">
                  <c:v>0.89454821418055508</c:v>
                </c:pt>
                <c:pt idx="20">
                  <c:v>0.90692911078202687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59-44E6-8147-7424CDB1CF7D}"/>
            </c:ext>
          </c:extLst>
        </c:ser>
        <c:ser>
          <c:idx val="14"/>
          <c:order val="14"/>
          <c:spPr>
            <a:solidFill>
              <a:schemeClr val="accent4">
                <a:shade val="74000"/>
              </a:schemeClr>
            </a:solidFill>
            <a:ln/>
            <a:effectLst/>
            <a:sp3d prstMaterial="flat"/>
          </c:spPr>
          <c:val>
            <c:numRef>
              <c:f>'Main Page'!$D$123:$X$123</c:f>
              <c:numCache>
                <c:formatCode>0.00</c:formatCode>
                <c:ptCount val="21"/>
                <c:pt idx="0">
                  <c:v>0.18547531205722151</c:v>
                </c:pt>
                <c:pt idx="1">
                  <c:v>0.20460644464791267</c:v>
                </c:pt>
                <c:pt idx="2">
                  <c:v>0.22813438685905921</c:v>
                </c:pt>
                <c:pt idx="3">
                  <c:v>0.25687404040938033</c:v>
                </c:pt>
                <c:pt idx="4">
                  <c:v>0.29159044121595323</c:v>
                </c:pt>
                <c:pt idx="5">
                  <c:v>0.33283209087037069</c:v>
                </c:pt>
                <c:pt idx="6">
                  <c:v>0.38069847699286946</c:v>
                </c:pt>
                <c:pt idx="7">
                  <c:v>0.4345878357581115</c:v>
                </c:pt>
                <c:pt idx="8">
                  <c:v>0.49302764935127219</c:v>
                </c:pt>
                <c:pt idx="9">
                  <c:v>0.553718001737454</c:v>
                </c:pt>
                <c:pt idx="10">
                  <c:v>0.61386041265732272</c:v>
                </c:pt>
                <c:pt idx="11">
                  <c:v>0.67069821223604553</c:v>
                </c:pt>
                <c:pt idx="12">
                  <c:v>0.72205583429344367</c:v>
                </c:pt>
                <c:pt idx="13">
                  <c:v>0.7666582976535935</c:v>
                </c:pt>
                <c:pt idx="14">
                  <c:v>0.8041486985565276</c:v>
                </c:pt>
                <c:pt idx="15">
                  <c:v>0.83488022020365604</c:v>
                </c:pt>
                <c:pt idx="16">
                  <c:v>0.85962697017086187</c:v>
                </c:pt>
                <c:pt idx="17">
                  <c:v>0.87932825218742738</c:v>
                </c:pt>
                <c:pt idx="18">
                  <c:v>0.89491524958767277</c:v>
                </c:pt>
                <c:pt idx="19">
                  <c:v>0.90721879167788178</c:v>
                </c:pt>
                <c:pt idx="20">
                  <c:v>0.91693536443423795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59-44E6-8147-7424CDB1CF7D}"/>
            </c:ext>
          </c:extLst>
        </c:ser>
        <c:ser>
          <c:idx val="15"/>
          <c:order val="15"/>
          <c:spPr>
            <a:solidFill>
              <a:schemeClr val="accent4">
                <a:shade val="68000"/>
              </a:schemeClr>
            </a:solidFill>
            <a:ln/>
            <a:effectLst/>
            <a:sp3d prstMaterial="flat"/>
          </c:spPr>
          <c:val>
            <c:numRef>
              <c:f>'Main Page'!$D$124:$X$124</c:f>
              <c:numCache>
                <c:formatCode>0.00</c:formatCode>
                <c:ptCount val="21"/>
                <c:pt idx="0">
                  <c:v>0.20516923772957549</c:v>
                </c:pt>
                <c:pt idx="1">
                  <c:v>0.2288246329933788</c:v>
                </c:pt>
                <c:pt idx="2">
                  <c:v>0.25771321565896921</c:v>
                </c:pt>
                <c:pt idx="3">
                  <c:v>0.29259675995873058</c:v>
                </c:pt>
                <c:pt idx="4">
                  <c:v>0.3340151101453076</c:v>
                </c:pt>
                <c:pt idx="5">
                  <c:v>0.38205234233882818</c:v>
                </c:pt>
                <c:pt idx="6">
                  <c:v>0.43608516026413702</c:v>
                </c:pt>
                <c:pt idx="7">
                  <c:v>0.49461737797920768</c:v>
                </c:pt>
                <c:pt idx="8">
                  <c:v>0.55533039239386739</c:v>
                </c:pt>
                <c:pt idx="9">
                  <c:v>0.615419326329816</c:v>
                </c:pt>
                <c:pt idx="10">
                  <c:v>0.67213651227897586</c:v>
                </c:pt>
                <c:pt idx="11">
                  <c:v>0.72332742590631915</c:v>
                </c:pt>
                <c:pt idx="12">
                  <c:v>0.76774244359385224</c:v>
                </c:pt>
                <c:pt idx="13">
                  <c:v>0.80504682467755417</c:v>
                </c:pt>
                <c:pt idx="14">
                  <c:v>0.83560867197577005</c:v>
                </c:pt>
                <c:pt idx="15">
                  <c:v>0.86020944972141156</c:v>
                </c:pt>
                <c:pt idx="16">
                  <c:v>0.87979008910452705</c:v>
                </c:pt>
                <c:pt idx="17">
                  <c:v>0.89527999081075271</c:v>
                </c:pt>
                <c:pt idx="18">
                  <c:v>0.90750666661900414</c:v>
                </c:pt>
                <c:pt idx="19">
                  <c:v>0.91716294078054794</c:v>
                </c:pt>
                <c:pt idx="20">
                  <c:v>0.92480740030397734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59-44E6-8147-7424CDB1CF7D}"/>
            </c:ext>
          </c:extLst>
        </c:ser>
        <c:ser>
          <c:idx val="16"/>
          <c:order val="16"/>
          <c:spPr>
            <a:solidFill>
              <a:schemeClr val="accent4">
                <a:shade val="61000"/>
              </a:schemeClr>
            </a:solidFill>
            <a:ln/>
            <a:effectLst/>
            <a:sp3d prstMaterial="flat"/>
          </c:spPr>
          <c:val>
            <c:numRef>
              <c:f>'Main Page'!$D$125:$X$125</c:f>
              <c:numCache>
                <c:formatCode>0.00</c:formatCode>
                <c:ptCount val="21"/>
                <c:pt idx="0">
                  <c:v>0.2295185510708776</c:v>
                </c:pt>
                <c:pt idx="1">
                  <c:v>0.25855660683000581</c:v>
                </c:pt>
                <c:pt idx="2">
                  <c:v>0.29360768714829116</c:v>
                </c:pt>
                <c:pt idx="3">
                  <c:v>0.33520281235099358</c:v>
                </c:pt>
                <c:pt idx="4">
                  <c:v>0.38341046437068782</c:v>
                </c:pt>
                <c:pt idx="5">
                  <c:v>0.43758569009991721</c:v>
                </c:pt>
                <c:pt idx="6">
                  <c:v>0.49620866594526186</c:v>
                </c:pt>
                <c:pt idx="7">
                  <c:v>0.55694234206462356</c:v>
                </c:pt>
                <c:pt idx="8">
                  <c:v>0.61697583922296029</c:v>
                </c:pt>
                <c:pt idx="9">
                  <c:v>0.67357088201597759</c:v>
                </c:pt>
                <c:pt idx="10">
                  <c:v>0.72459421119192868</c:v>
                </c:pt>
                <c:pt idx="11">
                  <c:v>0.76882156213723463</c:v>
                </c:pt>
                <c:pt idx="12">
                  <c:v>0.80594019932634742</c:v>
                </c:pt>
                <c:pt idx="13">
                  <c:v>0.83633293538290143</c:v>
                </c:pt>
                <c:pt idx="14">
                  <c:v>0.86078841059237254</c:v>
                </c:pt>
                <c:pt idx="15">
                  <c:v>0.88024906408802039</c:v>
                </c:pt>
                <c:pt idx="16">
                  <c:v>0.89564245204974147</c:v>
                </c:pt>
                <c:pt idx="17">
                  <c:v>0.90779274720349501</c:v>
                </c:pt>
                <c:pt idx="18">
                  <c:v>0.9173891134306047</c:v>
                </c:pt>
                <c:pt idx="19">
                  <c:v>0.92498676045758921</c:v>
                </c:pt>
                <c:pt idx="20">
                  <c:v>0.93102306743238405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59-44E6-8147-7424CDB1CF7D}"/>
            </c:ext>
          </c:extLst>
        </c:ser>
        <c:ser>
          <c:idx val="17"/>
          <c:order val="17"/>
          <c:spPr>
            <a:solidFill>
              <a:schemeClr val="accent4">
                <a:shade val="55000"/>
              </a:schemeClr>
            </a:solidFill>
            <a:ln/>
            <a:effectLst/>
            <a:sp3d prstMaterial="flat"/>
          </c:spPr>
          <c:val>
            <c:numRef>
              <c:f>'Main Page'!$D$126:$X$126</c:f>
              <c:numCache>
                <c:formatCode>0.00</c:formatCode>
                <c:ptCount val="21"/>
                <c:pt idx="0">
                  <c:v>0.2594042269093389</c:v>
                </c:pt>
                <c:pt idx="1">
                  <c:v>0.29462322967383447</c:v>
                </c:pt>
                <c:pt idx="2">
                  <c:v>0.33639519341364349</c:v>
                </c:pt>
                <c:pt idx="3">
                  <c:v>0.38477282359083737</c:v>
                </c:pt>
                <c:pt idx="4">
                  <c:v>0.4390893887498995</c:v>
                </c:pt>
                <c:pt idx="5">
                  <c:v>0.4978014633361702</c:v>
                </c:pt>
                <c:pt idx="6">
                  <c:v>0.55855379643528447</c:v>
                </c:pt>
                <c:pt idx="7">
                  <c:v>0.6185299038339358</c:v>
                </c:pt>
                <c:pt idx="8">
                  <c:v>0.67500128935070414</c:v>
                </c:pt>
                <c:pt idx="9">
                  <c:v>0.72585617629663812</c:v>
                </c:pt>
                <c:pt idx="10">
                  <c:v>0.76989565508910252</c:v>
                </c:pt>
                <c:pt idx="11">
                  <c:v>0.80682883462138932</c:v>
                </c:pt>
                <c:pt idx="12">
                  <c:v>0.83705302745248267</c:v>
                </c:pt>
                <c:pt idx="13">
                  <c:v>0.86136387072648046</c:v>
                </c:pt>
                <c:pt idx="14">
                  <c:v>0.88070519367756583</c:v>
                </c:pt>
                <c:pt idx="15">
                  <c:v>0.89600264743575453</c:v>
                </c:pt>
                <c:pt idx="16">
                  <c:v>0.90807704496230168</c:v>
                </c:pt>
                <c:pt idx="17">
                  <c:v>0.91761389153484252</c:v>
                </c:pt>
                <c:pt idx="18">
                  <c:v>0.92516503149797924</c:v>
                </c:pt>
                <c:pt idx="19">
                  <c:v>0.93116500045498152</c:v>
                </c:pt>
                <c:pt idx="20">
                  <c:v>0.93595176473017028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59-44E6-8147-7424CDB1CF7D}"/>
            </c:ext>
          </c:extLst>
        </c:ser>
        <c:ser>
          <c:idx val="18"/>
          <c:order val="18"/>
          <c:spPr>
            <a:solidFill>
              <a:schemeClr val="accent4">
                <a:shade val="49000"/>
              </a:schemeClr>
            </a:solidFill>
            <a:ln/>
            <a:effectLst/>
            <a:sp3d prstMaterial="flat"/>
          </c:spPr>
          <c:val>
            <c:numRef>
              <c:f>'Main Page'!$D$127:$X$127</c:f>
              <c:numCache>
                <c:formatCode>0.00</c:formatCode>
                <c:ptCount val="21"/>
                <c:pt idx="0">
                  <c:v>0.29564339419937125</c:v>
                </c:pt>
                <c:pt idx="1">
                  <c:v>0.33759224890192741</c:v>
                </c:pt>
                <c:pt idx="2">
                  <c:v>0.38613940005273389</c:v>
                </c:pt>
                <c:pt idx="3">
                  <c:v>0.44059621927088544</c:v>
                </c:pt>
                <c:pt idx="4">
                  <c:v>0.49939571998673143</c:v>
                </c:pt>
                <c:pt idx="5">
                  <c:v>0.56016470122828277</c:v>
                </c:pt>
                <c:pt idx="6">
                  <c:v>0.62008147297854455</c:v>
                </c:pt>
                <c:pt idx="7">
                  <c:v>0.67642770266097718</c:v>
                </c:pt>
                <c:pt idx="8">
                  <c:v>0.72711330783370565</c:v>
                </c:pt>
                <c:pt idx="9">
                  <c:v>0.77096472460212573</c:v>
                </c:pt>
                <c:pt idx="10">
                  <c:v>0.80771274287651773</c:v>
                </c:pt>
                <c:pt idx="11">
                  <c:v>0.83776896528002032</c:v>
                </c:pt>
                <c:pt idx="12">
                  <c:v>0.86193584805233403</c:v>
                </c:pt>
                <c:pt idx="13">
                  <c:v>0.88115849435735705</c:v>
                </c:pt>
                <c:pt idx="14">
                  <c:v>0.8963605910309671</c:v>
                </c:pt>
                <c:pt idx="15">
                  <c:v>0.90835957135938661</c:v>
                </c:pt>
                <c:pt idx="16">
                  <c:v>0.91783728418546306</c:v>
                </c:pt>
                <c:pt idx="17">
                  <c:v>0.9253422205224886</c:v>
                </c:pt>
                <c:pt idx="18">
                  <c:v>0.93130608725578856</c:v>
                </c:pt>
                <c:pt idx="19">
                  <c:v>0.93606457488894057</c:v>
                </c:pt>
                <c:pt idx="20">
                  <c:v>0.93987726384771675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59-44E6-8147-7424CDB1CF7D}"/>
            </c:ext>
          </c:extLst>
        </c:ser>
        <c:ser>
          <c:idx val="19"/>
          <c:order val="19"/>
          <c:spPr>
            <a:solidFill>
              <a:schemeClr val="accent4">
                <a:shade val="42000"/>
              </a:schemeClr>
            </a:solidFill>
            <a:ln/>
            <a:effectLst/>
            <a:sp3d prstMaterial="flat"/>
          </c:spPr>
          <c:val>
            <c:numRef>
              <c:f>'Main Page'!$D$128:$X$128</c:f>
              <c:numCache>
                <c:formatCode>0.00</c:formatCode>
                <c:ptCount val="21"/>
                <c:pt idx="0">
                  <c:v>0.33879397402371964</c:v>
                </c:pt>
                <c:pt idx="1">
                  <c:v>0.3875101733597095</c:v>
                </c:pt>
                <c:pt idx="2">
                  <c:v>0.44210614429466338</c:v>
                </c:pt>
                <c:pt idx="3">
                  <c:v>0.50099138548639799</c:v>
                </c:pt>
                <c:pt idx="4">
                  <c:v>0.56177500221109411</c:v>
                </c:pt>
                <c:pt idx="5">
                  <c:v>0.62163049979734464</c:v>
                </c:pt>
                <c:pt idx="6">
                  <c:v>0.67785009080062786</c:v>
                </c:pt>
                <c:pt idx="7">
                  <c:v>0.72836559288121394</c:v>
                </c:pt>
                <c:pt idx="8">
                  <c:v>0.77202877317234575</c:v>
                </c:pt>
                <c:pt idx="9">
                  <c:v>0.80859193659707207</c:v>
                </c:pt>
                <c:pt idx="10">
                  <c:v>0.8384807660263166</c:v>
                </c:pt>
                <c:pt idx="11">
                  <c:v>0.8625043604828263</c:v>
                </c:pt>
                <c:pt idx="12">
                  <c:v>0.88160898255546938</c:v>
                </c:pt>
                <c:pt idx="13">
                  <c:v>0.89671629682851284</c:v>
                </c:pt>
                <c:pt idx="14">
                  <c:v>0.90864033779190034</c:v>
                </c:pt>
                <c:pt idx="15">
                  <c:v>0.91805930041670769</c:v>
                </c:pt>
                <c:pt idx="16">
                  <c:v>0.92551833458108645</c:v>
                </c:pt>
                <c:pt idx="17">
                  <c:v>0.93144633329286508</c:v>
                </c:pt>
                <c:pt idx="18">
                  <c:v>0.9361767252986618</c:v>
                </c:pt>
                <c:pt idx="19">
                  <c:v>0.93996732170253439</c:v>
                </c:pt>
                <c:pt idx="20">
                  <c:v>0.94301726587553236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59-44E6-8147-7424CDB1CF7D}"/>
            </c:ext>
          </c:extLst>
        </c:ser>
        <c:ser>
          <c:idx val="20"/>
          <c:order val="20"/>
          <c:spPr>
            <a:solidFill>
              <a:schemeClr val="accent4">
                <a:shade val="36000"/>
              </a:schemeClr>
            </a:solidFill>
            <a:ln/>
            <a:effectLst/>
            <a:sp3d prstMaterial="flat"/>
          </c:spPr>
          <c:val>
            <c:numRef>
              <c:f>'Main Page'!$D$129:$X$129</c:f>
              <c:numCache>
                <c:formatCode>0.00</c:formatCode>
                <c:ptCount val="21"/>
                <c:pt idx="0">
                  <c:v>0.38888512266386005</c:v>
                </c:pt>
                <c:pt idx="1">
                  <c:v>0.44361912603075115</c:v>
                </c:pt>
                <c:pt idx="2">
                  <c:v>0.50258840918595182</c:v>
                </c:pt>
                <c:pt idx="3">
                  <c:v>0.56338464520439946</c:v>
                </c:pt>
                <c:pt idx="4">
                  <c:v>0.62317693776168492</c:v>
                </c:pt>
                <c:pt idx="5">
                  <c:v>0.67926842310121072</c:v>
                </c:pt>
                <c:pt idx="6">
                  <c:v>0.72961301897992481</c:v>
                </c:pt>
                <c:pt idx="7">
                  <c:v>0.7730878036352169</c:v>
                </c:pt>
                <c:pt idx="8">
                  <c:v>0.80946642847606121</c:v>
                </c:pt>
                <c:pt idx="9">
                  <c:v>0.83918844691472561</c:v>
                </c:pt>
                <c:pt idx="10">
                  <c:v>0.8630694259136007</c:v>
                </c:pt>
                <c:pt idx="11">
                  <c:v>0.88205667464322413</c:v>
                </c:pt>
                <c:pt idx="12">
                  <c:v>0.89706977875239524</c:v>
                </c:pt>
                <c:pt idx="13">
                  <c:v>0.90891935559035997</c:v>
                </c:pt>
                <c:pt idx="14">
                  <c:v>0.91827994920513012</c:v>
                </c:pt>
                <c:pt idx="15">
                  <c:v>0.92569338067664819</c:v>
                </c:pt>
                <c:pt idx="16">
                  <c:v>0.9315857439871077</c:v>
                </c:pt>
                <c:pt idx="17">
                  <c:v>0.93628822014486579</c:v>
                </c:pt>
                <c:pt idx="18">
                  <c:v>0.94005686283412626</c:v>
                </c:pt>
                <c:pt idx="19">
                  <c:v>0.94308946170650843</c:v>
                </c:pt>
                <c:pt idx="20">
                  <c:v>0.94553910870449531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59-44E6-8147-7424CDB1CF7D}"/>
            </c:ext>
          </c:extLst>
        </c:ser>
        <c:bandFmts>
          <c:bandFmt>
            <c:idx val="0"/>
            <c:spPr>
              <a:solidFill>
                <a:schemeClr val="accent4">
                  <a:tint val="43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4">
                  <a:tint val="56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4">
                  <a:tint val="69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4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4">
                  <a:tint val="9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4">
                  <a:shade val="93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4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4">
                  <a:shade val="68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4">
                  <a:shade val="55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</c:bandFmts>
        <c:axId val="312658688"/>
        <c:axId val="312669504"/>
        <c:axId val="2126312496"/>
      </c:surface3DChart>
      <c:catAx>
        <c:axId val="312658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  <c:auto val="1"/>
        <c:lblAlgn val="ctr"/>
        <c:lblOffset val="100"/>
        <c:noMultiLvlLbl val="0"/>
      </c:catAx>
      <c:valAx>
        <c:axId val="3126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58688"/>
        <c:crosses val="autoZero"/>
        <c:crossBetween val="midCat"/>
      </c:valAx>
      <c:serAx>
        <c:axId val="2126312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w3 weight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Data'!$C$3:$C$1000</c:f>
              <c:numCache>
                <c:formatCode>0.00</c:formatCode>
                <c:ptCount val="998"/>
                <c:pt idx="0">
                  <c:v>1.0178093774601931</c:v>
                </c:pt>
                <c:pt idx="1">
                  <c:v>1.0540836210050453</c:v>
                </c:pt>
                <c:pt idx="2">
                  <c:v>1.0967810420007389</c:v>
                </c:pt>
                <c:pt idx="3">
                  <c:v>1.145857603127874</c:v>
                </c:pt>
                <c:pt idx="4">
                  <c:v>1.2013360568348204</c:v>
                </c:pt>
                <c:pt idx="5">
                  <c:v>1.2634206903578065</c:v>
                </c:pt>
                <c:pt idx="6">
                  <c:v>1.3325005694074288</c:v>
                </c:pt>
                <c:pt idx="7">
                  <c:v>1.4091600111107616</c:v>
                </c:pt>
                <c:pt idx="8">
                  <c:v>1.4941908320670847</c:v>
                </c:pt>
                <c:pt idx="9">
                  <c:v>1.5885985877820572</c:v>
                </c:pt>
                <c:pt idx="10">
                  <c:v>1.6935873914420259</c:v>
                </c:pt>
                <c:pt idx="11">
                  <c:v>1.8104957940027702</c:v>
                </c:pt>
                <c:pt idx="12">
                  <c:v>1.9406423478894332</c:v>
                </c:pt>
                <c:pt idx="13">
                  <c:v>2.0850378154496636</c:v>
                </c:pt>
                <c:pt idx="14">
                  <c:v>2.2439633304350735</c:v>
                </c:pt>
                <c:pt idx="15">
                  <c:v>2.416528530459777</c:v>
                </c:pt>
                <c:pt idx="16">
                  <c:v>2.6004572999833924</c:v>
                </c:pt>
                <c:pt idx="17">
                  <c:v>2.7923265961024062</c:v>
                </c:pt>
                <c:pt idx="18">
                  <c:v>2.9882125146857463</c:v>
                </c:pt>
                <c:pt idx="19">
                  <c:v>3.1844085894699896</c:v>
                </c:pt>
                <c:pt idx="20">
                  <c:v>3.377888391523904</c:v>
                </c:pt>
                <c:pt idx="21">
                  <c:v>3.5664366784272454</c:v>
                </c:pt>
                <c:pt idx="22">
                  <c:v>3.7485688615547557</c:v>
                </c:pt>
                <c:pt idx="23">
                  <c:v>3.9233787479277389</c:v>
                </c:pt>
                <c:pt idx="24">
                  <c:v>4.0903923083730369</c:v>
                </c:pt>
                <c:pt idx="25">
                  <c:v>4.2494507965696799</c:v>
                </c:pt>
                <c:pt idx="26">
                  <c:v>4.4006213959392024</c:v>
                </c:pt>
                <c:pt idx="27">
                  <c:v>4.5441280915712277</c:v>
                </c:pt>
                <c:pt idx="28">
                  <c:v>4.6802974458499076</c:v>
                </c:pt>
                <c:pt idx="29">
                  <c:v>4.8095165169121534</c:v>
                </c:pt>
                <c:pt idx="30">
                  <c:v>4.9322013148428914</c:v>
                </c:pt>
                <c:pt idx="31">
                  <c:v>5.0487743081359708</c:v>
                </c:pt>
                <c:pt idx="32">
                  <c:v>5.159649325372631</c:v>
                </c:pt>
                <c:pt idx="33">
                  <c:v>5.2652221518641413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9-48B7-B0BB-62BB3F1A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Data'!$F$3:$F$1000</c:f>
              <c:numCache>
                <c:formatCode>0.00</c:formatCode>
                <c:ptCount val="998"/>
                <c:pt idx="0">
                  <c:v>-0.23870176422359873</c:v>
                </c:pt>
                <c:pt idx="1">
                  <c:v>-0.23835977039415435</c:v>
                </c:pt>
                <c:pt idx="2">
                  <c:v>-0.24138083040290337</c:v>
                </c:pt>
                <c:pt idx="3">
                  <c:v>-0.24730190019296194</c:v>
                </c:pt>
                <c:pt idx="4">
                  <c:v>-0.25627632494184388</c:v>
                </c:pt>
                <c:pt idx="5">
                  <c:v>-0.26862611088800936</c:v>
                </c:pt>
                <c:pt idx="6">
                  <c:v>-0.28486978964393672</c:v>
                </c:pt>
                <c:pt idx="7">
                  <c:v>-0.30575676453580519</c:v>
                </c:pt>
                <c:pt idx="8">
                  <c:v>-0.33231034789085834</c:v>
                </c:pt>
                <c:pt idx="9">
                  <c:v>-0.36586564674679134</c:v>
                </c:pt>
                <c:pt idx="10">
                  <c:v>-0.408068314470176</c:v>
                </c:pt>
                <c:pt idx="11">
                  <c:v>-0.46076417667989045</c:v>
                </c:pt>
                <c:pt idx="12">
                  <c:v>-0.52566812828302756</c:v>
                </c:pt>
                <c:pt idx="13">
                  <c:v>-0.6037138642512172</c:v>
                </c:pt>
                <c:pt idx="14">
                  <c:v>-0.69418654379471978</c:v>
                </c:pt>
                <c:pt idx="15">
                  <c:v>-0.7941721760874394</c:v>
                </c:pt>
                <c:pt idx="16">
                  <c:v>-0.89906507823094384</c:v>
                </c:pt>
                <c:pt idx="17">
                  <c:v>-1.0041369947873986</c:v>
                </c:pt>
                <c:pt idx="18">
                  <c:v>-1.1060419262763908</c:v>
                </c:pt>
                <c:pt idx="19">
                  <c:v>-1.2032414930936064</c:v>
                </c:pt>
                <c:pt idx="20">
                  <c:v>-1.2954977398349092</c:v>
                </c:pt>
                <c:pt idx="21">
                  <c:v>-1.3831601724635538</c:v>
                </c:pt>
                <c:pt idx="22">
                  <c:v>-1.466689231368808</c:v>
                </c:pt>
                <c:pt idx="23">
                  <c:v>-1.546458904846711</c:v>
                </c:pt>
                <c:pt idx="24">
                  <c:v>-1.6227259413271664</c:v>
                </c:pt>
                <c:pt idx="25">
                  <c:v>-1.6956625040144779</c:v>
                </c:pt>
                <c:pt idx="26">
                  <c:v>-1.7653970538901973</c:v>
                </c:pt>
                <c:pt idx="27">
                  <c:v>-1.8320437764178623</c:v>
                </c:pt>
                <c:pt idx="28">
                  <c:v>-1.8957183351535376</c:v>
                </c:pt>
                <c:pt idx="29">
                  <c:v>-1.9565436554844775</c:v>
                </c:pt>
                <c:pt idx="30">
                  <c:v>-2.0146500255294133</c:v>
                </c:pt>
                <c:pt idx="31">
                  <c:v>-2.0701726586752858</c:v>
                </c:pt>
                <c:pt idx="32">
                  <c:v>-2.1232485780747066</c:v>
                </c:pt>
                <c:pt idx="33">
                  <c:v>-2.174013743549092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2-4B51-B77A-F62604309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Data'!$I$3:$I$1000</c:f>
              <c:numCache>
                <c:formatCode>0.00</c:formatCode>
                <c:ptCount val="998"/>
                <c:pt idx="0">
                  <c:v>-1.5740094414890893</c:v>
                </c:pt>
                <c:pt idx="1">
                  <c:v>-1.6394239910906188</c:v>
                </c:pt>
                <c:pt idx="2">
                  <c:v>-1.7024886882672412</c:v>
                </c:pt>
                <c:pt idx="3">
                  <c:v>-1.7636812161497157</c:v>
                </c:pt>
                <c:pt idx="4">
                  <c:v>-1.8234634559978407</c:v>
                </c:pt>
                <c:pt idx="5">
                  <c:v>-1.8822463875967013</c:v>
                </c:pt>
                <c:pt idx="6">
                  <c:v>-1.9404111336866625</c:v>
                </c:pt>
                <c:pt idx="7">
                  <c:v>-1.9983284801166021</c:v>
                </c:pt>
                <c:pt idx="8">
                  <c:v>-2.0563798411752878</c:v>
                </c:pt>
                <c:pt idx="9">
                  <c:v>-2.1149825391077726</c:v>
                </c:pt>
                <c:pt idx="10">
                  <c:v>-2.174622988485051</c:v>
                </c:pt>
                <c:pt idx="11">
                  <c:v>-2.2359006828708337</c:v>
                </c:pt>
                <c:pt idx="12">
                  <c:v>-2.2995795905765264</c:v>
                </c:pt>
                <c:pt idx="13">
                  <c:v>-2.3666230965129174</c:v>
                </c:pt>
                <c:pt idx="14">
                  <c:v>-2.4381480456663822</c:v>
                </c:pt>
                <c:pt idx="15">
                  <c:v>-2.515201681422143</c:v>
                </c:pt>
                <c:pt idx="16">
                  <c:v>-2.5983367243095157</c:v>
                </c:pt>
                <c:pt idx="17">
                  <c:v>-2.6871785304142572</c:v>
                </c:pt>
                <c:pt idx="18">
                  <c:v>-2.7803155828530031</c:v>
                </c:pt>
                <c:pt idx="19">
                  <c:v>-2.8756350618415349</c:v>
                </c:pt>
                <c:pt idx="20">
                  <c:v>-2.9708806432971531</c:v>
                </c:pt>
                <c:pt idx="21">
                  <c:v>-3.0641197669734233</c:v>
                </c:pt>
                <c:pt idx="22">
                  <c:v>-3.1539715349786639</c:v>
                </c:pt>
                <c:pt idx="23">
                  <c:v>-3.239622667085464</c:v>
                </c:pt>
                <c:pt idx="24">
                  <c:v>-3.3207254652138389</c:v>
                </c:pt>
                <c:pt idx="25">
                  <c:v>-3.3972593339140458</c:v>
                </c:pt>
                <c:pt idx="26">
                  <c:v>-3.4694034908799267</c:v>
                </c:pt>
                <c:pt idx="27">
                  <c:v>-3.5374401431452638</c:v>
                </c:pt>
                <c:pt idx="28">
                  <c:v>-3.6016900795563482</c:v>
                </c:pt>
                <c:pt idx="29">
                  <c:v>-3.6624746381905831</c:v>
                </c:pt>
                <c:pt idx="30">
                  <c:v>-3.7200960575170865</c:v>
                </c:pt>
                <c:pt idx="31">
                  <c:v>-3.7748292547173206</c:v>
                </c:pt>
                <c:pt idx="32">
                  <c:v>-3.8269200183522032</c:v>
                </c:pt>
                <c:pt idx="33">
                  <c:v>-3.876586413187932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ED-42A9-88AE-EEC989D0B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Data'!$L$3:$L$1000</c:f>
              <c:numCache>
                <c:formatCode>0.00</c:formatCode>
                <c:ptCount val="998"/>
                <c:pt idx="0">
                  <c:v>0.47804121429920043</c:v>
                </c:pt>
                <c:pt idx="1">
                  <c:v>0.4120969380370158</c:v>
                </c:pt>
                <c:pt idx="2">
                  <c:v>0.34780226345172249</c:v>
                </c:pt>
                <c:pt idx="3">
                  <c:v>0.28469656545819899</c:v>
                </c:pt>
                <c:pt idx="4">
                  <c:v>0.22230726941518825</c:v>
                </c:pt>
                <c:pt idx="5">
                  <c:v>0.16016632464511257</c:v>
                </c:pt>
                <c:pt idx="6">
                  <c:v>9.778234654558822E-2</c:v>
                </c:pt>
                <c:pt idx="7">
                  <c:v>3.4607781335406526E-2</c:v>
                </c:pt>
                <c:pt idx="8">
                  <c:v>-3.0003086532539566E-2</c:v>
                </c:pt>
                <c:pt idx="9">
                  <c:v>-9.6848795702073207E-2</c:v>
                </c:pt>
                <c:pt idx="10">
                  <c:v>-0.1669481218662725</c:v>
                </c:pt>
                <c:pt idx="11">
                  <c:v>-0.24160717094212666</c:v>
                </c:pt>
                <c:pt idx="12">
                  <c:v>-0.3224391254720731</c:v>
                </c:pt>
                <c:pt idx="13">
                  <c:v>-0.41123024655376217</c:v>
                </c:pt>
                <c:pt idx="14">
                  <c:v>-0.50950858933889309</c:v>
                </c:pt>
                <c:pt idx="15">
                  <c:v>-0.61780660277354349</c:v>
                </c:pt>
                <c:pt idx="16">
                  <c:v>-0.73499815164479632</c:v>
                </c:pt>
                <c:pt idx="17">
                  <c:v>-0.85832220614616295</c:v>
                </c:pt>
                <c:pt idx="18">
                  <c:v>-0.98421396074191181</c:v>
                </c:pt>
                <c:pt idx="19">
                  <c:v>-1.1093389169404484</c:v>
                </c:pt>
                <c:pt idx="20">
                  <c:v>-1.2312150230803465</c:v>
                </c:pt>
                <c:pt idx="21">
                  <c:v>-1.3483195305579758</c:v>
                </c:pt>
                <c:pt idx="22">
                  <c:v>-1.4599030082089686</c:v>
                </c:pt>
                <c:pt idx="23">
                  <c:v>-1.5657339797773417</c:v>
                </c:pt>
                <c:pt idx="24">
                  <c:v>-1.6658857589448779</c:v>
                </c:pt>
                <c:pt idx="25">
                  <c:v>-1.7605917786836363</c:v>
                </c:pt>
                <c:pt idx="26">
                  <c:v>-1.8501584987860944</c:v>
                </c:pt>
                <c:pt idx="27">
                  <c:v>-1.9349169689556973</c:v>
                </c:pt>
                <c:pt idx="28">
                  <c:v>-2.0151974440916338</c:v>
                </c:pt>
                <c:pt idx="29">
                  <c:v>-2.0913168386377992</c:v>
                </c:pt>
                <c:pt idx="30">
                  <c:v>-2.1635730622635263</c:v>
                </c:pt>
                <c:pt idx="31">
                  <c:v>-2.2322429669173678</c:v>
                </c:pt>
                <c:pt idx="32">
                  <c:v>-2.2975821604746853</c:v>
                </c:pt>
                <c:pt idx="33">
                  <c:v>-2.3598257629992592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4A-435F-A87E-33AAD026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w1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Data'!$O$3:$O$1000</c:f>
              <c:numCache>
                <c:formatCode>0.00</c:formatCode>
                <c:ptCount val="998"/>
                <c:pt idx="0">
                  <c:v>-1.4939236443586075</c:v>
                </c:pt>
                <c:pt idx="1">
                  <c:v>-1.4318917168359824</c:v>
                </c:pt>
                <c:pt idx="2">
                  <c:v>-1.3667582316453935</c:v>
                </c:pt>
                <c:pt idx="3">
                  <c:v>-1.2977380072834999</c:v>
                </c:pt>
                <c:pt idx="4">
                  <c:v>-1.2240119901277393</c:v>
                </c:pt>
                <c:pt idx="5">
                  <c:v>-1.1446565138619695</c:v>
                </c:pt>
                <c:pt idx="6">
                  <c:v>-1.0586080678657246</c:v>
                </c:pt>
                <c:pt idx="7">
                  <c:v>-0.9646259864887905</c:v>
                </c:pt>
                <c:pt idx="8">
                  <c:v>-0.86125703642238371</c:v>
                </c:pt>
                <c:pt idx="9">
                  <c:v>-0.7468110039526118</c:v>
                </c:pt>
                <c:pt idx="10">
                  <c:v>-0.61936672518573899</c:v>
                </c:pt>
                <c:pt idx="11">
                  <c:v>-0.47684441139464095</c:v>
                </c:pt>
                <c:pt idx="12">
                  <c:v>-0.31719951350618519</c:v>
                </c:pt>
                <c:pt idx="13">
                  <c:v>-0.13879823222871238</c:v>
                </c:pt>
                <c:pt idx="14">
                  <c:v>5.9017372633200643E-2</c:v>
                </c:pt>
                <c:pt idx="15">
                  <c:v>0.27531960537984979</c:v>
                </c:pt>
                <c:pt idx="16">
                  <c:v>0.50727601465848715</c:v>
                </c:pt>
                <c:pt idx="17">
                  <c:v>0.75043531003346331</c:v>
                </c:pt>
                <c:pt idx="18">
                  <c:v>0.99955220774113651</c:v>
                </c:pt>
                <c:pt idx="19">
                  <c:v>1.2494986106659414</c:v>
                </c:pt>
                <c:pt idx="20">
                  <c:v>1.4958638632197154</c:v>
                </c:pt>
                <c:pt idx="21">
                  <c:v>1.7351927468864652</c:v>
                </c:pt>
                <c:pt idx="22">
                  <c:v>1.9650098973029624</c:v>
                </c:pt>
                <c:pt idx="23">
                  <c:v>2.1837487850487878</c:v>
                </c:pt>
                <c:pt idx="24">
                  <c:v>2.3906253802050146</c:v>
                </c:pt>
                <c:pt idx="25">
                  <c:v>2.5854731919542546</c:v>
                </c:pt>
                <c:pt idx="26">
                  <c:v>2.7685649839889863</c:v>
                </c:pt>
                <c:pt idx="27">
                  <c:v>2.9404494877291865</c:v>
                </c:pt>
                <c:pt idx="28">
                  <c:v>3.1018216188168823</c:v>
                </c:pt>
                <c:pt idx="29">
                  <c:v>3.2534311551051474</c:v>
                </c:pt>
                <c:pt idx="30">
                  <c:v>3.3960252571428677</c:v>
                </c:pt>
                <c:pt idx="31">
                  <c:v>3.5303163137423272</c:v>
                </c:pt>
                <c:pt idx="32">
                  <c:v>3.6569666538280483</c:v>
                </c:pt>
                <c:pt idx="33">
                  <c:v>3.7765834652763037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36-4C79-B379-A56ACE3A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5938529416045"/>
          <c:y val="6.1971968441762094E-2"/>
          <c:w val="0.72723268709771993"/>
          <c:h val="0.76110759921836357"/>
        </c:manualLayout>
      </c:layout>
      <c:scatterChart>
        <c:scatterStyle val="smoothMarker"/>
        <c:varyColors val="0"/>
        <c:ser>
          <c:idx val="0"/>
          <c:order val="0"/>
          <c:tx>
            <c:v>b1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'Iteration Data'!$R$3:$R$1000</c:f>
              <c:numCache>
                <c:formatCode>0.00</c:formatCode>
                <c:ptCount val="998"/>
                <c:pt idx="0">
                  <c:v>-9.625942306813029E-2</c:v>
                </c:pt>
                <c:pt idx="1">
                  <c:v>-7.9462529710451757E-2</c:v>
                </c:pt>
                <c:pt idx="2">
                  <c:v>-5.7641078487100178E-2</c:v>
                </c:pt>
                <c:pt idx="3">
                  <c:v>-3.0323043590844763E-2</c:v>
                </c:pt>
                <c:pt idx="4">
                  <c:v>2.964545000096401E-3</c:v>
                </c:pt>
                <c:pt idx="5">
                  <c:v>4.2793221809033812E-2</c:v>
                </c:pt>
                <c:pt idx="6">
                  <c:v>8.9834351618677005E-2</c:v>
                </c:pt>
                <c:pt idx="7">
                  <c:v>0.14484946266773879</c:v>
                </c:pt>
                <c:pt idx="8">
                  <c:v>0.20865533304758277</c:v>
                </c:pt>
                <c:pt idx="9">
                  <c:v>0.28204074767108667</c:v>
                </c:pt>
                <c:pt idx="10">
                  <c:v>0.36559818382050657</c:v>
                </c:pt>
                <c:pt idx="11">
                  <c:v>0.45942302412443209</c:v>
                </c:pt>
                <c:pt idx="12">
                  <c:v>0.56264887720048695</c:v>
                </c:pt>
                <c:pt idx="13">
                  <c:v>0.67288230589406195</c:v>
                </c:pt>
                <c:pt idx="14">
                  <c:v>0.78582262666703029</c:v>
                </c:pt>
                <c:pt idx="15">
                  <c:v>0.89559050387886763</c:v>
                </c:pt>
                <c:pt idx="16">
                  <c:v>0.99610849784356059</c:v>
                </c:pt>
                <c:pt idx="17">
                  <c:v>1.0830037664827081</c:v>
                </c:pt>
                <c:pt idx="18">
                  <c:v>1.154794905238945</c:v>
                </c:pt>
                <c:pt idx="19">
                  <c:v>1.2126886433844242</c:v>
                </c:pt>
                <c:pt idx="20">
                  <c:v>1.259465773369473</c:v>
                </c:pt>
                <c:pt idx="21">
                  <c:v>1.2983108998790798</c:v>
                </c:pt>
                <c:pt idx="22">
                  <c:v>1.3320482298623406</c:v>
                </c:pt>
                <c:pt idx="23">
                  <c:v>1.3628155111531028</c:v>
                </c:pt>
                <c:pt idx="24">
                  <c:v>1.3920355742956765</c:v>
                </c:pt>
                <c:pt idx="25">
                  <c:v>1.4205385993705011</c:v>
                </c:pt>
                <c:pt idx="26">
                  <c:v>1.4487311399404135</c:v>
                </c:pt>
                <c:pt idx="27">
                  <c:v>1.4767528332400921</c:v>
                </c:pt>
                <c:pt idx="28">
                  <c:v>1.5045962734250451</c:v>
                </c:pt>
                <c:pt idx="29">
                  <c:v>1.532187106408633</c:v>
                </c:pt>
                <c:pt idx="30">
                  <c:v>1.5594315810265849</c:v>
                </c:pt>
                <c:pt idx="31">
                  <c:v>1.5862413601971175</c:v>
                </c:pt>
                <c:pt idx="32">
                  <c:v>1.6125441911967155</c:v>
                </c:pt>
                <c:pt idx="33">
                  <c:v>1.6382866652714934</c:v>
                </c:pt>
              </c:numCache>
            </c:numRef>
          </c:xVal>
          <c:yVal>
            <c:numRef>
              <c:f>'Iteration Data'!$A$3:$A$1000</c:f>
              <c:numCache>
                <c:formatCode>0.00</c:formatCode>
                <c:ptCount val="998"/>
                <c:pt idx="0">
                  <c:v>1.96846399442027</c:v>
                </c:pt>
                <c:pt idx="1">
                  <c:v>1.95999624288271</c:v>
                </c:pt>
                <c:pt idx="2">
                  <c:v>1.951013454345389</c:v>
                </c:pt>
                <c:pt idx="3">
                  <c:v>1.9411857973433539</c:v>
                </c:pt>
                <c:pt idx="4">
                  <c:v>1.9301513996310589</c:v>
                </c:pt>
                <c:pt idx="5">
                  <c:v>1.9174810809093892</c:v>
                </c:pt>
                <c:pt idx="6">
                  <c:v>1.9026427104773349</c:v>
                </c:pt>
                <c:pt idx="7">
                  <c:v>1.8849591640521259</c:v>
                </c:pt>
                <c:pt idx="8">
                  <c:v>1.8635604004084279</c:v>
                </c:pt>
                <c:pt idx="9">
                  <c:v>1.837336036528411</c:v>
                </c:pt>
                <c:pt idx="10">
                  <c:v>1.8049076534262141</c:v>
                </c:pt>
                <c:pt idx="11">
                  <c:v>1.7646628972965148</c:v>
                </c:pt>
                <c:pt idx="12">
                  <c:v>1.714921090496063</c:v>
                </c:pt>
                <c:pt idx="13">
                  <c:v>1.6543008867221936</c:v>
                </c:pt>
                <c:pt idx="14">
                  <c:v>1.582268684545491</c:v>
                </c:pt>
                <c:pt idx="15">
                  <c:v>1.4996415811139907</c:v>
                </c:pt>
                <c:pt idx="16">
                  <c:v>1.4086883448187411</c:v>
                </c:pt>
                <c:pt idx="17">
                  <c:v>1.3126861894783972</c:v>
                </c:pt>
                <c:pt idx="18">
                  <c:v>1.2151890790081443</c:v>
                </c:pt>
                <c:pt idx="19">
                  <c:v>1.119386413166807</c:v>
                </c:pt>
                <c:pt idx="20">
                  <c:v>1.0277457876348048</c:v>
                </c:pt>
                <c:pt idx="21">
                  <c:v>0.94192367598563398</c:v>
                </c:pt>
                <c:pt idx="22">
                  <c:v>0.86284014189078651</c:v>
                </c:pt>
                <c:pt idx="23">
                  <c:v>0.79082529597887075</c:v>
                </c:pt>
                <c:pt idx="24">
                  <c:v>0.72578271537268979</c:v>
                </c:pt>
                <c:pt idx="25">
                  <c:v>0.66734037378105859</c:v>
                </c:pt>
                <c:pt idx="26">
                  <c:v>0.61497373154580315</c:v>
                </c:pt>
                <c:pt idx="27">
                  <c:v>0.56809573352423803</c:v>
                </c:pt>
                <c:pt idx="28">
                  <c:v>0.52611593335853069</c:v>
                </c:pt>
                <c:pt idx="29">
                  <c:v>0.48847503114161273</c:v>
                </c:pt>
                <c:pt idx="30">
                  <c:v>0.45466205602837167</c:v>
                </c:pt>
                <c:pt idx="31">
                  <c:v>0.42422047526037548</c:v>
                </c:pt>
                <c:pt idx="32">
                  <c:v>0.39674788571626746</c:v>
                </c:pt>
                <c:pt idx="33">
                  <c:v>0.37189238523572832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B0-4916-872D-904AA14BF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957695"/>
        <c:axId val="1491953119"/>
      </c:scatterChart>
      <c:valAx>
        <c:axId val="14919576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3119"/>
        <c:crosses val="autoZero"/>
        <c:crossBetween val="midCat"/>
      </c:valAx>
      <c:valAx>
        <c:axId val="149195311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957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chart" Target="../charts/chart3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chart" Target="../charts/chart2.xml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chart" Target="../charts/chart5.xml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chart" Target="../charts/chart8.xm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chart" Target="../charts/chart4.xml"/><Relationship Id="rId30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17</xdr:row>
      <xdr:rowOff>160020</xdr:rowOff>
    </xdr:from>
    <xdr:to>
      <xdr:col>2</xdr:col>
      <xdr:colOff>533400</xdr:colOff>
      <xdr:row>20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2540" y="32689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x1</a:t>
          </a:r>
        </a:p>
      </xdr:txBody>
    </xdr:sp>
    <xdr:clientData/>
  </xdr:twoCellAnchor>
  <xdr:twoCellAnchor>
    <xdr:from>
      <xdr:col>2</xdr:col>
      <xdr:colOff>83820</xdr:colOff>
      <xdr:row>22</xdr:row>
      <xdr:rowOff>45720</xdr:rowOff>
    </xdr:from>
    <xdr:to>
      <xdr:col>2</xdr:col>
      <xdr:colOff>563880</xdr:colOff>
      <xdr:row>24</xdr:row>
      <xdr:rowOff>106680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03020" y="40690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x2</a:t>
          </a:r>
        </a:p>
      </xdr:txBody>
    </xdr:sp>
    <xdr:clientData/>
  </xdr:twoCellAnchor>
  <xdr:twoCellAnchor>
    <xdr:from>
      <xdr:col>5</xdr:col>
      <xdr:colOff>114300</xdr:colOff>
      <xdr:row>19</xdr:row>
      <xdr:rowOff>53340</xdr:rowOff>
    </xdr:from>
    <xdr:to>
      <xdr:col>5</xdr:col>
      <xdr:colOff>594360</xdr:colOff>
      <xdr:row>21</xdr:row>
      <xdr:rowOff>114300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623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a1</a:t>
          </a:r>
        </a:p>
      </xdr:txBody>
    </xdr:sp>
    <xdr:clientData/>
  </xdr:twoCellAnchor>
  <xdr:twoCellAnchor>
    <xdr:from>
      <xdr:col>8</xdr:col>
      <xdr:colOff>76200</xdr:colOff>
      <xdr:row>19</xdr:row>
      <xdr:rowOff>53340</xdr:rowOff>
    </xdr:from>
    <xdr:to>
      <xdr:col>8</xdr:col>
      <xdr:colOff>556260</xdr:colOff>
      <xdr:row>21</xdr:row>
      <xdr:rowOff>114300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a2</a:t>
          </a:r>
        </a:p>
      </xdr:txBody>
    </xdr:sp>
    <xdr:clientData/>
  </xdr:twoCellAnchor>
  <xdr:twoCellAnchor>
    <xdr:from>
      <xdr:col>3</xdr:col>
      <xdr:colOff>68580</xdr:colOff>
      <xdr:row>18</xdr:row>
      <xdr:rowOff>160020</xdr:rowOff>
    </xdr:from>
    <xdr:to>
      <xdr:col>5</xdr:col>
      <xdr:colOff>7620</xdr:colOff>
      <xdr:row>20</xdr:row>
      <xdr:rowOff>38100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897380" y="3451860"/>
          <a:ext cx="1158240" cy="243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</xdr:colOff>
      <xdr:row>21</xdr:row>
      <xdr:rowOff>22860</xdr:rowOff>
    </xdr:from>
    <xdr:to>
      <xdr:col>4</xdr:col>
      <xdr:colOff>579120</xdr:colOff>
      <xdr:row>23</xdr:row>
      <xdr:rowOff>7620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7380" y="3863340"/>
          <a:ext cx="1120140" cy="350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20</xdr:row>
      <xdr:rowOff>60960</xdr:rowOff>
    </xdr:from>
    <xdr:to>
      <xdr:col>7</xdr:col>
      <xdr:colOff>548640</xdr:colOff>
      <xdr:row>20</xdr:row>
      <xdr:rowOff>60960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3749040" y="3718560"/>
          <a:ext cx="10668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381000</xdr:colOff>
      <xdr:row>18</xdr:row>
      <xdr:rowOff>0</xdr:rowOff>
    </xdr:from>
    <xdr:ext cx="569708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209800" y="329184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w1, b1</a:t>
          </a:r>
        </a:p>
      </xdr:txBody>
    </xdr:sp>
    <xdr:clientData/>
  </xdr:oneCellAnchor>
  <xdr:oneCellAnchor>
    <xdr:from>
      <xdr:col>3</xdr:col>
      <xdr:colOff>487680</xdr:colOff>
      <xdr:row>22</xdr:row>
      <xdr:rowOff>45720</xdr:rowOff>
    </xdr:from>
    <xdr:ext cx="569708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316480" y="406908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w2, b2</a:t>
          </a:r>
        </a:p>
      </xdr:txBody>
    </xdr:sp>
    <xdr:clientData/>
  </xdr:oneCellAnchor>
  <xdr:oneCellAnchor>
    <xdr:from>
      <xdr:col>6</xdr:col>
      <xdr:colOff>335280</xdr:colOff>
      <xdr:row>20</xdr:row>
      <xdr:rowOff>99060</xdr:rowOff>
    </xdr:from>
    <xdr:ext cx="569708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992880" y="375666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w3, b3</a:t>
          </a:r>
        </a:p>
      </xdr:txBody>
    </xdr:sp>
    <xdr:clientData/>
  </xdr:oneCellAnchor>
  <xdr:twoCellAnchor editAs="oneCell">
    <xdr:from>
      <xdr:col>0</xdr:col>
      <xdr:colOff>498477</xdr:colOff>
      <xdr:row>28</xdr:row>
      <xdr:rowOff>16934</xdr:rowOff>
    </xdr:from>
    <xdr:to>
      <xdr:col>5</xdr:col>
      <xdr:colOff>10583</xdr:colOff>
      <xdr:row>33</xdr:row>
      <xdr:rowOff>126850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477" y="5054601"/>
          <a:ext cx="2578098" cy="1006324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444501</xdr:colOff>
      <xdr:row>36</xdr:row>
      <xdr:rowOff>151343</xdr:rowOff>
    </xdr:from>
    <xdr:to>
      <xdr:col>5</xdr:col>
      <xdr:colOff>535516</xdr:colOff>
      <xdr:row>39</xdr:row>
      <xdr:rowOff>85397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501" y="6628343"/>
          <a:ext cx="3160182" cy="47697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42</xdr:row>
      <xdr:rowOff>59267</xdr:rowOff>
    </xdr:from>
    <xdr:to>
      <xdr:col>3</xdr:col>
      <xdr:colOff>515408</xdr:colOff>
      <xdr:row>45</xdr:row>
      <xdr:rowOff>45142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7615767"/>
          <a:ext cx="1785408" cy="522450"/>
        </a:xfrm>
        <a:prstGeom prst="rect">
          <a:avLst/>
        </a:prstGeom>
      </xdr:spPr>
    </xdr:pic>
    <xdr:clientData/>
  </xdr:twoCellAnchor>
  <xdr:twoCellAnchor editAs="oneCell">
    <xdr:from>
      <xdr:col>0</xdr:col>
      <xdr:colOff>469900</xdr:colOff>
      <xdr:row>52</xdr:row>
      <xdr:rowOff>14817</xdr:rowOff>
    </xdr:from>
    <xdr:to>
      <xdr:col>9</xdr:col>
      <xdr:colOff>106891</xdr:colOff>
      <xdr:row>55</xdr:row>
      <xdr:rowOff>30612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900" y="9370484"/>
          <a:ext cx="5164666" cy="552370"/>
        </a:xfrm>
        <a:prstGeom prst="rect">
          <a:avLst/>
        </a:prstGeom>
      </xdr:spPr>
    </xdr:pic>
    <xdr:clientData/>
  </xdr:twoCellAnchor>
  <xdr:twoCellAnchor editAs="oneCell">
    <xdr:from>
      <xdr:col>22</xdr:col>
      <xdr:colOff>701675</xdr:colOff>
      <xdr:row>25</xdr:row>
      <xdr:rowOff>123825</xdr:rowOff>
    </xdr:from>
    <xdr:to>
      <xdr:col>27</xdr:col>
      <xdr:colOff>288924</xdr:colOff>
      <xdr:row>29</xdr:row>
      <xdr:rowOff>67144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07092" y="4621742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22</xdr:col>
      <xdr:colOff>716492</xdr:colOff>
      <xdr:row>30</xdr:row>
      <xdr:rowOff>46568</xdr:rowOff>
    </xdr:from>
    <xdr:to>
      <xdr:col>26</xdr:col>
      <xdr:colOff>201084</xdr:colOff>
      <xdr:row>34</xdr:row>
      <xdr:rowOff>66159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21909" y="5444068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23</xdr:col>
      <xdr:colOff>2</xdr:colOff>
      <xdr:row>15</xdr:row>
      <xdr:rowOff>67733</xdr:rowOff>
    </xdr:from>
    <xdr:to>
      <xdr:col>27</xdr:col>
      <xdr:colOff>131235</xdr:colOff>
      <xdr:row>19</xdr:row>
      <xdr:rowOff>75677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35669" y="2766483"/>
          <a:ext cx="2586566" cy="727611"/>
        </a:xfrm>
        <a:prstGeom prst="rect">
          <a:avLst/>
        </a:prstGeom>
      </xdr:spPr>
    </xdr:pic>
    <xdr:clientData/>
  </xdr:twoCellAnchor>
  <xdr:twoCellAnchor editAs="oneCell">
    <xdr:from>
      <xdr:col>22</xdr:col>
      <xdr:colOff>694266</xdr:colOff>
      <xdr:row>20</xdr:row>
      <xdr:rowOff>110068</xdr:rowOff>
    </xdr:from>
    <xdr:to>
      <xdr:col>24</xdr:col>
      <xdr:colOff>582105</xdr:colOff>
      <xdr:row>24</xdr:row>
      <xdr:rowOff>67735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399683" y="3708401"/>
          <a:ext cx="1228747" cy="680508"/>
        </a:xfrm>
        <a:prstGeom prst="rect">
          <a:avLst/>
        </a:prstGeom>
      </xdr:spPr>
    </xdr:pic>
    <xdr:clientData/>
  </xdr:twoCellAnchor>
  <xdr:twoCellAnchor editAs="oneCell">
    <xdr:from>
      <xdr:col>28</xdr:col>
      <xdr:colOff>56092</xdr:colOff>
      <xdr:row>25</xdr:row>
      <xdr:rowOff>99483</xdr:rowOff>
    </xdr:from>
    <xdr:to>
      <xdr:col>32</xdr:col>
      <xdr:colOff>370415</xdr:colOff>
      <xdr:row>29</xdr:row>
      <xdr:rowOff>45977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60925" y="4597400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28</xdr:col>
      <xdr:colOff>70909</xdr:colOff>
      <xdr:row>30</xdr:row>
      <xdr:rowOff>28576</xdr:rowOff>
    </xdr:from>
    <xdr:to>
      <xdr:col>31</xdr:col>
      <xdr:colOff>285751</xdr:colOff>
      <xdr:row>34</xdr:row>
      <xdr:rowOff>44992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575742" y="5426076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28</xdr:col>
      <xdr:colOff>27516</xdr:colOff>
      <xdr:row>15</xdr:row>
      <xdr:rowOff>83040</xdr:rowOff>
    </xdr:from>
    <xdr:to>
      <xdr:col>32</xdr:col>
      <xdr:colOff>86783</xdr:colOff>
      <xdr:row>19</xdr:row>
      <xdr:rowOff>69753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532349" y="2781790"/>
          <a:ext cx="2508251" cy="706380"/>
        </a:xfrm>
        <a:prstGeom prst="rect">
          <a:avLst/>
        </a:prstGeom>
      </xdr:spPr>
    </xdr:pic>
    <xdr:clientData/>
  </xdr:twoCellAnchor>
  <xdr:twoCellAnchor editAs="oneCell">
    <xdr:from>
      <xdr:col>28</xdr:col>
      <xdr:colOff>42333</xdr:colOff>
      <xdr:row>20</xdr:row>
      <xdr:rowOff>88899</xdr:rowOff>
    </xdr:from>
    <xdr:to>
      <xdr:col>29</xdr:col>
      <xdr:colOff>543374</xdr:colOff>
      <xdr:row>24</xdr:row>
      <xdr:rowOff>92076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547166" y="3687232"/>
          <a:ext cx="1108525" cy="722843"/>
        </a:xfrm>
        <a:prstGeom prst="rect">
          <a:avLst/>
        </a:prstGeom>
      </xdr:spPr>
    </xdr:pic>
    <xdr:clientData/>
  </xdr:twoCellAnchor>
  <xdr:twoCellAnchor editAs="oneCell">
    <xdr:from>
      <xdr:col>34</xdr:col>
      <xdr:colOff>42333</xdr:colOff>
      <xdr:row>15</xdr:row>
      <xdr:rowOff>11642</xdr:rowOff>
    </xdr:from>
    <xdr:to>
      <xdr:col>40</xdr:col>
      <xdr:colOff>125942</xdr:colOff>
      <xdr:row>19</xdr:row>
      <xdr:rowOff>49765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616333" y="2710392"/>
          <a:ext cx="3760259" cy="757790"/>
        </a:xfrm>
        <a:prstGeom prst="rect">
          <a:avLst/>
        </a:prstGeom>
      </xdr:spPr>
    </xdr:pic>
    <xdr:clientData/>
  </xdr:twoCellAnchor>
  <xdr:twoCellAnchor editAs="oneCell">
    <xdr:from>
      <xdr:col>41</xdr:col>
      <xdr:colOff>1</xdr:colOff>
      <xdr:row>15</xdr:row>
      <xdr:rowOff>7408</xdr:rowOff>
    </xdr:from>
    <xdr:to>
      <xdr:col>47</xdr:col>
      <xdr:colOff>95250</xdr:colOff>
      <xdr:row>19</xdr:row>
      <xdr:rowOff>28767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870834" y="2706158"/>
          <a:ext cx="3778249" cy="744201"/>
        </a:xfrm>
        <a:prstGeom prst="rect">
          <a:avLst/>
        </a:prstGeom>
      </xdr:spPr>
    </xdr:pic>
    <xdr:clientData/>
  </xdr:twoCellAnchor>
  <xdr:twoCellAnchor editAs="oneCell">
    <xdr:from>
      <xdr:col>47</xdr:col>
      <xdr:colOff>600075</xdr:colOff>
      <xdr:row>15</xdr:row>
      <xdr:rowOff>17263</xdr:rowOff>
    </xdr:from>
    <xdr:to>
      <xdr:col>54</xdr:col>
      <xdr:colOff>95251</xdr:colOff>
      <xdr:row>19</xdr:row>
      <xdr:rowOff>29291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3908" y="2716013"/>
          <a:ext cx="3792009" cy="725345"/>
        </a:xfrm>
        <a:prstGeom prst="rect">
          <a:avLst/>
        </a:prstGeom>
      </xdr:spPr>
    </xdr:pic>
    <xdr:clientData/>
  </xdr:twoCellAnchor>
  <xdr:twoCellAnchor editAs="oneCell">
    <xdr:from>
      <xdr:col>54</xdr:col>
      <xdr:colOff>560917</xdr:colOff>
      <xdr:row>15</xdr:row>
      <xdr:rowOff>52917</xdr:rowOff>
    </xdr:from>
    <xdr:to>
      <xdr:col>60</xdr:col>
      <xdr:colOff>539750</xdr:colOff>
      <xdr:row>18</xdr:row>
      <xdr:rowOff>116683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411584" y="2751667"/>
          <a:ext cx="3665008" cy="603516"/>
        </a:xfrm>
        <a:prstGeom prst="rect">
          <a:avLst/>
        </a:prstGeom>
      </xdr:spPr>
    </xdr:pic>
    <xdr:clientData/>
  </xdr:twoCellAnchor>
  <xdr:twoCellAnchor editAs="oneCell">
    <xdr:from>
      <xdr:col>0</xdr:col>
      <xdr:colOff>391584</xdr:colOff>
      <xdr:row>56</xdr:row>
      <xdr:rowOff>158750</xdr:rowOff>
    </xdr:from>
    <xdr:to>
      <xdr:col>3</xdr:col>
      <xdr:colOff>264583</xdr:colOff>
      <xdr:row>59</xdr:row>
      <xdr:rowOff>130175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91584" y="10234083"/>
          <a:ext cx="1714499" cy="511175"/>
        </a:xfrm>
        <a:prstGeom prst="rect">
          <a:avLst/>
        </a:prstGeom>
      </xdr:spPr>
    </xdr:pic>
    <xdr:clientData/>
  </xdr:twoCellAnchor>
  <xdr:twoCellAnchor editAs="oneCell">
    <xdr:from>
      <xdr:col>0</xdr:col>
      <xdr:colOff>564093</xdr:colOff>
      <xdr:row>47</xdr:row>
      <xdr:rowOff>0</xdr:rowOff>
    </xdr:from>
    <xdr:to>
      <xdr:col>4</xdr:col>
      <xdr:colOff>427568</xdr:colOff>
      <xdr:row>51</xdr:row>
      <xdr:rowOff>37999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64093" y="8456083"/>
          <a:ext cx="2325158" cy="7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476249</xdr:colOff>
      <xdr:row>60</xdr:row>
      <xdr:rowOff>63500</xdr:rowOff>
    </xdr:from>
    <xdr:to>
      <xdr:col>4</xdr:col>
      <xdr:colOff>401993</xdr:colOff>
      <xdr:row>64</xdr:row>
      <xdr:rowOff>87841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76249" y="10858500"/>
          <a:ext cx="2381077" cy="740833"/>
        </a:xfrm>
        <a:prstGeom prst="rect">
          <a:avLst/>
        </a:prstGeom>
      </xdr:spPr>
    </xdr:pic>
    <xdr:clientData/>
  </xdr:twoCellAnchor>
  <xdr:twoCellAnchor editAs="oneCell">
    <xdr:from>
      <xdr:col>34</xdr:col>
      <xdr:colOff>354542</xdr:colOff>
      <xdr:row>40</xdr:row>
      <xdr:rowOff>25400</xdr:rowOff>
    </xdr:from>
    <xdr:to>
      <xdr:col>37</xdr:col>
      <xdr:colOff>582084</xdr:colOff>
      <xdr:row>44</xdr:row>
      <xdr:rowOff>48166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28542" y="7222067"/>
          <a:ext cx="2065867" cy="739258"/>
        </a:xfrm>
        <a:prstGeom prst="rect">
          <a:avLst/>
        </a:prstGeom>
      </xdr:spPr>
    </xdr:pic>
    <xdr:clientData/>
  </xdr:twoCellAnchor>
  <xdr:twoCellAnchor editAs="oneCell">
    <xdr:from>
      <xdr:col>34</xdr:col>
      <xdr:colOff>359833</xdr:colOff>
      <xdr:row>35</xdr:row>
      <xdr:rowOff>113243</xdr:rowOff>
    </xdr:from>
    <xdr:to>
      <xdr:col>39</xdr:col>
      <xdr:colOff>69848</xdr:colOff>
      <xdr:row>39</xdr:row>
      <xdr:rowOff>66088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933833" y="6410326"/>
          <a:ext cx="2776007" cy="669336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30</xdr:row>
      <xdr:rowOff>101601</xdr:rowOff>
    </xdr:from>
    <xdr:to>
      <xdr:col>36</xdr:col>
      <xdr:colOff>477309</xdr:colOff>
      <xdr:row>34</xdr:row>
      <xdr:rowOff>149323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912668" y="5499101"/>
          <a:ext cx="1366308" cy="767389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285751</xdr:colOff>
      <xdr:row>25</xdr:row>
      <xdr:rowOff>46568</xdr:rowOff>
    </xdr:from>
    <xdr:to>
      <xdr:col>39</xdr:col>
      <xdr:colOff>275168</xdr:colOff>
      <xdr:row>29</xdr:row>
      <xdr:rowOff>66314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859751" y="4544485"/>
          <a:ext cx="3061759" cy="742588"/>
        </a:xfrm>
        <a:prstGeom prst="rect">
          <a:avLst/>
        </a:prstGeom>
      </xdr:spPr>
    </xdr:pic>
    <xdr:clientData/>
  </xdr:twoCellAnchor>
  <xdr:twoCellAnchor editAs="oneCell">
    <xdr:from>
      <xdr:col>41</xdr:col>
      <xdr:colOff>322792</xdr:colOff>
      <xdr:row>39</xdr:row>
      <xdr:rowOff>176742</xdr:rowOff>
    </xdr:from>
    <xdr:to>
      <xdr:col>44</xdr:col>
      <xdr:colOff>550334</xdr:colOff>
      <xdr:row>44</xdr:row>
      <xdr:rowOff>10066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93625" y="7193492"/>
          <a:ext cx="2069042" cy="736083"/>
        </a:xfrm>
        <a:prstGeom prst="rect">
          <a:avLst/>
        </a:prstGeom>
      </xdr:spPr>
    </xdr:pic>
    <xdr:clientData/>
  </xdr:twoCellAnchor>
  <xdr:twoCellAnchor editAs="oneCell">
    <xdr:from>
      <xdr:col>41</xdr:col>
      <xdr:colOff>328083</xdr:colOff>
      <xdr:row>35</xdr:row>
      <xdr:rowOff>75143</xdr:rowOff>
    </xdr:from>
    <xdr:to>
      <xdr:col>46</xdr:col>
      <xdr:colOff>31749</xdr:colOff>
      <xdr:row>39</xdr:row>
      <xdr:rowOff>31163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98916" y="6372226"/>
          <a:ext cx="2776007" cy="672511"/>
        </a:xfrm>
        <a:prstGeom prst="rect">
          <a:avLst/>
        </a:prstGeom>
      </xdr:spPr>
    </xdr:pic>
    <xdr:clientData/>
  </xdr:twoCellAnchor>
  <xdr:twoCellAnchor editAs="oneCell">
    <xdr:from>
      <xdr:col>41</xdr:col>
      <xdr:colOff>300568</xdr:colOff>
      <xdr:row>30</xdr:row>
      <xdr:rowOff>73026</xdr:rowOff>
    </xdr:from>
    <xdr:to>
      <xdr:col>43</xdr:col>
      <xdr:colOff>445560</xdr:colOff>
      <xdr:row>34</xdr:row>
      <xdr:rowOff>120748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71401" y="5470526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41</xdr:col>
      <xdr:colOff>254001</xdr:colOff>
      <xdr:row>25</xdr:row>
      <xdr:rowOff>17993</xdr:rowOff>
    </xdr:from>
    <xdr:to>
      <xdr:col>46</xdr:col>
      <xdr:colOff>246594</xdr:colOff>
      <xdr:row>29</xdr:row>
      <xdr:rowOff>37739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124834" y="4515910"/>
          <a:ext cx="3061759" cy="739413"/>
        </a:xfrm>
        <a:prstGeom prst="rect">
          <a:avLst/>
        </a:prstGeom>
      </xdr:spPr>
    </xdr:pic>
    <xdr:clientData/>
  </xdr:twoCellAnchor>
  <xdr:twoCellAnchor editAs="oneCell">
    <xdr:from>
      <xdr:col>48</xdr:col>
      <xdr:colOff>147108</xdr:colOff>
      <xdr:row>40</xdr:row>
      <xdr:rowOff>10583</xdr:rowOff>
    </xdr:from>
    <xdr:to>
      <xdr:col>51</xdr:col>
      <xdr:colOff>371475</xdr:colOff>
      <xdr:row>44</xdr:row>
      <xdr:rowOff>26999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314775" y="7207250"/>
          <a:ext cx="2069042" cy="739258"/>
        </a:xfrm>
        <a:prstGeom prst="rect">
          <a:avLst/>
        </a:prstGeom>
      </xdr:spPr>
    </xdr:pic>
    <xdr:clientData/>
  </xdr:twoCellAnchor>
  <xdr:twoCellAnchor editAs="oneCell">
    <xdr:from>
      <xdr:col>48</xdr:col>
      <xdr:colOff>161924</xdr:colOff>
      <xdr:row>35</xdr:row>
      <xdr:rowOff>95251</xdr:rowOff>
    </xdr:from>
    <xdr:to>
      <xdr:col>52</xdr:col>
      <xdr:colOff>488948</xdr:colOff>
      <xdr:row>39</xdr:row>
      <xdr:rowOff>44921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329591" y="6392334"/>
          <a:ext cx="2779182" cy="672511"/>
        </a:xfrm>
        <a:prstGeom prst="rect">
          <a:avLst/>
        </a:prstGeom>
      </xdr:spPr>
    </xdr:pic>
    <xdr:clientData/>
  </xdr:twoCellAnchor>
  <xdr:twoCellAnchor editAs="oneCell">
    <xdr:from>
      <xdr:col>48</xdr:col>
      <xdr:colOff>134409</xdr:colOff>
      <xdr:row>30</xdr:row>
      <xdr:rowOff>83609</xdr:rowOff>
    </xdr:from>
    <xdr:to>
      <xdr:col>50</xdr:col>
      <xdr:colOff>276225</xdr:colOff>
      <xdr:row>34</xdr:row>
      <xdr:rowOff>131331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02076" y="5481109"/>
          <a:ext cx="1372658" cy="767389"/>
        </a:xfrm>
        <a:prstGeom prst="rect">
          <a:avLst/>
        </a:prstGeom>
      </xdr:spPr>
    </xdr:pic>
    <xdr:clientData/>
  </xdr:twoCellAnchor>
  <xdr:twoCellAnchor editAs="oneCell">
    <xdr:from>
      <xdr:col>48</xdr:col>
      <xdr:colOff>87842</xdr:colOff>
      <xdr:row>25</xdr:row>
      <xdr:rowOff>28576</xdr:rowOff>
    </xdr:from>
    <xdr:to>
      <xdr:col>53</xdr:col>
      <xdr:colOff>77259</xdr:colOff>
      <xdr:row>29</xdr:row>
      <xdr:rowOff>45147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55509" y="4526493"/>
          <a:ext cx="3058584" cy="733063"/>
        </a:xfrm>
        <a:prstGeom prst="rect">
          <a:avLst/>
        </a:prstGeom>
      </xdr:spPr>
    </xdr:pic>
    <xdr:clientData/>
  </xdr:twoCellAnchor>
  <xdr:twoCellAnchor editAs="oneCell">
    <xdr:from>
      <xdr:col>55</xdr:col>
      <xdr:colOff>164042</xdr:colOff>
      <xdr:row>40</xdr:row>
      <xdr:rowOff>10583</xdr:rowOff>
    </xdr:from>
    <xdr:to>
      <xdr:col>58</xdr:col>
      <xdr:colOff>397934</xdr:colOff>
      <xdr:row>44</xdr:row>
      <xdr:rowOff>30174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8542" y="7207250"/>
          <a:ext cx="2075392" cy="736083"/>
        </a:xfrm>
        <a:prstGeom prst="rect">
          <a:avLst/>
        </a:prstGeom>
      </xdr:spPr>
    </xdr:pic>
    <xdr:clientData/>
  </xdr:twoCellAnchor>
  <xdr:twoCellAnchor editAs="oneCell">
    <xdr:from>
      <xdr:col>55</xdr:col>
      <xdr:colOff>175683</xdr:colOff>
      <xdr:row>35</xdr:row>
      <xdr:rowOff>92076</xdr:rowOff>
    </xdr:from>
    <xdr:to>
      <xdr:col>59</xdr:col>
      <xdr:colOff>496356</xdr:colOff>
      <xdr:row>39</xdr:row>
      <xdr:rowOff>44921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40183" y="6389159"/>
          <a:ext cx="2776007" cy="675686"/>
        </a:xfrm>
        <a:prstGeom prst="rect">
          <a:avLst/>
        </a:prstGeom>
      </xdr:spPr>
    </xdr:pic>
    <xdr:clientData/>
  </xdr:twoCellAnchor>
  <xdr:twoCellAnchor editAs="oneCell">
    <xdr:from>
      <xdr:col>55</xdr:col>
      <xdr:colOff>151343</xdr:colOff>
      <xdr:row>30</xdr:row>
      <xdr:rowOff>86784</xdr:rowOff>
    </xdr:from>
    <xdr:to>
      <xdr:col>57</xdr:col>
      <xdr:colOff>296334</xdr:colOff>
      <xdr:row>34</xdr:row>
      <xdr:rowOff>131331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615843" y="5484284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55</xdr:col>
      <xdr:colOff>95251</xdr:colOff>
      <xdr:row>25</xdr:row>
      <xdr:rowOff>25401</xdr:rowOff>
    </xdr:from>
    <xdr:to>
      <xdr:col>60</xdr:col>
      <xdr:colOff>87843</xdr:colOff>
      <xdr:row>29</xdr:row>
      <xdr:rowOff>48322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559751" y="4523318"/>
          <a:ext cx="3058584" cy="739413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20</xdr:row>
      <xdr:rowOff>148168</xdr:rowOff>
    </xdr:from>
    <xdr:to>
      <xdr:col>36</xdr:col>
      <xdr:colOff>419984</xdr:colOff>
      <xdr:row>24</xdr:row>
      <xdr:rowOff>102660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912668" y="3746501"/>
          <a:ext cx="1308983" cy="674158"/>
        </a:xfrm>
        <a:prstGeom prst="rect">
          <a:avLst/>
        </a:prstGeom>
      </xdr:spPr>
    </xdr:pic>
    <xdr:clientData/>
  </xdr:twoCellAnchor>
  <xdr:twoCellAnchor editAs="oneCell">
    <xdr:from>
      <xdr:col>41</xdr:col>
      <xdr:colOff>258234</xdr:colOff>
      <xdr:row>20</xdr:row>
      <xdr:rowOff>60326</xdr:rowOff>
    </xdr:from>
    <xdr:to>
      <xdr:col>43</xdr:col>
      <xdr:colOff>201085</xdr:colOff>
      <xdr:row>24</xdr:row>
      <xdr:rowOff>104303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129067" y="3658659"/>
          <a:ext cx="1173692" cy="760468"/>
        </a:xfrm>
        <a:prstGeom prst="rect">
          <a:avLst/>
        </a:prstGeom>
      </xdr:spPr>
    </xdr:pic>
    <xdr:clientData/>
  </xdr:twoCellAnchor>
  <xdr:twoCellAnchor editAs="oneCell">
    <xdr:from>
      <xdr:col>55</xdr:col>
      <xdr:colOff>296334</xdr:colOff>
      <xdr:row>20</xdr:row>
      <xdr:rowOff>137585</xdr:rowOff>
    </xdr:from>
    <xdr:to>
      <xdr:col>57</xdr:col>
      <xdr:colOff>34926</xdr:colOff>
      <xdr:row>24</xdr:row>
      <xdr:rowOff>7634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3760834" y="3735918"/>
          <a:ext cx="966259" cy="589715"/>
        </a:xfrm>
        <a:prstGeom prst="rect">
          <a:avLst/>
        </a:prstGeom>
      </xdr:spPr>
    </xdr:pic>
    <xdr:clientData/>
  </xdr:twoCellAnchor>
  <xdr:twoCellAnchor editAs="oneCell">
    <xdr:from>
      <xdr:col>48</xdr:col>
      <xdr:colOff>127000</xdr:colOff>
      <xdr:row>20</xdr:row>
      <xdr:rowOff>63501</xdr:rowOff>
    </xdr:from>
    <xdr:to>
      <xdr:col>50</xdr:col>
      <xdr:colOff>353483</xdr:colOff>
      <xdr:row>24</xdr:row>
      <xdr:rowOff>97444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294667" y="3661834"/>
          <a:ext cx="1457325" cy="753609"/>
        </a:xfrm>
        <a:prstGeom prst="rect">
          <a:avLst/>
        </a:prstGeom>
      </xdr:spPr>
    </xdr:pic>
    <xdr:clientData/>
  </xdr:twoCellAnchor>
  <xdr:twoCellAnchor>
    <xdr:from>
      <xdr:col>22</xdr:col>
      <xdr:colOff>600075</xdr:colOff>
      <xdr:row>25</xdr:row>
      <xdr:rowOff>28575</xdr:rowOff>
    </xdr:from>
    <xdr:to>
      <xdr:col>32</xdr:col>
      <xdr:colOff>539750</xdr:colOff>
      <xdr:row>34</xdr:row>
      <xdr:rowOff>74083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4305492" y="4526492"/>
          <a:ext cx="6194425" cy="166475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246590</xdr:colOff>
      <xdr:row>1</xdr:row>
      <xdr:rowOff>169333</xdr:rowOff>
    </xdr:from>
    <xdr:to>
      <xdr:col>33</xdr:col>
      <xdr:colOff>257173</xdr:colOff>
      <xdr:row>46</xdr:row>
      <xdr:rowOff>28575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>
          <a:off x="20820590" y="349250"/>
          <a:ext cx="10583" cy="7955492"/>
        </a:xfrm>
        <a:prstGeom prst="line">
          <a:avLst/>
        </a:prstGeom>
        <a:ln w="15875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42334</xdr:colOff>
      <xdr:row>25</xdr:row>
      <xdr:rowOff>21166</xdr:rowOff>
    </xdr:from>
    <xdr:to>
      <xdr:col>61</xdr:col>
      <xdr:colOff>21167</xdr:colOff>
      <xdr:row>45</xdr:row>
      <xdr:rowOff>74083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1230167" y="4519083"/>
          <a:ext cx="16552333" cy="365125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582069</xdr:colOff>
      <xdr:row>16</xdr:row>
      <xdr:rowOff>74083</xdr:rowOff>
    </xdr:from>
    <xdr:to>
      <xdr:col>20</xdr:col>
      <xdr:colOff>136441</xdr:colOff>
      <xdr:row>47</xdr:row>
      <xdr:rowOff>7770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396094</xdr:colOff>
      <xdr:row>65</xdr:row>
      <xdr:rowOff>131354</xdr:rowOff>
    </xdr:from>
    <xdr:to>
      <xdr:col>10</xdr:col>
      <xdr:colOff>658528</xdr:colOff>
      <xdr:row>92</xdr:row>
      <xdr:rowOff>58123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334056</xdr:colOff>
          <xdr:row>27</xdr:row>
          <xdr:rowOff>73931</xdr:rowOff>
        </xdr:from>
        <xdr:to>
          <xdr:col>9</xdr:col>
          <xdr:colOff>130402</xdr:colOff>
          <xdr:row>29</xdr:row>
          <xdr:rowOff>113393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Single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30</xdr:row>
          <xdr:rowOff>20639</xdr:rowOff>
        </xdr:from>
        <xdr:to>
          <xdr:col>9</xdr:col>
          <xdr:colOff>130402</xdr:colOff>
          <xdr:row>32</xdr:row>
          <xdr:rowOff>51028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Iteration History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495208</xdr:colOff>
      <xdr:row>35</xdr:row>
      <xdr:rowOff>174201</xdr:rowOff>
    </xdr:from>
    <xdr:to>
      <xdr:col>27</xdr:col>
      <xdr:colOff>214527</xdr:colOff>
      <xdr:row>48</xdr:row>
      <xdr:rowOff>85811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27</xdr:col>
      <xdr:colOff>540607</xdr:colOff>
      <xdr:row>36</xdr:row>
      <xdr:rowOff>17163</xdr:rowOff>
    </xdr:from>
    <xdr:to>
      <xdr:col>32</xdr:col>
      <xdr:colOff>380062</xdr:colOff>
      <xdr:row>48</xdr:row>
      <xdr:rowOff>108976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34</xdr:col>
      <xdr:colOff>94392</xdr:colOff>
      <xdr:row>46</xdr:row>
      <xdr:rowOff>94391</xdr:rowOff>
    </xdr:from>
    <xdr:to>
      <xdr:col>38</xdr:col>
      <xdr:colOff>543103</xdr:colOff>
      <xdr:row>59</xdr:row>
      <xdr:rowOff>6001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41</xdr:col>
      <xdr:colOff>51487</xdr:colOff>
      <xdr:row>46</xdr:row>
      <xdr:rowOff>77229</xdr:rowOff>
    </xdr:from>
    <xdr:to>
      <xdr:col>45</xdr:col>
      <xdr:colOff>500198</xdr:colOff>
      <xdr:row>58</xdr:row>
      <xdr:rowOff>169042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47</xdr:col>
      <xdr:colOff>566351</xdr:colOff>
      <xdr:row>46</xdr:row>
      <xdr:rowOff>51486</xdr:rowOff>
    </xdr:from>
    <xdr:to>
      <xdr:col>52</xdr:col>
      <xdr:colOff>405805</xdr:colOff>
      <xdr:row>58</xdr:row>
      <xdr:rowOff>143299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55</xdr:col>
      <xdr:colOff>102972</xdr:colOff>
      <xdr:row>46</xdr:row>
      <xdr:rowOff>85810</xdr:rowOff>
    </xdr:from>
    <xdr:to>
      <xdr:col>59</xdr:col>
      <xdr:colOff>551683</xdr:colOff>
      <xdr:row>58</xdr:row>
      <xdr:rowOff>177623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431120</xdr:colOff>
          <xdr:row>32</xdr:row>
          <xdr:rowOff>161017</xdr:rowOff>
        </xdr:from>
        <xdr:to>
          <xdr:col>9</xdr:col>
          <xdr:colOff>5670</xdr:colOff>
          <xdr:row>35</xdr:row>
          <xdr:rowOff>147410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436712</xdr:colOff>
          <xdr:row>36</xdr:row>
          <xdr:rowOff>68187</xdr:rowOff>
        </xdr:from>
        <xdr:to>
          <xdr:col>9</xdr:col>
          <xdr:colOff>26079</xdr:colOff>
          <xdr:row>39</xdr:row>
          <xdr:rowOff>61838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Good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433162</xdr:colOff>
          <xdr:row>39</xdr:row>
          <xdr:rowOff>155198</xdr:rowOff>
        </xdr:from>
        <xdr:to>
          <xdr:col>9</xdr:col>
          <xdr:colOff>20411</xdr:colOff>
          <xdr:row>42</xdr:row>
          <xdr:rowOff>158750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Instantiate Weights - Bad 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D379-7A15-4C38-8A8E-23B32B128455}">
  <sheetPr codeName="Sheet1"/>
  <dimension ref="B2:BI209"/>
  <sheetViews>
    <sheetView tabSelected="1" zoomScale="60" zoomScaleNormal="60" workbookViewId="0"/>
  </sheetViews>
  <sheetFormatPr defaultRowHeight="14.5" x14ac:dyDescent="0.35"/>
  <cols>
    <col min="11" max="11" width="10.54296875" customWidth="1"/>
    <col min="13" max="13" width="9.90625" customWidth="1"/>
    <col min="23" max="23" width="10.453125" customWidth="1"/>
  </cols>
  <sheetData>
    <row r="2" spans="3:61" ht="15" thickBot="1" x14ac:dyDescent="0.4"/>
    <row r="3" spans="3:61" x14ac:dyDescent="0.35">
      <c r="C3" s="71" t="s">
        <v>5</v>
      </c>
      <c r="D3" s="71"/>
      <c r="E3" s="71"/>
      <c r="G3" s="71" t="s">
        <v>7</v>
      </c>
      <c r="H3" s="71"/>
      <c r="I3" s="71"/>
      <c r="X3" s="66" t="s">
        <v>10</v>
      </c>
      <c r="Y3" s="67"/>
      <c r="Z3" s="67"/>
      <c r="AA3" s="68"/>
      <c r="AC3" s="66" t="s">
        <v>13</v>
      </c>
      <c r="AD3" s="67"/>
      <c r="AE3" s="67"/>
      <c r="AF3" s="68"/>
      <c r="AG3" s="4"/>
      <c r="AI3" s="66" t="s">
        <v>9</v>
      </c>
      <c r="AJ3" s="67"/>
      <c r="AK3" s="67"/>
      <c r="AL3" s="67"/>
      <c r="AM3" s="67"/>
      <c r="AN3" s="68"/>
      <c r="AP3" s="66" t="s">
        <v>12</v>
      </c>
      <c r="AQ3" s="67"/>
      <c r="AR3" s="67"/>
      <c r="AS3" s="67"/>
      <c r="AT3" s="67"/>
      <c r="AU3" s="68"/>
      <c r="AW3" s="66" t="s">
        <v>8</v>
      </c>
      <c r="AX3" s="69"/>
      <c r="AY3" s="69"/>
      <c r="AZ3" s="69"/>
      <c r="BA3" s="69"/>
      <c r="BB3" s="70"/>
      <c r="BD3" s="66" t="s">
        <v>11</v>
      </c>
      <c r="BE3" s="69"/>
      <c r="BF3" s="69"/>
      <c r="BG3" s="69"/>
      <c r="BH3" s="69"/>
      <c r="BI3" s="70"/>
    </row>
    <row r="4" spans="3:61" ht="15" thickBot="1" x14ac:dyDescent="0.4">
      <c r="C4" s="1" t="s">
        <v>3</v>
      </c>
      <c r="D4" s="1" t="s">
        <v>6</v>
      </c>
      <c r="E4" s="1" t="s">
        <v>4</v>
      </c>
      <c r="G4" s="1" t="s">
        <v>3</v>
      </c>
      <c r="H4" s="1" t="s">
        <v>6</v>
      </c>
      <c r="I4" s="1" t="s">
        <v>4</v>
      </c>
      <c r="K4" s="2" t="s">
        <v>18</v>
      </c>
      <c r="M4" s="4" t="s">
        <v>21</v>
      </c>
      <c r="R4" t="s">
        <v>15</v>
      </c>
      <c r="S4" t="s">
        <v>16</v>
      </c>
      <c r="T4" t="s">
        <v>14</v>
      </c>
      <c r="U4" t="s">
        <v>17</v>
      </c>
      <c r="X4" s="8" t="s">
        <v>19</v>
      </c>
      <c r="Y4" s="9" t="s">
        <v>31</v>
      </c>
      <c r="Z4" s="9" t="s">
        <v>20</v>
      </c>
      <c r="AA4" s="10" t="s">
        <v>53</v>
      </c>
      <c r="AC4" s="8" t="s">
        <v>22</v>
      </c>
      <c r="AD4" s="9" t="s">
        <v>23</v>
      </c>
      <c r="AE4" s="9" t="s">
        <v>20</v>
      </c>
      <c r="AF4" s="10" t="s">
        <v>53</v>
      </c>
      <c r="AI4" s="8" t="s">
        <v>52</v>
      </c>
      <c r="AJ4" s="9" t="s">
        <v>51</v>
      </c>
      <c r="AK4" s="9" t="s">
        <v>50</v>
      </c>
      <c r="AL4" s="9" t="s">
        <v>49</v>
      </c>
      <c r="AM4" s="9" t="s">
        <v>20</v>
      </c>
      <c r="AN4" s="10" t="s">
        <v>53</v>
      </c>
      <c r="AP4" s="8" t="s">
        <v>55</v>
      </c>
      <c r="AQ4" s="9" t="s">
        <v>54</v>
      </c>
      <c r="AR4" s="9" t="s">
        <v>50</v>
      </c>
      <c r="AS4" s="9" t="s">
        <v>49</v>
      </c>
      <c r="AT4" s="9" t="s">
        <v>20</v>
      </c>
      <c r="AU4" s="10" t="s">
        <v>53</v>
      </c>
      <c r="AW4" s="8" t="s">
        <v>57</v>
      </c>
      <c r="AX4" s="9" t="s">
        <v>56</v>
      </c>
      <c r="AY4" s="9" t="s">
        <v>50</v>
      </c>
      <c r="AZ4" s="9" t="s">
        <v>49</v>
      </c>
      <c r="BA4" s="9" t="s">
        <v>20</v>
      </c>
      <c r="BB4" s="10" t="s">
        <v>53</v>
      </c>
      <c r="BD4" s="8" t="s">
        <v>59</v>
      </c>
      <c r="BE4" s="9" t="s">
        <v>58</v>
      </c>
      <c r="BF4" s="9" t="s">
        <v>50</v>
      </c>
      <c r="BG4" s="9" t="s">
        <v>49</v>
      </c>
      <c r="BH4" s="9" t="s">
        <v>20</v>
      </c>
      <c r="BI4" s="10" t="s">
        <v>53</v>
      </c>
    </row>
    <row r="5" spans="3:61" x14ac:dyDescent="0.35">
      <c r="C5" s="1">
        <v>22</v>
      </c>
      <c r="D5" s="1">
        <v>55</v>
      </c>
      <c r="E5" s="1">
        <v>0</v>
      </c>
      <c r="G5" s="3">
        <f>C5/MAX($C$5:$C$12)</f>
        <v>0.33333333333333331</v>
      </c>
      <c r="H5" s="3">
        <f>D5/MAX($D$5:$D$12)</f>
        <v>1</v>
      </c>
      <c r="I5">
        <f>E5</f>
        <v>0</v>
      </c>
      <c r="K5" s="6">
        <f>T5</f>
        <v>0.11986724853600159</v>
      </c>
      <c r="M5" s="6">
        <f>(K5-I5)^2</f>
        <v>1.4368157271591575E-2</v>
      </c>
      <c r="O5" s="19" t="s">
        <v>8</v>
      </c>
      <c r="P5" s="47">
        <v>3.7765834652763037</v>
      </c>
      <c r="R5" s="6">
        <f>(U5*$P$7) + $P$10</f>
        <v>-1.9936878818089334</v>
      </c>
      <c r="S5" s="6">
        <f>(G5 * $P$5) + $P$8 + (H5 * $P$6) + $P$9</f>
        <v>-3.3392643558235968</v>
      </c>
      <c r="T5" s="6">
        <f>1/(1+ EXP(-R5))</f>
        <v>0.11986724853600159</v>
      </c>
      <c r="U5" s="6">
        <f>1/(1+ EXP(-S5))</f>
        <v>3.4248481173071589E-2</v>
      </c>
      <c r="W5" s="6"/>
      <c r="X5" s="11">
        <f>Y5*Z5*AA5</f>
        <v>8.6620476299081254E-4</v>
      </c>
      <c r="Y5" s="12">
        <f>U5</f>
        <v>3.4248481173071589E-2</v>
      </c>
      <c r="Z5" s="12">
        <f>$T5 * (1 - $T5)</f>
        <v>0.10549909126441001</v>
      </c>
      <c r="AA5" s="13">
        <f>2 * ($T5 - $I5)</f>
        <v>0.23973449707200317</v>
      </c>
      <c r="AC5" s="11">
        <f>AD5*AE5*AF5</f>
        <v>2.5291771585826697E-2</v>
      </c>
      <c r="AD5" s="12">
        <v>1</v>
      </c>
      <c r="AE5" s="12">
        <f>$T5 * (1 - $T5)</f>
        <v>0.10549909126441001</v>
      </c>
      <c r="AF5" s="13">
        <f>2 * ($T5 - $I5)</f>
        <v>0.23973449707200317</v>
      </c>
      <c r="AG5" s="6"/>
      <c r="AI5" s="11">
        <f>AJ5*AK5*AL5*AM5*AN5</f>
        <v>4.4045613858197073E-3</v>
      </c>
      <c r="AJ5" s="12">
        <f>H5</f>
        <v>1</v>
      </c>
      <c r="AK5" s="12">
        <f>$U5 * (1 - $U5)</f>
        <v>3.3075522710409352E-2</v>
      </c>
      <c r="AL5" s="12">
        <f>$P$7</f>
        <v>5.2652221518641413</v>
      </c>
      <c r="AM5" s="12">
        <f>$T5 * (1 - $T5)</f>
        <v>0.10549909126441001</v>
      </c>
      <c r="AN5" s="13">
        <f>2 * ($T5 - $I5)</f>
        <v>0.23973449707200317</v>
      </c>
      <c r="AP5" s="11">
        <f>AQ5*AR5*AS5*AT5*AU5</f>
        <v>4.4045613858197073E-3</v>
      </c>
      <c r="AQ5" s="12">
        <v>1</v>
      </c>
      <c r="AR5" s="12">
        <f>$U5 * (1 - $U5)</f>
        <v>3.3075522710409352E-2</v>
      </c>
      <c r="AS5" s="12">
        <f>$P$7</f>
        <v>5.2652221518641413</v>
      </c>
      <c r="AT5" s="12">
        <f>$T5 * (1 - $T5)</f>
        <v>0.10549909126441001</v>
      </c>
      <c r="AU5" s="13">
        <f>2 * ($T5 - $I5)</f>
        <v>0.23973449707200317</v>
      </c>
      <c r="AW5" s="11">
        <f>AX5*AY5*AZ5*BA5*BB5</f>
        <v>1.4681871286065691E-3</v>
      </c>
      <c r="AX5" s="12">
        <f>G5</f>
        <v>0.33333333333333331</v>
      </c>
      <c r="AY5" s="12">
        <f>$U5 * (1 - $U5)</f>
        <v>3.3075522710409352E-2</v>
      </c>
      <c r="AZ5" s="12">
        <f>$P$7</f>
        <v>5.2652221518641413</v>
      </c>
      <c r="BA5" s="12">
        <f>$T5 * (1 - $T5)</f>
        <v>0.10549909126441001</v>
      </c>
      <c r="BB5" s="13">
        <f>2 * ($T5 - $I5)</f>
        <v>0.23973449707200317</v>
      </c>
      <c r="BD5" s="11">
        <f>BE5*BF5*BG5*BH5*BI5</f>
        <v>4.4045613858197073E-3</v>
      </c>
      <c r="BE5" s="12">
        <f>1</f>
        <v>1</v>
      </c>
      <c r="BF5" s="12">
        <f>$U5 * (1 - $U5)</f>
        <v>3.3075522710409352E-2</v>
      </c>
      <c r="BG5" s="12">
        <f>$P$7</f>
        <v>5.2652221518641413</v>
      </c>
      <c r="BH5" s="12">
        <f>$T5 * (1 - $T5)</f>
        <v>0.10549909126441001</v>
      </c>
      <c r="BI5" s="13">
        <f>2 * ($T5 - $I5)</f>
        <v>0.23973449707200317</v>
      </c>
    </row>
    <row r="6" spans="3:61" x14ac:dyDescent="0.35">
      <c r="C6" s="1">
        <v>34</v>
      </c>
      <c r="D6" s="1">
        <v>34</v>
      </c>
      <c r="E6" s="1">
        <v>0</v>
      </c>
      <c r="G6" s="3">
        <f t="shared" ref="G6:G12" si="0">C6/MAX($C$5:$C$12)</f>
        <v>0.51515151515151514</v>
      </c>
      <c r="H6" s="3">
        <f t="shared" ref="H6:H12" si="1">D6/MAX($D$5:$D$12)</f>
        <v>0.61818181818181817</v>
      </c>
      <c r="I6">
        <f t="shared" ref="I6:I12" si="2">E6</f>
        <v>0</v>
      </c>
      <c r="K6" s="6">
        <f>T6</f>
        <v>0.28307468736911445</v>
      </c>
      <c r="M6" s="6">
        <f t="shared" ref="M6:M12" si="3">(K6-I6)^2</f>
        <v>8.013127862912188E-2</v>
      </c>
      <c r="O6" s="20" t="s">
        <v>9</v>
      </c>
      <c r="P6" s="49">
        <v>-3.876586413187932</v>
      </c>
      <c r="R6" s="6">
        <f>(U6*$P$7) + $P$10</f>
        <v>-0.92926089290038916</v>
      </c>
      <c r="S6" s="6">
        <f t="shared" ref="S6:S12" si="4">(G6 * $P$5) + $P$8 + (H6 * $P$6) + $P$9</f>
        <v>-1.1724616407379673</v>
      </c>
      <c r="T6" s="6">
        <f>1/(1+ EXP(-R6))</f>
        <v>0.28307468736911445</v>
      </c>
      <c r="U6" s="6">
        <f>1/(1+ EXP(-S6))</f>
        <v>0.23641031940276266</v>
      </c>
      <c r="W6" s="6"/>
      <c r="X6" s="11">
        <f t="shared" ref="X6:X12" si="5">Y6*Z6*AA6</f>
        <v>2.7162667190448745E-2</v>
      </c>
      <c r="Y6" s="12">
        <f t="shared" ref="Y6:Y12" si="6">U6</f>
        <v>0.23641031940276266</v>
      </c>
      <c r="Z6" s="12">
        <f t="shared" ref="Z6:Z12" si="7">$T6 * (1 - $T6)</f>
        <v>0.20294340873999256</v>
      </c>
      <c r="AA6" s="13">
        <f t="shared" ref="AA6:AA12" si="8">2 * ($T6 - $I6)</f>
        <v>0.56614937473822891</v>
      </c>
      <c r="AC6" s="11">
        <f t="shared" ref="AC6:AC12" si="9">AD6*AE6*AF6</f>
        <v>0.1148962839653916</v>
      </c>
      <c r="AD6" s="12">
        <v>1</v>
      </c>
      <c r="AE6" s="12">
        <f t="shared" ref="AE6:AE12" si="10">$T6 * (1 - $T6)</f>
        <v>0.20294340873999256</v>
      </c>
      <c r="AF6" s="13">
        <f t="shared" ref="AF6:AF12" si="11">2 * ($T6 - $I6)</f>
        <v>0.56614937473822891</v>
      </c>
      <c r="AG6" s="6"/>
      <c r="AI6" s="11">
        <f t="shared" ref="AI6:AI12" si="12">AJ6*AK6*AL6*AM6*AN6</f>
        <v>6.7509577557513689E-2</v>
      </c>
      <c r="AJ6" s="12">
        <f t="shared" ref="AJ6:AJ12" si="13">H6</f>
        <v>0.61818181818181817</v>
      </c>
      <c r="AK6" s="12">
        <f>$U6 * (1 - $U6)</f>
        <v>0.18052048028264639</v>
      </c>
      <c r="AL6" s="12">
        <f t="shared" ref="AL6:AL12" si="14">$P$7</f>
        <v>5.2652221518641413</v>
      </c>
      <c r="AM6" s="12">
        <f t="shared" ref="AM6:AM12" si="15">$T6 * (1 - $T6)</f>
        <v>0.20294340873999256</v>
      </c>
      <c r="AN6" s="13">
        <f t="shared" ref="AN6:AN12" si="16">2 * ($T6 - $I6)</f>
        <v>0.56614937473822891</v>
      </c>
      <c r="AP6" s="11">
        <f t="shared" ref="AP6:AP12" si="17">AQ6*AR6*AS6*AT6*AU6</f>
        <v>0.10920666957833099</v>
      </c>
      <c r="AQ6" s="12">
        <v>1</v>
      </c>
      <c r="AR6" s="12">
        <f>$U6 * (1 - $U6)</f>
        <v>0.18052048028264639</v>
      </c>
      <c r="AS6" s="12">
        <f t="shared" ref="AS6:AS12" si="18">$P$7</f>
        <v>5.2652221518641413</v>
      </c>
      <c r="AT6" s="12">
        <f t="shared" ref="AT6:AT12" si="19">$T6 * (1 - $T6)</f>
        <v>0.20294340873999256</v>
      </c>
      <c r="AU6" s="13">
        <f t="shared" ref="AU6:AU12" si="20">2 * ($T6 - $I6)</f>
        <v>0.56614937473822891</v>
      </c>
      <c r="AW6" s="11">
        <f t="shared" ref="AW6:AW12" si="21">AX6*AY6*AZ6*BA6*BB6</f>
        <v>5.6257981297928084E-2</v>
      </c>
      <c r="AX6" s="12">
        <f t="shared" ref="AX6:AX12" si="22">G6</f>
        <v>0.51515151515151514</v>
      </c>
      <c r="AY6" s="12">
        <f>$U6 * (1 - $U6)</f>
        <v>0.18052048028264639</v>
      </c>
      <c r="AZ6" s="12">
        <f t="shared" ref="AZ6:AZ12" si="23">$P$7</f>
        <v>5.2652221518641413</v>
      </c>
      <c r="BA6" s="12">
        <f t="shared" ref="BA6:BA12" si="24">$T6 * (1 - $T6)</f>
        <v>0.20294340873999256</v>
      </c>
      <c r="BB6" s="13">
        <f t="shared" ref="BB6:BB12" si="25">2 * ($T6 - $I6)</f>
        <v>0.56614937473822891</v>
      </c>
      <c r="BD6" s="11">
        <f t="shared" ref="BD6:BD12" si="26">BE6*BF6*BG6*BH6*BI6</f>
        <v>0.10920666957833099</v>
      </c>
      <c r="BE6" s="12">
        <f>1</f>
        <v>1</v>
      </c>
      <c r="BF6" s="12">
        <f>$U6 * (1 - $U6)</f>
        <v>0.18052048028264639</v>
      </c>
      <c r="BG6" s="12">
        <f t="shared" ref="BG6:BG12" si="27">$P$7</f>
        <v>5.2652221518641413</v>
      </c>
      <c r="BH6" s="12">
        <f t="shared" ref="BH6:BH12" si="28">$T6 * (1 - $T6)</f>
        <v>0.20294340873999256</v>
      </c>
      <c r="BI6" s="13">
        <f t="shared" ref="BI6:BI12" si="29">2 * ($T6 - $I6)</f>
        <v>0.56614937473822891</v>
      </c>
    </row>
    <row r="7" spans="3:61" x14ac:dyDescent="0.35">
      <c r="C7" s="1">
        <v>21</v>
      </c>
      <c r="D7" s="1">
        <v>24</v>
      </c>
      <c r="E7" s="1">
        <v>0</v>
      </c>
      <c r="G7" s="3">
        <f t="shared" si="0"/>
        <v>0.31818181818181818</v>
      </c>
      <c r="H7" s="3">
        <f t="shared" si="1"/>
        <v>0.43636363636363634</v>
      </c>
      <c r="I7">
        <f t="shared" si="2"/>
        <v>0</v>
      </c>
      <c r="K7" s="6">
        <f>T7</f>
        <v>0.27568174404543422</v>
      </c>
      <c r="M7" s="6">
        <f t="shared" si="3"/>
        <v>7.6000423999932301E-2</v>
      </c>
      <c r="O7" s="20" t="s">
        <v>10</v>
      </c>
      <c r="P7" s="49">
        <v>5.2652221518641413</v>
      </c>
      <c r="R7" s="6">
        <f t="shared" ref="R7:R12" si="30">(U7*$P$7) + $P$10</f>
        <v>-0.96598377674676228</v>
      </c>
      <c r="S7" s="6">
        <f t="shared" si="4"/>
        <v>-1.2115002481673121</v>
      </c>
      <c r="T7" s="6">
        <f t="shared" ref="T7:T11" si="31">1/(1+ EXP(-R7))</f>
        <v>0.27568174404543422</v>
      </c>
      <c r="U7" s="6">
        <f t="shared" ref="U7:U11" si="32">1/(1+ EXP(-S7))</f>
        <v>0.22943570697669977</v>
      </c>
      <c r="W7" s="6"/>
      <c r="X7" s="11">
        <f>Y7*Z7*AA7</f>
        <v>2.5260180536331049E-2</v>
      </c>
      <c r="Y7" s="12">
        <f t="shared" si="6"/>
        <v>0.22943570697669977</v>
      </c>
      <c r="Z7" s="12">
        <f t="shared" si="7"/>
        <v>0.1996813200455019</v>
      </c>
      <c r="AA7" s="13">
        <f t="shared" si="8"/>
        <v>0.55136348809086844</v>
      </c>
      <c r="AC7" s="11">
        <f t="shared" si="9"/>
        <v>0.11009698912687697</v>
      </c>
      <c r="AD7" s="12">
        <v>1</v>
      </c>
      <c r="AE7" s="12">
        <f t="shared" si="10"/>
        <v>0.1996813200455019</v>
      </c>
      <c r="AF7" s="13">
        <f t="shared" si="11"/>
        <v>0.55136348809086844</v>
      </c>
      <c r="AG7" s="6"/>
      <c r="AI7" s="11">
        <f t="shared" si="12"/>
        <v>4.4720904901201217E-2</v>
      </c>
      <c r="AJ7" s="12">
        <f t="shared" si="13"/>
        <v>0.43636363636363634</v>
      </c>
      <c r="AK7" s="12">
        <f t="shared" ref="AK7:AK12" si="33">$U7 * (1 - $U7)</f>
        <v>0.17679496334080172</v>
      </c>
      <c r="AL7" s="12">
        <f t="shared" si="14"/>
        <v>5.2652221518641413</v>
      </c>
      <c r="AM7" s="12">
        <f t="shared" si="15"/>
        <v>0.1996813200455019</v>
      </c>
      <c r="AN7" s="13">
        <f t="shared" si="16"/>
        <v>0.55136348809086844</v>
      </c>
      <c r="AP7" s="11">
        <f t="shared" si="17"/>
        <v>0.10248540706525279</v>
      </c>
      <c r="AQ7" s="12">
        <v>1</v>
      </c>
      <c r="AR7" s="12">
        <f t="shared" ref="AR7:AR12" si="34">$U7 * (1 - $U7)</f>
        <v>0.17679496334080172</v>
      </c>
      <c r="AS7" s="12">
        <f t="shared" si="18"/>
        <v>5.2652221518641413</v>
      </c>
      <c r="AT7" s="12">
        <f t="shared" si="19"/>
        <v>0.1996813200455019</v>
      </c>
      <c r="AU7" s="13">
        <f t="shared" si="20"/>
        <v>0.55136348809086844</v>
      </c>
      <c r="AW7" s="11">
        <f t="shared" si="21"/>
        <v>3.2608993157125891E-2</v>
      </c>
      <c r="AX7" s="12">
        <f t="shared" si="22"/>
        <v>0.31818181818181818</v>
      </c>
      <c r="AY7" s="12">
        <f t="shared" ref="AY7:AY12" si="35">$U7 * (1 - $U7)</f>
        <v>0.17679496334080172</v>
      </c>
      <c r="AZ7" s="12">
        <f t="shared" si="23"/>
        <v>5.2652221518641413</v>
      </c>
      <c r="BA7" s="12">
        <f t="shared" si="24"/>
        <v>0.1996813200455019</v>
      </c>
      <c r="BB7" s="13">
        <f t="shared" si="25"/>
        <v>0.55136348809086844</v>
      </c>
      <c r="BD7" s="11">
        <f t="shared" si="26"/>
        <v>0.10248540706525279</v>
      </c>
      <c r="BE7" s="12">
        <f>1</f>
        <v>1</v>
      </c>
      <c r="BF7" s="12">
        <f t="shared" ref="BF7:BF12" si="36">$U7 * (1 - $U7)</f>
        <v>0.17679496334080172</v>
      </c>
      <c r="BG7" s="12">
        <f t="shared" si="27"/>
        <v>5.2652221518641413</v>
      </c>
      <c r="BH7" s="12">
        <f t="shared" si="28"/>
        <v>0.1996813200455019</v>
      </c>
      <c r="BI7" s="13">
        <f t="shared" si="29"/>
        <v>0.55136348809086844</v>
      </c>
    </row>
    <row r="8" spans="3:61" x14ac:dyDescent="0.35">
      <c r="C8" s="1">
        <v>23</v>
      </c>
      <c r="D8" s="1">
        <v>45</v>
      </c>
      <c r="E8" s="1">
        <v>0</v>
      </c>
      <c r="G8" s="3">
        <f t="shared" si="0"/>
        <v>0.34848484848484851</v>
      </c>
      <c r="H8" s="3">
        <f t="shared" si="1"/>
        <v>0.81818181818181823</v>
      </c>
      <c r="I8">
        <f t="shared" si="2"/>
        <v>0</v>
      </c>
      <c r="K8" s="6">
        <f t="shared" ref="K8:K12" si="37">T8</f>
        <v>0.14158522751097888</v>
      </c>
      <c r="M8" s="6">
        <f t="shared" si="3"/>
        <v>2.0046376649335649E-2</v>
      </c>
      <c r="O8" s="20" t="s">
        <v>11</v>
      </c>
      <c r="P8" s="49">
        <v>1.6382866652714934</v>
      </c>
      <c r="R8" s="6">
        <f t="shared" si="30"/>
        <v>-1.8021855501686836</v>
      </c>
      <c r="S8" s="6">
        <f t="shared" si="4"/>
        <v>-2.5772095009216041</v>
      </c>
      <c r="T8" s="6">
        <f>1/(1+ EXP(-R8))</f>
        <v>0.14158522751097888</v>
      </c>
      <c r="U8" s="6">
        <f t="shared" si="32"/>
        <v>7.0619659086704145E-2</v>
      </c>
      <c r="W8" s="6"/>
      <c r="X8" s="11">
        <f t="shared" si="5"/>
        <v>2.4304611374042833E-3</v>
      </c>
      <c r="Y8" s="12">
        <f t="shared" si="6"/>
        <v>7.0619659086704145E-2</v>
      </c>
      <c r="Z8" s="12">
        <f t="shared" si="7"/>
        <v>0.12153885086164322</v>
      </c>
      <c r="AA8" s="13">
        <f t="shared" si="8"/>
        <v>0.28317045502195776</v>
      </c>
      <c r="AC8" s="11">
        <f t="shared" si="9"/>
        <v>3.4416211701337372E-2</v>
      </c>
      <c r="AD8" s="12">
        <v>1</v>
      </c>
      <c r="AE8" s="12">
        <f t="shared" si="10"/>
        <v>0.12153885086164322</v>
      </c>
      <c r="AF8" s="13">
        <f t="shared" si="11"/>
        <v>0.28317045502195776</v>
      </c>
      <c r="AG8" s="6"/>
      <c r="AI8" s="11">
        <f t="shared" si="12"/>
        <v>9.7308031468120552E-3</v>
      </c>
      <c r="AJ8" s="12">
        <f t="shared" si="13"/>
        <v>0.81818181818181823</v>
      </c>
      <c r="AK8" s="12">
        <f t="shared" si="33"/>
        <v>6.5632522837181836E-2</v>
      </c>
      <c r="AL8" s="12">
        <f t="shared" si="14"/>
        <v>5.2652221518641413</v>
      </c>
      <c r="AM8" s="12">
        <f t="shared" si="15"/>
        <v>0.12153885086164322</v>
      </c>
      <c r="AN8" s="13">
        <f t="shared" si="16"/>
        <v>0.28317045502195776</v>
      </c>
      <c r="AP8" s="11">
        <f t="shared" si="17"/>
        <v>1.1893203846103624E-2</v>
      </c>
      <c r="AQ8" s="12">
        <v>1</v>
      </c>
      <c r="AR8" s="12">
        <f t="shared" si="34"/>
        <v>6.5632522837181836E-2</v>
      </c>
      <c r="AS8" s="12">
        <f t="shared" si="18"/>
        <v>5.2652221518641413</v>
      </c>
      <c r="AT8" s="12">
        <f t="shared" si="19"/>
        <v>0.12153885086164322</v>
      </c>
      <c r="AU8" s="13">
        <f t="shared" si="20"/>
        <v>0.28317045502195776</v>
      </c>
      <c r="AW8" s="11">
        <f t="shared" si="21"/>
        <v>4.1446013403088388E-3</v>
      </c>
      <c r="AX8" s="12">
        <f t="shared" si="22"/>
        <v>0.34848484848484851</v>
      </c>
      <c r="AY8" s="12">
        <f t="shared" si="35"/>
        <v>6.5632522837181836E-2</v>
      </c>
      <c r="AZ8" s="12">
        <f t="shared" si="23"/>
        <v>5.2652221518641413</v>
      </c>
      <c r="BA8" s="12">
        <f t="shared" si="24"/>
        <v>0.12153885086164322</v>
      </c>
      <c r="BB8" s="13">
        <f t="shared" si="25"/>
        <v>0.28317045502195776</v>
      </c>
      <c r="BD8" s="11">
        <f t="shared" si="26"/>
        <v>1.1893203846103624E-2</v>
      </c>
      <c r="BE8" s="12">
        <f>1</f>
        <v>1</v>
      </c>
      <c r="BF8" s="12">
        <f t="shared" si="36"/>
        <v>6.5632522837181836E-2</v>
      </c>
      <c r="BG8" s="12">
        <f t="shared" si="27"/>
        <v>5.2652221518641413</v>
      </c>
      <c r="BH8" s="12">
        <f t="shared" si="28"/>
        <v>0.12153885086164322</v>
      </c>
      <c r="BI8" s="13">
        <f t="shared" si="29"/>
        <v>0.28317045502195776</v>
      </c>
    </row>
    <row r="9" spans="3:61" x14ac:dyDescent="0.35">
      <c r="C9" s="1">
        <v>44</v>
      </c>
      <c r="D9" s="1">
        <v>11</v>
      </c>
      <c r="E9" s="1">
        <v>1</v>
      </c>
      <c r="G9" s="3">
        <f t="shared" si="0"/>
        <v>0.66666666666666663</v>
      </c>
      <c r="H9" s="3">
        <f t="shared" si="1"/>
        <v>0.2</v>
      </c>
      <c r="I9">
        <f t="shared" si="2"/>
        <v>1</v>
      </c>
      <c r="K9" s="6">
        <f t="shared" si="37"/>
        <v>0.8450990797552651</v>
      </c>
      <c r="M9" s="6">
        <f t="shared" si="3"/>
        <v>2.3994295092665721E-2</v>
      </c>
      <c r="O9" s="20" t="s">
        <v>12</v>
      </c>
      <c r="P9" s="49">
        <v>-2.3598257629992592</v>
      </c>
      <c r="R9" s="6">
        <f t="shared" si="30"/>
        <v>1.6966681863308688</v>
      </c>
      <c r="S9" s="6">
        <f t="shared" si="4"/>
        <v>1.02086592981885</v>
      </c>
      <c r="T9" s="6">
        <f t="shared" si="31"/>
        <v>0.8450990797552651</v>
      </c>
      <c r="U9" s="6">
        <f t="shared" si="32"/>
        <v>0.73514123777465945</v>
      </c>
      <c r="W9" s="6"/>
      <c r="X9" s="11">
        <f t="shared" si="5"/>
        <v>-2.9813736266184762E-2</v>
      </c>
      <c r="Y9" s="12">
        <f t="shared" si="6"/>
        <v>0.73514123777465945</v>
      </c>
      <c r="Z9" s="12">
        <f t="shared" si="7"/>
        <v>0.13090662515206916</v>
      </c>
      <c r="AA9" s="13">
        <f t="shared" si="8"/>
        <v>-0.30980184048946979</v>
      </c>
      <c r="AC9" s="11">
        <f t="shared" si="9"/>
        <v>-4.0555113404376147E-2</v>
      </c>
      <c r="AD9" s="12">
        <v>1</v>
      </c>
      <c r="AE9" s="12">
        <f t="shared" si="10"/>
        <v>0.13090662515206916</v>
      </c>
      <c r="AF9" s="13">
        <f t="shared" si="11"/>
        <v>-0.30980184048946979</v>
      </c>
      <c r="AG9" s="6"/>
      <c r="AI9" s="11">
        <f t="shared" si="12"/>
        <v>-8.3152908781646221E-3</v>
      </c>
      <c r="AJ9" s="12">
        <f t="shared" si="13"/>
        <v>0.2</v>
      </c>
      <c r="AK9" s="12">
        <f t="shared" si="33"/>
        <v>0.19470859829780107</v>
      </c>
      <c r="AL9" s="12">
        <f t="shared" si="14"/>
        <v>5.2652221518641413</v>
      </c>
      <c r="AM9" s="12">
        <f t="shared" si="15"/>
        <v>0.13090662515206916</v>
      </c>
      <c r="AN9" s="13">
        <f t="shared" si="16"/>
        <v>-0.30980184048946979</v>
      </c>
      <c r="AP9" s="11">
        <f t="shared" si="17"/>
        <v>-4.1576454390823109E-2</v>
      </c>
      <c r="AQ9" s="12">
        <v>1</v>
      </c>
      <c r="AR9" s="12">
        <f t="shared" si="34"/>
        <v>0.19470859829780107</v>
      </c>
      <c r="AS9" s="12">
        <f t="shared" si="18"/>
        <v>5.2652221518641413</v>
      </c>
      <c r="AT9" s="12">
        <f t="shared" si="19"/>
        <v>0.13090662515206916</v>
      </c>
      <c r="AU9" s="13">
        <f t="shared" si="20"/>
        <v>-0.30980184048946979</v>
      </c>
      <c r="AW9" s="11">
        <f t="shared" si="21"/>
        <v>-2.7717636260548739E-2</v>
      </c>
      <c r="AX9" s="12">
        <f t="shared" si="22"/>
        <v>0.66666666666666663</v>
      </c>
      <c r="AY9" s="12">
        <f t="shared" si="35"/>
        <v>0.19470859829780107</v>
      </c>
      <c r="AZ9" s="12">
        <f t="shared" si="23"/>
        <v>5.2652221518641413</v>
      </c>
      <c r="BA9" s="12">
        <f t="shared" si="24"/>
        <v>0.13090662515206916</v>
      </c>
      <c r="BB9" s="13">
        <f t="shared" si="25"/>
        <v>-0.30980184048946979</v>
      </c>
      <c r="BD9" s="11">
        <f t="shared" si="26"/>
        <v>-4.1576454390823109E-2</v>
      </c>
      <c r="BE9" s="12">
        <f>1</f>
        <v>1</v>
      </c>
      <c r="BF9" s="12">
        <f t="shared" si="36"/>
        <v>0.19470859829780107</v>
      </c>
      <c r="BG9" s="12">
        <f t="shared" si="27"/>
        <v>5.2652221518641413</v>
      </c>
      <c r="BH9" s="12">
        <f t="shared" si="28"/>
        <v>0.13090662515206916</v>
      </c>
      <c r="BI9" s="13">
        <f t="shared" si="29"/>
        <v>-0.30980184048946979</v>
      </c>
    </row>
    <row r="10" spans="3:61" ht="15" thickBot="1" x14ac:dyDescent="0.4">
      <c r="C10" s="1">
        <v>66</v>
      </c>
      <c r="D10" s="1">
        <v>21</v>
      </c>
      <c r="E10" s="1">
        <v>1</v>
      </c>
      <c r="G10" s="3">
        <f t="shared" si="0"/>
        <v>1</v>
      </c>
      <c r="H10" s="3">
        <f t="shared" si="1"/>
        <v>0.38181818181818183</v>
      </c>
      <c r="I10">
        <f t="shared" si="2"/>
        <v>1</v>
      </c>
      <c r="K10" s="6">
        <f t="shared" si="37"/>
        <v>0.89917739776349737</v>
      </c>
      <c r="M10" s="6">
        <f t="shared" si="3"/>
        <v>1.0165197121740025E-2</v>
      </c>
      <c r="O10" s="21" t="s">
        <v>13</v>
      </c>
      <c r="P10" s="48">
        <v>-2.174013743549092</v>
      </c>
      <c r="R10" s="6">
        <f t="shared" si="30"/>
        <v>2.1881177838458026</v>
      </c>
      <c r="S10" s="6">
        <f t="shared" si="4"/>
        <v>1.5748931916040547</v>
      </c>
      <c r="T10" s="6">
        <f t="shared" si="31"/>
        <v>0.89917739776349737</v>
      </c>
      <c r="U10" s="6">
        <f t="shared" si="32"/>
        <v>0.82848005299272898</v>
      </c>
      <c r="W10" s="6"/>
      <c r="X10" s="11">
        <f t="shared" si="5"/>
        <v>-1.5145138132461116E-2</v>
      </c>
      <c r="Y10" s="12">
        <f t="shared" si="6"/>
        <v>0.82848005299272898</v>
      </c>
      <c r="Z10" s="12">
        <f t="shared" si="7"/>
        <v>9.0657405114762613E-2</v>
      </c>
      <c r="AA10" s="13">
        <f t="shared" si="8"/>
        <v>-0.20164520447300527</v>
      </c>
      <c r="AC10" s="11">
        <f t="shared" si="9"/>
        <v>-1.828063099135838E-2</v>
      </c>
      <c r="AD10" s="12">
        <v>1</v>
      </c>
      <c r="AE10" s="12">
        <f t="shared" si="10"/>
        <v>9.0657405114762613E-2</v>
      </c>
      <c r="AF10" s="13">
        <f t="shared" si="11"/>
        <v>-0.20164520447300527</v>
      </c>
      <c r="AG10" s="6"/>
      <c r="AI10" s="11">
        <f t="shared" si="12"/>
        <v>-5.2222923150557019E-3</v>
      </c>
      <c r="AJ10" s="12">
        <f t="shared" si="13"/>
        <v>0.38181818181818183</v>
      </c>
      <c r="AK10" s="12">
        <f t="shared" si="33"/>
        <v>0.14210085478589396</v>
      </c>
      <c r="AL10" s="12">
        <f t="shared" si="14"/>
        <v>5.2652221518641413</v>
      </c>
      <c r="AM10" s="12">
        <f t="shared" si="15"/>
        <v>9.0657405114762613E-2</v>
      </c>
      <c r="AN10" s="13">
        <f t="shared" si="16"/>
        <v>-0.20164520447300527</v>
      </c>
      <c r="AP10" s="11">
        <f t="shared" si="17"/>
        <v>-1.3677432253717314E-2</v>
      </c>
      <c r="AQ10" s="12">
        <v>1</v>
      </c>
      <c r="AR10" s="12">
        <f t="shared" si="34"/>
        <v>0.14210085478589396</v>
      </c>
      <c r="AS10" s="12">
        <f t="shared" si="18"/>
        <v>5.2652221518641413</v>
      </c>
      <c r="AT10" s="12">
        <f t="shared" si="19"/>
        <v>9.0657405114762613E-2</v>
      </c>
      <c r="AU10" s="13">
        <f t="shared" si="20"/>
        <v>-0.20164520447300527</v>
      </c>
      <c r="AW10" s="11">
        <f t="shared" si="21"/>
        <v>-1.3677432253717314E-2</v>
      </c>
      <c r="AX10" s="12">
        <f t="shared" si="22"/>
        <v>1</v>
      </c>
      <c r="AY10" s="12">
        <f t="shared" si="35"/>
        <v>0.14210085478589396</v>
      </c>
      <c r="AZ10" s="12">
        <f t="shared" si="23"/>
        <v>5.2652221518641413</v>
      </c>
      <c r="BA10" s="12">
        <f t="shared" si="24"/>
        <v>9.0657405114762613E-2</v>
      </c>
      <c r="BB10" s="13">
        <f t="shared" si="25"/>
        <v>-0.20164520447300527</v>
      </c>
      <c r="BD10" s="11">
        <f t="shared" si="26"/>
        <v>-1.3677432253717314E-2</v>
      </c>
      <c r="BE10" s="12">
        <f>1</f>
        <v>1</v>
      </c>
      <c r="BF10" s="12">
        <f t="shared" si="36"/>
        <v>0.14210085478589396</v>
      </c>
      <c r="BG10" s="12">
        <f t="shared" si="27"/>
        <v>5.2652221518641413</v>
      </c>
      <c r="BH10" s="12">
        <f t="shared" si="28"/>
        <v>9.0657405114762613E-2</v>
      </c>
      <c r="BI10" s="13">
        <f t="shared" si="29"/>
        <v>-0.20164520447300527</v>
      </c>
    </row>
    <row r="11" spans="3:61" x14ac:dyDescent="0.35">
      <c r="C11" s="1">
        <v>45</v>
      </c>
      <c r="D11" s="1">
        <v>23</v>
      </c>
      <c r="E11" s="1">
        <v>1</v>
      </c>
      <c r="G11" s="3">
        <f t="shared" si="0"/>
        <v>0.68181818181818177</v>
      </c>
      <c r="H11" s="3">
        <f t="shared" si="1"/>
        <v>0.41818181818181815</v>
      </c>
      <c r="I11">
        <f t="shared" si="2"/>
        <v>1</v>
      </c>
      <c r="K11" s="6">
        <f t="shared" si="37"/>
        <v>0.68200244035305257</v>
      </c>
      <c r="M11" s="6">
        <f t="shared" si="3"/>
        <v>0.10112244794141388</v>
      </c>
      <c r="R11" s="6">
        <f t="shared" si="30"/>
        <v>0.76298952738281489</v>
      </c>
      <c r="S11" s="6">
        <f t="shared" si="4"/>
        <v>0.23228621944566941</v>
      </c>
      <c r="T11" s="6">
        <f t="shared" si="31"/>
        <v>0.68200244035305257</v>
      </c>
      <c r="U11" s="6">
        <f t="shared" si="32"/>
        <v>0.55781184273337203</v>
      </c>
      <c r="W11" s="6"/>
      <c r="X11" s="11">
        <f t="shared" si="5"/>
        <v>-7.6939831181517385E-2</v>
      </c>
      <c r="Y11" s="12">
        <f t="shared" si="6"/>
        <v>0.55781184273337203</v>
      </c>
      <c r="Z11" s="12">
        <f t="shared" si="7"/>
        <v>0.21687511170553353</v>
      </c>
      <c r="AA11" s="13">
        <f t="shared" si="8"/>
        <v>-0.63599511929389485</v>
      </c>
      <c r="AC11" s="11">
        <f t="shared" si="9"/>
        <v>-0.13793151254103758</v>
      </c>
      <c r="AD11" s="12">
        <v>1</v>
      </c>
      <c r="AE11" s="12">
        <f t="shared" si="10"/>
        <v>0.21687511170553353</v>
      </c>
      <c r="AF11" s="13">
        <f t="shared" si="11"/>
        <v>-0.63599511929389485</v>
      </c>
      <c r="AG11" s="6"/>
      <c r="AI11" s="11">
        <f t="shared" si="12"/>
        <v>-7.4910066472883452E-2</v>
      </c>
      <c r="AJ11" s="12">
        <f t="shared" si="13"/>
        <v>0.41818181818181815</v>
      </c>
      <c r="AK11" s="12">
        <f t="shared" si="33"/>
        <v>0.24665779083977185</v>
      </c>
      <c r="AL11" s="12">
        <f t="shared" si="14"/>
        <v>5.2652221518641413</v>
      </c>
      <c r="AM11" s="12">
        <f t="shared" si="15"/>
        <v>0.21687511170553353</v>
      </c>
      <c r="AN11" s="13">
        <f t="shared" si="16"/>
        <v>-0.63599511929389485</v>
      </c>
      <c r="AP11" s="11">
        <f t="shared" si="17"/>
        <v>-0.17913276765254743</v>
      </c>
      <c r="AQ11" s="12">
        <v>1</v>
      </c>
      <c r="AR11" s="12">
        <f t="shared" si="34"/>
        <v>0.24665779083977185</v>
      </c>
      <c r="AS11" s="12">
        <f t="shared" si="18"/>
        <v>5.2652221518641413</v>
      </c>
      <c r="AT11" s="12">
        <f t="shared" si="19"/>
        <v>0.21687511170553353</v>
      </c>
      <c r="AU11" s="13">
        <f t="shared" si="20"/>
        <v>-0.63599511929389485</v>
      </c>
      <c r="AW11" s="11">
        <f t="shared" si="21"/>
        <v>-0.12213597794491869</v>
      </c>
      <c r="AX11" s="12">
        <f t="shared" si="22"/>
        <v>0.68181818181818177</v>
      </c>
      <c r="AY11" s="12">
        <f t="shared" si="35"/>
        <v>0.24665779083977185</v>
      </c>
      <c r="AZ11" s="12">
        <f t="shared" si="23"/>
        <v>5.2652221518641413</v>
      </c>
      <c r="BA11" s="12">
        <f t="shared" si="24"/>
        <v>0.21687511170553353</v>
      </c>
      <c r="BB11" s="13">
        <f t="shared" si="25"/>
        <v>-0.63599511929389485</v>
      </c>
      <c r="BD11" s="11">
        <f t="shared" si="26"/>
        <v>-0.17913276765254743</v>
      </c>
      <c r="BE11" s="12">
        <f>1</f>
        <v>1</v>
      </c>
      <c r="BF11" s="12">
        <f t="shared" si="36"/>
        <v>0.24665779083977185</v>
      </c>
      <c r="BG11" s="12">
        <f t="shared" si="27"/>
        <v>5.2652221518641413</v>
      </c>
      <c r="BH11" s="12">
        <f t="shared" si="28"/>
        <v>0.21687511170553353</v>
      </c>
      <c r="BI11" s="13">
        <f t="shared" si="29"/>
        <v>-0.63599511929389485</v>
      </c>
    </row>
    <row r="12" spans="3:61" x14ac:dyDescent="0.35">
      <c r="C12" s="1">
        <v>34</v>
      </c>
      <c r="D12" s="1">
        <v>8</v>
      </c>
      <c r="E12" s="1">
        <v>1</v>
      </c>
      <c r="G12" s="3">
        <f t="shared" si="0"/>
        <v>0.51515151515151514</v>
      </c>
      <c r="H12" s="3">
        <f t="shared" si="1"/>
        <v>0.14545454545454545</v>
      </c>
      <c r="I12">
        <f t="shared" si="2"/>
        <v>1</v>
      </c>
      <c r="K12" s="6">
        <f t="shared" si="37"/>
        <v>0.78537425939573957</v>
      </c>
      <c r="M12" s="6">
        <f t="shared" si="3"/>
        <v>4.6064208529927285E-2</v>
      </c>
      <c r="O12" s="23" t="s">
        <v>62</v>
      </c>
      <c r="P12" s="22">
        <v>1</v>
      </c>
      <c r="R12" s="6">
        <f t="shared" si="30"/>
        <v>1.2972645978269148</v>
      </c>
      <c r="S12" s="6">
        <f t="shared" si="4"/>
        <v>0.66010648185996423</v>
      </c>
      <c r="T12" s="6">
        <f t="shared" ref="T12" si="38">1/(1+ EXP(-R12))</f>
        <v>0.78537425939573957</v>
      </c>
      <c r="U12" s="6">
        <f t="shared" ref="U12" si="39">1/(1+ EXP(-S12))</f>
        <v>0.65928430771852764</v>
      </c>
      <c r="W12" s="6"/>
      <c r="X12" s="11">
        <f t="shared" si="5"/>
        <v>-4.7702705509015182E-2</v>
      </c>
      <c r="Y12" s="12">
        <f t="shared" si="6"/>
        <v>0.65928430771852764</v>
      </c>
      <c r="Z12" s="12">
        <f t="shared" si="7"/>
        <v>0.16856153207433314</v>
      </c>
      <c r="AA12" s="13">
        <f t="shared" si="8"/>
        <v>-0.42925148120852086</v>
      </c>
      <c r="AC12" s="11">
        <f t="shared" si="9"/>
        <v>-7.2355287317685091E-2</v>
      </c>
      <c r="AD12" s="12">
        <v>1</v>
      </c>
      <c r="AE12" s="12">
        <f t="shared" si="10"/>
        <v>0.16856153207433314</v>
      </c>
      <c r="AF12" s="13">
        <f t="shared" si="11"/>
        <v>-0.42925148120852086</v>
      </c>
      <c r="AG12" s="6"/>
      <c r="AI12" s="11">
        <f t="shared" si="12"/>
        <v>-1.244741429693615E-2</v>
      </c>
      <c r="AJ12" s="12">
        <f t="shared" si="13"/>
        <v>0.14545454545454545</v>
      </c>
      <c r="AK12" s="12">
        <f t="shared" si="33"/>
        <v>0.22462850931462941</v>
      </c>
      <c r="AL12" s="12">
        <f t="shared" si="14"/>
        <v>5.2652221518641413</v>
      </c>
      <c r="AM12" s="12">
        <f t="shared" si="15"/>
        <v>0.16856153207433314</v>
      </c>
      <c r="AN12" s="13">
        <f t="shared" si="16"/>
        <v>-0.42925148120852086</v>
      </c>
      <c r="AP12" s="11">
        <f t="shared" si="17"/>
        <v>-8.5575973291436028E-2</v>
      </c>
      <c r="AQ12" s="12">
        <v>1</v>
      </c>
      <c r="AR12" s="12">
        <f t="shared" si="34"/>
        <v>0.22462850931462941</v>
      </c>
      <c r="AS12" s="12">
        <f t="shared" si="18"/>
        <v>5.2652221518641413</v>
      </c>
      <c r="AT12" s="12">
        <f t="shared" si="19"/>
        <v>0.16856153207433314</v>
      </c>
      <c r="AU12" s="13">
        <f t="shared" si="20"/>
        <v>-0.42925148120852086</v>
      </c>
      <c r="AW12" s="11">
        <f t="shared" si="21"/>
        <v>-4.4084592301648858E-2</v>
      </c>
      <c r="AX12" s="12">
        <f t="shared" si="22"/>
        <v>0.51515151515151514</v>
      </c>
      <c r="AY12" s="12">
        <f t="shared" si="35"/>
        <v>0.22462850931462941</v>
      </c>
      <c r="AZ12" s="12">
        <f t="shared" si="23"/>
        <v>5.2652221518641413</v>
      </c>
      <c r="BA12" s="12">
        <f t="shared" si="24"/>
        <v>0.16856153207433314</v>
      </c>
      <c r="BB12" s="13">
        <f t="shared" si="25"/>
        <v>-0.42925148120852086</v>
      </c>
      <c r="BD12" s="11">
        <f t="shared" si="26"/>
        <v>-8.5575973291436028E-2</v>
      </c>
      <c r="BE12" s="12">
        <f>1</f>
        <v>1</v>
      </c>
      <c r="BF12" s="12">
        <f t="shared" si="36"/>
        <v>0.22462850931462941</v>
      </c>
      <c r="BG12" s="12">
        <f t="shared" si="27"/>
        <v>5.2652221518641413</v>
      </c>
      <c r="BH12" s="12">
        <f t="shared" si="28"/>
        <v>0.16856153207433314</v>
      </c>
      <c r="BI12" s="13">
        <f t="shared" si="29"/>
        <v>-0.42925148120852086</v>
      </c>
    </row>
    <row r="13" spans="3:61" x14ac:dyDescent="0.35">
      <c r="M13" s="6"/>
      <c r="X13" s="8"/>
      <c r="Y13" s="9"/>
      <c r="Z13" s="9"/>
      <c r="AA13" s="10"/>
      <c r="AC13" s="8"/>
      <c r="AD13" s="9"/>
      <c r="AE13" s="9"/>
      <c r="AF13" s="10"/>
      <c r="AI13" s="8"/>
      <c r="AJ13" s="9"/>
      <c r="AK13" s="9"/>
      <c r="AL13" s="9"/>
      <c r="AM13" s="9"/>
      <c r="AN13" s="10"/>
      <c r="AP13" s="8"/>
      <c r="AQ13" s="9"/>
      <c r="AR13" s="9"/>
      <c r="AS13" s="9"/>
      <c r="AT13" s="9"/>
      <c r="AU13" s="10"/>
      <c r="AW13" s="8"/>
      <c r="AX13" s="9"/>
      <c r="AY13" s="9"/>
      <c r="AZ13" s="9"/>
      <c r="BA13" s="9"/>
      <c r="BB13" s="10"/>
      <c r="BD13" s="8"/>
      <c r="BE13" s="9"/>
      <c r="BF13" s="9"/>
      <c r="BG13" s="9"/>
      <c r="BH13" s="9"/>
      <c r="BI13" s="10"/>
    </row>
    <row r="14" spans="3:61" ht="15" thickBot="1" x14ac:dyDescent="0.4">
      <c r="M14" s="6">
        <f>SUM(M5:M12)</f>
        <v>0.37189238523572832</v>
      </c>
      <c r="W14" s="6" t="s">
        <v>61</v>
      </c>
      <c r="X14" s="14" t="s">
        <v>60</v>
      </c>
      <c r="Y14" s="16">
        <f>SUM(X5:X12)</f>
        <v>-0.11388189746200356</v>
      </c>
      <c r="Z14" s="17"/>
      <c r="AA14" s="48">
        <f>P7-(Y14*P12)</f>
        <v>5.3791040493261448</v>
      </c>
      <c r="AB14" s="7"/>
      <c r="AC14" s="14" t="s">
        <v>60</v>
      </c>
      <c r="AD14" s="18">
        <f>SUM(AC5:AC12)</f>
        <v>1.5578712124975413E-2</v>
      </c>
      <c r="AE14" s="17"/>
      <c r="AF14" s="48">
        <f>P10-(AD14*P12)</f>
        <v>-2.1895924556740676</v>
      </c>
      <c r="AG14" s="7"/>
      <c r="AH14" s="7"/>
      <c r="AI14" s="14" t="s">
        <v>60</v>
      </c>
      <c r="AJ14" s="18">
        <f>SUM(AI5:AI12)</f>
        <v>2.5470783028306739E-2</v>
      </c>
      <c r="AK14" s="17"/>
      <c r="AL14" s="17"/>
      <c r="AM14" s="17"/>
      <c r="AN14" s="48">
        <f>P6-(AJ14*P12)</f>
        <v>-3.9020571962162385</v>
      </c>
      <c r="AO14" s="7"/>
      <c r="AP14" s="14" t="s">
        <v>60</v>
      </c>
      <c r="AQ14" s="18">
        <f>SUM(AP5:AP12)</f>
        <v>-9.1972785713016772E-2</v>
      </c>
      <c r="AR14" s="17"/>
      <c r="AS14" s="17"/>
      <c r="AT14" s="17"/>
      <c r="AU14" s="48">
        <f>P9-(P12*AJ14)</f>
        <v>-2.3852965460275657</v>
      </c>
      <c r="AV14" s="7"/>
      <c r="AW14" s="14" t="s">
        <v>60</v>
      </c>
      <c r="AX14" s="18">
        <f>SUM(AW5:AW12)</f>
        <v>-0.11313587583686424</v>
      </c>
      <c r="AY14" s="17"/>
      <c r="AZ14" s="17"/>
      <c r="BA14" s="17"/>
      <c r="BB14" s="48">
        <f>P5-(P12*AX14)</f>
        <v>3.8897193411131679</v>
      </c>
      <c r="BC14" s="7"/>
      <c r="BD14" s="14" t="s">
        <v>60</v>
      </c>
      <c r="BE14" s="18">
        <f>SUM(BD5:BD12)</f>
        <v>-9.1972785713016772E-2</v>
      </c>
      <c r="BF14" s="15"/>
      <c r="BG14" s="15"/>
      <c r="BH14" s="15"/>
      <c r="BI14" s="48">
        <f>P8-(P12*BE14)</f>
        <v>1.7302594509845102</v>
      </c>
    </row>
    <row r="16" spans="3:61" x14ac:dyDescent="0.35">
      <c r="C16" t="s">
        <v>0</v>
      </c>
      <c r="F16" t="s">
        <v>1</v>
      </c>
      <c r="I16" t="s">
        <v>2</v>
      </c>
      <c r="M16" s="5"/>
    </row>
    <row r="17" spans="2:58" x14ac:dyDescent="0.35">
      <c r="M17" s="5"/>
      <c r="X17" t="s">
        <v>32</v>
      </c>
      <c r="Y17" t="s">
        <v>25</v>
      </c>
      <c r="AC17" t="s">
        <v>34</v>
      </c>
      <c r="AD17" t="s">
        <v>25</v>
      </c>
      <c r="AW17" t="s">
        <v>38</v>
      </c>
      <c r="AX17" t="s">
        <v>25</v>
      </c>
    </row>
    <row r="18" spans="2:58" x14ac:dyDescent="0.35">
      <c r="AI18" t="s">
        <v>36</v>
      </c>
      <c r="AJ18" t="s">
        <v>25</v>
      </c>
      <c r="AP18" t="s">
        <v>37</v>
      </c>
      <c r="AQ18" t="s">
        <v>25</v>
      </c>
      <c r="BD18" t="s">
        <v>39</v>
      </c>
      <c r="BE18" t="s">
        <v>25</v>
      </c>
    </row>
    <row r="19" spans="2:58" x14ac:dyDescent="0.35">
      <c r="M19" s="5"/>
    </row>
    <row r="20" spans="2:58" x14ac:dyDescent="0.35">
      <c r="M20" s="5"/>
    </row>
    <row r="21" spans="2:58" x14ac:dyDescent="0.35">
      <c r="M21" s="5"/>
    </row>
    <row r="22" spans="2:58" x14ac:dyDescent="0.35">
      <c r="M22" s="5"/>
      <c r="X22" t="s">
        <v>33</v>
      </c>
      <c r="Y22" t="s">
        <v>25</v>
      </c>
    </row>
    <row r="23" spans="2:58" x14ac:dyDescent="0.35">
      <c r="M23" s="5"/>
      <c r="AC23" t="s">
        <v>35</v>
      </c>
      <c r="AD23" t="s">
        <v>25</v>
      </c>
      <c r="AJ23" t="s">
        <v>45</v>
      </c>
      <c r="AK23" t="s">
        <v>25</v>
      </c>
      <c r="AQ23" t="s">
        <v>46</v>
      </c>
      <c r="AR23" t="s">
        <v>25</v>
      </c>
      <c r="AX23" t="s">
        <v>48</v>
      </c>
      <c r="AY23" t="s">
        <v>25</v>
      </c>
      <c r="BE23" t="s">
        <v>47</v>
      </c>
      <c r="BF23" t="s">
        <v>25</v>
      </c>
    </row>
    <row r="24" spans="2:58" x14ac:dyDescent="0.35">
      <c r="M24" s="5"/>
    </row>
    <row r="26" spans="2:58" x14ac:dyDescent="0.35">
      <c r="M26" s="5"/>
    </row>
    <row r="27" spans="2:58" x14ac:dyDescent="0.35">
      <c r="M27" s="5"/>
      <c r="X27" t="s">
        <v>29</v>
      </c>
      <c r="Y27" t="s">
        <v>25</v>
      </c>
    </row>
    <row r="28" spans="2:58" x14ac:dyDescent="0.35">
      <c r="AJ28" t="s">
        <v>44</v>
      </c>
      <c r="AK28" t="s">
        <v>25</v>
      </c>
    </row>
    <row r="29" spans="2:58" x14ac:dyDescent="0.35">
      <c r="M29" s="5"/>
    </row>
    <row r="30" spans="2:58" x14ac:dyDescent="0.35">
      <c r="M30" s="5"/>
    </row>
    <row r="32" spans="2:58" x14ac:dyDescent="0.35">
      <c r="B32" t="s">
        <v>24</v>
      </c>
      <c r="C32" t="s">
        <v>25</v>
      </c>
      <c r="X32" t="s">
        <v>30</v>
      </c>
      <c r="Y32" t="s">
        <v>25</v>
      </c>
    </row>
    <row r="33" spans="2:37" x14ac:dyDescent="0.35">
      <c r="AJ33" t="s">
        <v>43</v>
      </c>
      <c r="AK33" t="s">
        <v>25</v>
      </c>
    </row>
    <row r="39" spans="2:37" x14ac:dyDescent="0.35">
      <c r="B39" t="s">
        <v>26</v>
      </c>
      <c r="C39" t="s">
        <v>25</v>
      </c>
    </row>
    <row r="44" spans="2:37" x14ac:dyDescent="0.35">
      <c r="B44" t="s">
        <v>27</v>
      </c>
      <c r="C44" t="s">
        <v>25</v>
      </c>
    </row>
    <row r="47" spans="2:37" x14ac:dyDescent="0.35">
      <c r="X47" s="6"/>
    </row>
    <row r="49" spans="2:61" x14ac:dyDescent="0.35">
      <c r="B49" t="s">
        <v>41</v>
      </c>
      <c r="C49" t="s">
        <v>25</v>
      </c>
    </row>
    <row r="50" spans="2:61" x14ac:dyDescent="0.35">
      <c r="X50" s="50"/>
      <c r="Y50" s="50"/>
      <c r="Z50" s="50"/>
      <c r="AA50" s="50"/>
      <c r="AC50" s="50"/>
      <c r="AD50" s="50"/>
      <c r="AE50" s="50"/>
      <c r="AF50" s="50"/>
      <c r="AI50" s="50"/>
      <c r="AJ50" s="50"/>
      <c r="AK50" s="50"/>
      <c r="AL50" s="50"/>
      <c r="AM50" s="50"/>
      <c r="AN50" s="50"/>
      <c r="AP50" s="50"/>
      <c r="AQ50" s="50"/>
      <c r="AR50" s="50"/>
      <c r="AS50" s="50"/>
      <c r="AT50" s="50"/>
      <c r="AU50" s="50"/>
      <c r="AW50" s="50"/>
      <c r="AX50" s="50"/>
      <c r="AY50" s="50"/>
      <c r="AZ50" s="50"/>
      <c r="BA50" s="50"/>
      <c r="BB50" s="50"/>
      <c r="BD50" s="50"/>
      <c r="BE50" s="50"/>
      <c r="BF50" s="50"/>
      <c r="BG50" s="50"/>
      <c r="BH50" s="50"/>
      <c r="BI50" s="50"/>
    </row>
    <row r="54" spans="2:61" x14ac:dyDescent="0.35">
      <c r="B54" t="s">
        <v>28</v>
      </c>
      <c r="C54" t="s">
        <v>25</v>
      </c>
    </row>
    <row r="59" spans="2:61" x14ac:dyDescent="0.35">
      <c r="B59" t="s">
        <v>40</v>
      </c>
      <c r="C59" t="s">
        <v>25</v>
      </c>
    </row>
    <row r="62" spans="2:61" x14ac:dyDescent="0.35">
      <c r="B62" t="s">
        <v>42</v>
      </c>
    </row>
    <row r="96" ht="15" thickBot="1" x14ac:dyDescent="0.4"/>
    <row r="97" spans="2:24" x14ac:dyDescent="0.35">
      <c r="B97" s="63" t="s">
        <v>75</v>
      </c>
      <c r="C97" s="64"/>
      <c r="D97" s="65"/>
      <c r="F97" s="72" t="s">
        <v>79</v>
      </c>
      <c r="G97" s="73"/>
      <c r="H97" s="74" t="s">
        <v>78</v>
      </c>
      <c r="J97" s="7" t="s">
        <v>80</v>
      </c>
    </row>
    <row r="98" spans="2:24" x14ac:dyDescent="0.35">
      <c r="B98" s="51" t="s">
        <v>76</v>
      </c>
      <c r="C98" s="9"/>
      <c r="D98" s="13">
        <f ca="1">RAND()*($B$102-$B$99)+$B$99</f>
        <v>-5.9767730508469175E-2</v>
      </c>
      <c r="F98" s="75">
        <v>1.3962170471593613</v>
      </c>
      <c r="G98" s="9"/>
      <c r="H98" s="13">
        <v>-1.55</v>
      </c>
      <c r="J98">
        <v>4.7474861721640647</v>
      </c>
    </row>
    <row r="99" spans="2:24" x14ac:dyDescent="0.35">
      <c r="B99" s="51">
        <v>-2</v>
      </c>
      <c r="C99" s="9"/>
      <c r="D99" s="13">
        <f ca="1">RAND()*($B$102-$B$99)+$B$99</f>
        <v>1.2045700238823698</v>
      </c>
      <c r="F99" s="75">
        <v>0.82834412705083371</v>
      </c>
      <c r="G99" s="9"/>
      <c r="H99" s="13">
        <v>-1.5</v>
      </c>
      <c r="J99">
        <v>-4.3473182622491784</v>
      </c>
    </row>
    <row r="100" spans="2:24" x14ac:dyDescent="0.35">
      <c r="B100" s="51"/>
      <c r="C100" s="9"/>
      <c r="D100" s="13">
        <f t="shared" ref="D99:D103" ca="1" si="40">RAND()*($B$102-$B$99)+$B$99</f>
        <v>-1.9201799908460679</v>
      </c>
      <c r="F100" s="75">
        <v>-0.32190521449133513</v>
      </c>
      <c r="G100" s="9"/>
      <c r="H100" s="13">
        <v>1</v>
      </c>
      <c r="J100">
        <v>6.1845770085473468</v>
      </c>
    </row>
    <row r="101" spans="2:24" x14ac:dyDescent="0.35">
      <c r="B101" s="51" t="s">
        <v>77</v>
      </c>
      <c r="C101" s="9"/>
      <c r="D101" s="13">
        <f t="shared" ca="1" si="40"/>
        <v>1.4816967580372067</v>
      </c>
      <c r="F101" s="75">
        <v>-6.718850069702513E-2</v>
      </c>
      <c r="G101" s="9"/>
      <c r="H101" s="13">
        <v>-0.1</v>
      </c>
      <c r="J101">
        <v>1.9268642753118306</v>
      </c>
    </row>
    <row r="102" spans="2:24" x14ac:dyDescent="0.35">
      <c r="B102" s="51">
        <f>2</f>
        <v>2</v>
      </c>
      <c r="C102" s="9"/>
      <c r="D102" s="13">
        <f t="shared" ca="1" si="40"/>
        <v>-1.9941501001597648</v>
      </c>
      <c r="F102" s="75">
        <v>0.56716790388124216</v>
      </c>
      <c r="G102" s="9"/>
      <c r="H102" s="13">
        <v>0.55000000000000004</v>
      </c>
      <c r="J102">
        <v>-2.9103268422333981</v>
      </c>
    </row>
    <row r="103" spans="2:24" ht="15" thickBot="1" x14ac:dyDescent="0.4">
      <c r="B103" s="52"/>
      <c r="C103" s="15"/>
      <c r="D103" s="53">
        <f t="shared" ca="1" si="40"/>
        <v>-0.72257952271839621</v>
      </c>
      <c r="F103" s="76">
        <v>0.24616521202017116</v>
      </c>
      <c r="G103" s="15"/>
      <c r="H103" s="53">
        <v>-0.2</v>
      </c>
      <c r="J103">
        <v>-2.6263064562867067</v>
      </c>
    </row>
    <row r="107" spans="2:24" ht="15" thickBot="1" x14ac:dyDescent="0.4"/>
    <row r="108" spans="2:24" ht="21.5" thickBot="1" x14ac:dyDescent="0.55000000000000004">
      <c r="B108" s="60" t="s">
        <v>63</v>
      </c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2"/>
    </row>
    <row r="109" spans="2:24" x14ac:dyDescent="0.35">
      <c r="B109" s="54" t="s">
        <v>6</v>
      </c>
      <c r="C109" s="27">
        <v>1</v>
      </c>
      <c r="D109" s="40">
        <f>1/(1+EXP(-D135))</f>
        <v>0.10702291363925941</v>
      </c>
      <c r="E109" s="39">
        <f t="shared" ref="E109:W110" si="41">1/(1+EXP(-E135))</f>
        <v>0.10805745517395057</v>
      </c>
      <c r="F109" s="39">
        <f t="shared" si="41"/>
        <v>0.10931294672281984</v>
      </c>
      <c r="G109" s="39">
        <f t="shared" si="41"/>
        <v>0.11083795854139794</v>
      </c>
      <c r="H109" s="39">
        <f t="shared" si="41"/>
        <v>0.11269231245849111</v>
      </c>
      <c r="I109" s="39">
        <f t="shared" si="41"/>
        <v>0.11494990487049529</v>
      </c>
      <c r="J109" s="39">
        <f t="shared" si="41"/>
        <v>0.11770230168864945</v>
      </c>
      <c r="K109" s="39">
        <f t="shared" si="41"/>
        <v>0.12106332067868854</v>
      </c>
      <c r="L109" s="39">
        <f t="shared" si="41"/>
        <v>0.12517486223246249</v>
      </c>
      <c r="M109" s="39">
        <f t="shared" si="41"/>
        <v>0.13021428533131105</v>
      </c>
      <c r="N109" s="39">
        <f t="shared" si="41"/>
        <v>0.13640362501151959</v>
      </c>
      <c r="O109" s="39">
        <f t="shared" si="41"/>
        <v>0.14402085753494331</v>
      </c>
      <c r="P109" s="39">
        <f t="shared" si="41"/>
        <v>0.15341313857048322</v>
      </c>
      <c r="Q109" s="39">
        <f t="shared" si="41"/>
        <v>0.16501129029944137</v>
      </c>
      <c r="R109" s="39">
        <f t="shared" si="41"/>
        <v>0.17934351127744436</v>
      </c>
      <c r="S109" s="39">
        <f t="shared" si="41"/>
        <v>0.19704393814349122</v>
      </c>
      <c r="T109" s="39">
        <f t="shared" si="41"/>
        <v>0.21884792320914076</v>
      </c>
      <c r="U109" s="39">
        <f t="shared" si="41"/>
        <v>0.24556075689744819</v>
      </c>
      <c r="V109" s="39">
        <f t="shared" si="41"/>
        <v>0.27798150152140461</v>
      </c>
      <c r="W109" s="39">
        <f t="shared" si="41"/>
        <v>0.31676298766705835</v>
      </c>
      <c r="X109" s="41">
        <f>1/(1+EXP(-X135))</f>
        <v>0.36220117671342794</v>
      </c>
    </row>
    <row r="110" spans="2:24" x14ac:dyDescent="0.35">
      <c r="B110" s="55"/>
      <c r="C110" s="24">
        <v>0.95</v>
      </c>
      <c r="D110" s="42">
        <f>1/(1+EXP(-D136))</f>
        <v>0.10808765955250423</v>
      </c>
      <c r="E110" s="38">
        <f t="shared" si="41"/>
        <v>0.1093496175714285</v>
      </c>
      <c r="F110" s="38">
        <f t="shared" si="41"/>
        <v>0.11088252389165197</v>
      </c>
      <c r="G110" s="38">
        <f t="shared" si="41"/>
        <v>0.112746533651862</v>
      </c>
      <c r="H110" s="38">
        <f t="shared" si="41"/>
        <v>0.11501596095122323</v>
      </c>
      <c r="I110" s="38">
        <f t="shared" si="41"/>
        <v>0.117782896962421</v>
      </c>
      <c r="J110" s="38">
        <f t="shared" si="41"/>
        <v>0.12116182177078347</v>
      </c>
      <c r="K110" s="38">
        <f t="shared" si="41"/>
        <v>0.12529547212818715</v>
      </c>
      <c r="L110" s="38">
        <f t="shared" si="41"/>
        <v>0.13036226249836164</v>
      </c>
      <c r="M110" s="38">
        <f t="shared" si="41"/>
        <v>0.13658555479382767</v>
      </c>
      <c r="N110" s="38">
        <f t="shared" si="41"/>
        <v>0.14424497861699914</v>
      </c>
      <c r="O110" s="38">
        <f t="shared" si="41"/>
        <v>0.15368971586434674</v>
      </c>
      <c r="P110" s="38">
        <f t="shared" si="41"/>
        <v>0.16535300105928413</v>
      </c>
      <c r="Q110" s="38">
        <f t="shared" si="41"/>
        <v>0.17976576448178627</v>
      </c>
      <c r="R110" s="38">
        <f t="shared" si="41"/>
        <v>0.19756496706624593</v>
      </c>
      <c r="S110" s="38">
        <f t="shared" si="41"/>
        <v>0.21948837060541027</v>
      </c>
      <c r="T110" s="38">
        <f t="shared" si="41"/>
        <v>0.24634232584042173</v>
      </c>
      <c r="U110" s="38">
        <f t="shared" si="41"/>
        <v>0.27892414324723702</v>
      </c>
      <c r="V110" s="38">
        <f t="shared" si="41"/>
        <v>0.31788021043519804</v>
      </c>
      <c r="W110" s="38">
        <f t="shared" si="41"/>
        <v>0.3634936491047755</v>
      </c>
      <c r="X110" s="43">
        <f>1/(1+EXP(-X136))</f>
        <v>0.41543012427435583</v>
      </c>
    </row>
    <row r="111" spans="2:24" x14ac:dyDescent="0.35">
      <c r="B111" s="55"/>
      <c r="C111" s="24">
        <v>0.9</v>
      </c>
      <c r="D111" s="42">
        <f t="shared" ref="D111:X111" si="42">1/(1+EXP(-D137))</f>
        <v>0.10938647774645144</v>
      </c>
      <c r="E111" s="38">
        <f t="shared" si="42"/>
        <v>0.11092732058314421</v>
      </c>
      <c r="F111" s="38">
        <f t="shared" si="42"/>
        <v>0.11280103808420021</v>
      </c>
      <c r="G111" s="38">
        <f t="shared" si="42"/>
        <v>0.11508236457585976</v>
      </c>
      <c r="H111" s="38">
        <f t="shared" si="42"/>
        <v>0.11786391971059589</v>
      </c>
      <c r="I111" s="38">
        <f t="shared" si="42"/>
        <v>0.12126084999004159</v>
      </c>
      <c r="J111" s="38">
        <f t="shared" si="42"/>
        <v>0.12541673371165987</v>
      </c>
      <c r="K111" s="38">
        <f t="shared" si="42"/>
        <v>0.1305110473080921</v>
      </c>
      <c r="L111" s="38">
        <f t="shared" si="42"/>
        <v>0.1367684875078361</v>
      </c>
      <c r="M111" s="38">
        <f t="shared" si="42"/>
        <v>0.14447034660743349</v>
      </c>
      <c r="N111" s="38">
        <f t="shared" si="42"/>
        <v>0.15396784301109548</v>
      </c>
      <c r="O111" s="38">
        <f t="shared" si="42"/>
        <v>0.16569663339894861</v>
      </c>
      <c r="P111" s="38">
        <f t="shared" si="42"/>
        <v>0.18019038608948115</v>
      </c>
      <c r="Q111" s="38">
        <f t="shared" si="42"/>
        <v>0.19808888342629627</v>
      </c>
      <c r="R111" s="38">
        <f t="shared" si="42"/>
        <v>0.22013227520373696</v>
      </c>
      <c r="S111" s="38">
        <f t="shared" si="42"/>
        <v>0.24712791924736077</v>
      </c>
      <c r="T111" s="38">
        <f t="shared" si="42"/>
        <v>0.27987127525834365</v>
      </c>
      <c r="U111" s="38">
        <f t="shared" si="42"/>
        <v>0.31900213750400974</v>
      </c>
      <c r="V111" s="38">
        <f t="shared" si="42"/>
        <v>0.36479060486220755</v>
      </c>
      <c r="W111" s="38">
        <f t="shared" si="42"/>
        <v>0.41688265524432427</v>
      </c>
      <c r="X111" s="43">
        <f t="shared" si="42"/>
        <v>0.47409033101078601</v>
      </c>
    </row>
    <row r="112" spans="2:24" x14ac:dyDescent="0.35">
      <c r="B112" s="55"/>
      <c r="C112" s="24">
        <v>0.85</v>
      </c>
      <c r="D112" s="42">
        <f t="shared" ref="D112:X112" si="43">1/(1+EXP(-D138))</f>
        <v>0.11097234985289632</v>
      </c>
      <c r="E112" s="38">
        <f t="shared" si="43"/>
        <v>0.11285582728582888</v>
      </c>
      <c r="F112" s="38">
        <f t="shared" si="43"/>
        <v>0.11514911764356187</v>
      </c>
      <c r="G112" s="38">
        <f t="shared" si="43"/>
        <v>0.11794537229744083</v>
      </c>
      <c r="H112" s="38">
        <f t="shared" si="43"/>
        <v>0.12136040828815171</v>
      </c>
      <c r="I112" s="38">
        <f t="shared" si="43"/>
        <v>0.1255386506761054</v>
      </c>
      <c r="J112" s="38">
        <f t="shared" si="43"/>
        <v>0.13066064438637207</v>
      </c>
      <c r="K112" s="38">
        <f t="shared" si="43"/>
        <v>0.13695242894239151</v>
      </c>
      <c r="L112" s="38">
        <f t="shared" si="43"/>
        <v>0.14469696872199897</v>
      </c>
      <c r="M112" s="38">
        <f t="shared" si="43"/>
        <v>0.15424752892829577</v>
      </c>
      <c r="N112" s="38">
        <f t="shared" si="43"/>
        <v>0.16604219816846874</v>
      </c>
      <c r="O112" s="38">
        <f t="shared" si="43"/>
        <v>0.18061738895782509</v>
      </c>
      <c r="P112" s="38">
        <f t="shared" si="43"/>
        <v>0.19861570180969382</v>
      </c>
      <c r="Q112" s="38">
        <f t="shared" si="43"/>
        <v>0.22077965238313843</v>
      </c>
      <c r="R112" s="38">
        <f t="shared" si="43"/>
        <v>0.24791755131400964</v>
      </c>
      <c r="S112" s="38">
        <f t="shared" si="43"/>
        <v>0.28082290723598236</v>
      </c>
      <c r="T112" s="38">
        <f t="shared" si="43"/>
        <v>0.32012876945072621</v>
      </c>
      <c r="U112" s="38">
        <f t="shared" si="43"/>
        <v>0.36609203060524786</v>
      </c>
      <c r="V112" s="38">
        <f t="shared" si="43"/>
        <v>0.41833882633924424</v>
      </c>
      <c r="W112" s="38">
        <f t="shared" si="43"/>
        <v>0.47565755466648513</v>
      </c>
      <c r="X112" s="43">
        <f t="shared" si="43"/>
        <v>0.5359681457541543</v>
      </c>
    </row>
    <row r="113" spans="2:24" x14ac:dyDescent="0.35">
      <c r="B113" s="55"/>
      <c r="C113" s="24">
        <v>0.8</v>
      </c>
      <c r="D113" s="42">
        <f t="shared" ref="D113:X113" si="44">1/(1+EXP(-D139))</f>
        <v>0.11291090279578328</v>
      </c>
      <c r="E113" s="38">
        <f t="shared" si="44"/>
        <v>0.11521622206445906</v>
      </c>
      <c r="F113" s="38">
        <f t="shared" si="44"/>
        <v>0.11802725710107324</v>
      </c>
      <c r="G113" s="38">
        <f t="shared" si="44"/>
        <v>0.12146049963429884</v>
      </c>
      <c r="H113" s="38">
        <f t="shared" si="44"/>
        <v>0.12566122673680899</v>
      </c>
      <c r="I113" s="38">
        <f t="shared" si="44"/>
        <v>0.13081105838672716</v>
      </c>
      <c r="J113" s="38">
        <f t="shared" si="44"/>
        <v>0.13713738492060459</v>
      </c>
      <c r="K113" s="38">
        <f t="shared" si="44"/>
        <v>0.14492485221800538</v>
      </c>
      <c r="L113" s="38">
        <f t="shared" si="44"/>
        <v>0.15452878258209432</v>
      </c>
      <c r="M113" s="38">
        <f t="shared" si="44"/>
        <v>0.16638970627110569</v>
      </c>
      <c r="N113" s="38">
        <f t="shared" si="44"/>
        <v>0.18104678599562099</v>
      </c>
      <c r="O113" s="38">
        <f t="shared" si="44"/>
        <v>0.1991454368392693</v>
      </c>
      <c r="P113" s="38">
        <f t="shared" si="44"/>
        <v>0.22143051752223353</v>
      </c>
      <c r="Q113" s="38">
        <f t="shared" si="44"/>
        <v>0.24871123616583604</v>
      </c>
      <c r="R113" s="38">
        <f t="shared" si="44"/>
        <v>0.28177904868383019</v>
      </c>
      <c r="S113" s="38">
        <f t="shared" si="44"/>
        <v>0.32126010654287757</v>
      </c>
      <c r="T113" s="38">
        <f t="shared" si="44"/>
        <v>0.36739791252902831</v>
      </c>
      <c r="U113" s="38">
        <f t="shared" si="44"/>
        <v>0.41979860679103348</v>
      </c>
      <c r="V113" s="38">
        <f t="shared" si="44"/>
        <v>0.47722691468946288</v>
      </c>
      <c r="W113" s="38">
        <f t="shared" si="44"/>
        <v>0.53758180013540702</v>
      </c>
      <c r="X113" s="43">
        <f t="shared" si="44"/>
        <v>0.59814989876890301</v>
      </c>
    </row>
    <row r="114" spans="2:24" x14ac:dyDescent="0.35">
      <c r="B114" s="55"/>
      <c r="C114" s="24">
        <v>0.75</v>
      </c>
      <c r="D114" s="42">
        <f t="shared" ref="D114:X114" si="45">1/(1+EXP(-D140))</f>
        <v>0.11528367975972083</v>
      </c>
      <c r="E114" s="38">
        <f t="shared" si="45"/>
        <v>0.11810957651354709</v>
      </c>
      <c r="F114" s="38">
        <f t="shared" si="45"/>
        <v>0.12156112701527251</v>
      </c>
      <c r="G114" s="38">
        <f t="shared" si="45"/>
        <v>0.1257844656312512</v>
      </c>
      <c r="H114" s="38">
        <f t="shared" si="45"/>
        <v>0.13096229399050163</v>
      </c>
      <c r="I114" s="38">
        <f t="shared" si="45"/>
        <v>0.13732336130003703</v>
      </c>
      <c r="J114" s="38">
        <f t="shared" si="45"/>
        <v>0.14515400439451587</v>
      </c>
      <c r="K114" s="38">
        <f t="shared" si="45"/>
        <v>0.1548116129873848</v>
      </c>
      <c r="L114" s="38">
        <f t="shared" si="45"/>
        <v>0.16673916866340768</v>
      </c>
      <c r="M114" s="38">
        <f t="shared" si="45"/>
        <v>0.1814785901629937</v>
      </c>
      <c r="N114" s="38">
        <f t="shared" si="45"/>
        <v>0.19967810317398371</v>
      </c>
      <c r="O114" s="38">
        <f t="shared" si="45"/>
        <v>0.22208488599785697</v>
      </c>
      <c r="P114" s="38">
        <f t="shared" si="45"/>
        <v>0.24950898785566747</v>
      </c>
      <c r="Q114" s="38">
        <f t="shared" si="45"/>
        <v>0.28273970892469075</v>
      </c>
      <c r="R114" s="38">
        <f t="shared" si="45"/>
        <v>0.32239614873477207</v>
      </c>
      <c r="S114" s="38">
        <f t="shared" si="45"/>
        <v>0.36870823640209172</v>
      </c>
      <c r="T114" s="38">
        <f t="shared" si="45"/>
        <v>0.42126196537999083</v>
      </c>
      <c r="U114" s="38">
        <f t="shared" si="45"/>
        <v>0.47879836467142128</v>
      </c>
      <c r="V114" s="38">
        <f t="shared" si="45"/>
        <v>0.53919561108681713</v>
      </c>
      <c r="W114" s="38">
        <f t="shared" si="45"/>
        <v>0.59973014204991937</v>
      </c>
      <c r="X114" s="43">
        <f t="shared" si="45"/>
        <v>0.65758217596994528</v>
      </c>
    </row>
    <row r="115" spans="2:24" x14ac:dyDescent="0.35">
      <c r="B115" s="55"/>
      <c r="C115" s="24">
        <v>0.7</v>
      </c>
      <c r="D115" s="42">
        <f t="shared" ref="D115:X115" si="46">1/(1+EXP(-D141))</f>
        <v>0.11819233294093956</v>
      </c>
      <c r="E115" s="38">
        <f t="shared" si="46"/>
        <v>0.12166229343557593</v>
      </c>
      <c r="F115" s="38">
        <f t="shared" si="46"/>
        <v>0.12590837111924294</v>
      </c>
      <c r="G115" s="38">
        <f t="shared" si="46"/>
        <v>0.13111435590702156</v>
      </c>
      <c r="H115" s="38">
        <f t="shared" si="46"/>
        <v>0.13751036397288854</v>
      </c>
      <c r="I115" s="38">
        <f t="shared" si="46"/>
        <v>0.14538443259254213</v>
      </c>
      <c r="J115" s="38">
        <f t="shared" si="46"/>
        <v>0.15509602920797241</v>
      </c>
      <c r="K115" s="38">
        <f t="shared" si="46"/>
        <v>0.16709059635526435</v>
      </c>
      <c r="L115" s="38">
        <f t="shared" si="46"/>
        <v>0.18191281447119359</v>
      </c>
      <c r="M115" s="38">
        <f t="shared" si="46"/>
        <v>0.20021371550826386</v>
      </c>
      <c r="N115" s="38">
        <f t="shared" si="46"/>
        <v>0.22274277318364602</v>
      </c>
      <c r="O115" s="38">
        <f t="shared" si="46"/>
        <v>0.25031082036129987</v>
      </c>
      <c r="P115" s="38">
        <f t="shared" si="46"/>
        <v>0.28370489709718116</v>
      </c>
      <c r="Q115" s="38">
        <f t="shared" si="46"/>
        <v>0.32353689566398325</v>
      </c>
      <c r="R115" s="38">
        <f t="shared" si="46"/>
        <v>0.3700229875642605</v>
      </c>
      <c r="S115" s="38">
        <f t="shared" si="46"/>
        <v>0.42272887043597346</v>
      </c>
      <c r="T115" s="38">
        <f t="shared" si="46"/>
        <v>0.4803718578800833</v>
      </c>
      <c r="U115" s="38">
        <f t="shared" si="46"/>
        <v>0.54080952442714481</v>
      </c>
      <c r="V115" s="38">
        <f t="shared" si="46"/>
        <v>0.60130847569009804</v>
      </c>
      <c r="W115" s="38">
        <f t="shared" si="46"/>
        <v>0.65905432725631974</v>
      </c>
      <c r="X115" s="43">
        <f t="shared" si="46"/>
        <v>0.71171189161712534</v>
      </c>
    </row>
    <row r="116" spans="2:24" x14ac:dyDescent="0.35">
      <c r="B116" s="55"/>
      <c r="C116" s="24">
        <v>0.65</v>
      </c>
      <c r="D116" s="42">
        <f t="shared" ref="D116:X116" si="47">1/(1+EXP(-D142))</f>
        <v>0.12176400191753547</v>
      </c>
      <c r="E116" s="38">
        <f t="shared" si="47"/>
        <v>0.12603294698306175</v>
      </c>
      <c r="F116" s="38">
        <f t="shared" si="47"/>
        <v>0.13126724887375882</v>
      </c>
      <c r="G116" s="38">
        <f t="shared" si="47"/>
        <v>0.13769839886618493</v>
      </c>
      <c r="H116" s="38">
        <f t="shared" si="47"/>
        <v>0.14561614419523997</v>
      </c>
      <c r="I116" s="38">
        <f t="shared" si="47"/>
        <v>0.15538204035673742</v>
      </c>
      <c r="J116" s="38">
        <f t="shared" si="47"/>
        <v>0.16744400040995791</v>
      </c>
      <c r="K116" s="38">
        <f t="shared" si="47"/>
        <v>0.18234947198239224</v>
      </c>
      <c r="L116" s="38">
        <f t="shared" si="47"/>
        <v>0.20075228857132257</v>
      </c>
      <c r="M116" s="38">
        <f t="shared" si="47"/>
        <v>0.22340419444860643</v>
      </c>
      <c r="N116" s="38">
        <f t="shared" si="47"/>
        <v>0.25111674758307828</v>
      </c>
      <c r="O116" s="38">
        <f t="shared" si="47"/>
        <v>0.28467462215240524</v>
      </c>
      <c r="P116" s="38">
        <f t="shared" si="47"/>
        <v>0.32468234664785056</v>
      </c>
      <c r="Q116" s="38">
        <f t="shared" si="47"/>
        <v>0.37134215092456713</v>
      </c>
      <c r="R116" s="38">
        <f t="shared" si="47"/>
        <v>0.42419928983969196</v>
      </c>
      <c r="S116" s="38">
        <f t="shared" si="47"/>
        <v>0.48194734726466348</v>
      </c>
      <c r="T116" s="38">
        <f t="shared" si="47"/>
        <v>0.54242348592240819</v>
      </c>
      <c r="U116" s="38">
        <f t="shared" si="47"/>
        <v>0.60288484935744391</v>
      </c>
      <c r="V116" s="38">
        <f t="shared" si="47"/>
        <v>0.66052285807899169</v>
      </c>
      <c r="W116" s="38">
        <f t="shared" si="47"/>
        <v>0.7130213784727073</v>
      </c>
      <c r="X116" s="43">
        <f t="shared" si="47"/>
        <v>0.75892843204205873</v>
      </c>
    </row>
    <row r="117" spans="2:24" x14ac:dyDescent="0.35">
      <c r="B117" s="55"/>
      <c r="C117" s="24">
        <v>0.6</v>
      </c>
      <c r="D117" s="42">
        <f t="shared" ref="D117:X117" si="48">1/(1+EXP(-D143))</f>
        <v>0.12615819702758835</v>
      </c>
      <c r="E117" s="38">
        <f t="shared" si="48"/>
        <v>0.13142097765649563</v>
      </c>
      <c r="F117" s="38">
        <f t="shared" si="48"/>
        <v>0.13788747194196621</v>
      </c>
      <c r="G117" s="38">
        <f t="shared" si="48"/>
        <v>0.14584914662810416</v>
      </c>
      <c r="H117" s="38">
        <f t="shared" si="48"/>
        <v>0.15566965559579635</v>
      </c>
      <c r="I117" s="38">
        <f t="shared" si="48"/>
        <v>0.16779939194420884</v>
      </c>
      <c r="J117" s="38">
        <f t="shared" si="48"/>
        <v>0.18278857580946836</v>
      </c>
      <c r="K117" s="38">
        <f t="shared" si="48"/>
        <v>0.20129383712646157</v>
      </c>
      <c r="L117" s="38">
        <f t="shared" si="48"/>
        <v>0.22406916515565425</v>
      </c>
      <c r="M117" s="38">
        <f t="shared" si="48"/>
        <v>0.25192678334145108</v>
      </c>
      <c r="N117" s="38">
        <f t="shared" si="48"/>
        <v>0.28564889285060485</v>
      </c>
      <c r="O117" s="38">
        <f t="shared" si="48"/>
        <v>0.32583250067999764</v>
      </c>
      <c r="P117" s="38">
        <f t="shared" si="48"/>
        <v>0.37266571095924927</v>
      </c>
      <c r="Q117" s="38">
        <f t="shared" si="48"/>
        <v>0.42567319102410794</v>
      </c>
      <c r="R117" s="38">
        <f t="shared" si="48"/>
        <v>0.48352478546144695</v>
      </c>
      <c r="S117" s="38">
        <f t="shared" si="48"/>
        <v>0.5440374412939557</v>
      </c>
      <c r="T117" s="38">
        <f t="shared" si="48"/>
        <v>0.60445921297239391</v>
      </c>
      <c r="U117" s="38">
        <f t="shared" si="48"/>
        <v>0.6619877321765798</v>
      </c>
      <c r="V117" s="38">
        <f t="shared" si="48"/>
        <v>0.7143261868591968</v>
      </c>
      <c r="W117" s="38">
        <f t="shared" si="48"/>
        <v>0.76004779032022662</v>
      </c>
      <c r="X117" s="43">
        <f t="shared" si="48"/>
        <v>0.79865950787336681</v>
      </c>
    </row>
    <row r="118" spans="2:24" x14ac:dyDescent="0.35">
      <c r="B118" s="55"/>
      <c r="C118" s="24">
        <v>0.55000000000000004</v>
      </c>
      <c r="D118" s="42">
        <f t="shared" ref="D118:X118" si="49">1/(1+EXP(-D144))</f>
        <v>0.13157554704949012</v>
      </c>
      <c r="E118" s="38">
        <f t="shared" si="49"/>
        <v>0.13807758919747531</v>
      </c>
      <c r="F118" s="38">
        <f t="shared" si="49"/>
        <v>0.14608344735916381</v>
      </c>
      <c r="G118" s="38">
        <f t="shared" si="49"/>
        <v>0.1559588841366617</v>
      </c>
      <c r="H118" s="38">
        <f t="shared" si="49"/>
        <v>0.16815678212821725</v>
      </c>
      <c r="I118" s="38">
        <f t="shared" si="49"/>
        <v>0.18323013911578401</v>
      </c>
      <c r="J118" s="38">
        <f t="shared" si="49"/>
        <v>0.20183837597035906</v>
      </c>
      <c r="K118" s="38">
        <f t="shared" si="49"/>
        <v>0.22473770066013257</v>
      </c>
      <c r="L118" s="38">
        <f t="shared" si="49"/>
        <v>0.25274094137449693</v>
      </c>
      <c r="M118" s="38">
        <f t="shared" si="49"/>
        <v>0.28662771775779505</v>
      </c>
      <c r="N118" s="38">
        <f t="shared" si="49"/>
        <v>0.32698735642685961</v>
      </c>
      <c r="O118" s="38">
        <f t="shared" si="49"/>
        <v>0.37399365170981491</v>
      </c>
      <c r="P118" s="38">
        <f t="shared" si="49"/>
        <v>0.42715054097594068</v>
      </c>
      <c r="Q118" s="38">
        <f t="shared" si="49"/>
        <v>0.48510412479946019</v>
      </c>
      <c r="R118" s="38">
        <f t="shared" si="49"/>
        <v>0.54565133622656958</v>
      </c>
      <c r="S118" s="38">
        <f t="shared" si="49"/>
        <v>0.60603151671480204</v>
      </c>
      <c r="T118" s="38">
        <f t="shared" si="49"/>
        <v>0.66344891373992687</v>
      </c>
      <c r="U118" s="38">
        <f t="shared" si="49"/>
        <v>0.71562629912332498</v>
      </c>
      <c r="V118" s="38">
        <f t="shared" si="49"/>
        <v>0.76116211861457717</v>
      </c>
      <c r="W118" s="38">
        <f t="shared" si="49"/>
        <v>0.79958638588558539</v>
      </c>
      <c r="X118" s="43">
        <f t="shared" si="49"/>
        <v>0.83117454503017885</v>
      </c>
    </row>
    <row r="119" spans="2:24" x14ac:dyDescent="0.35">
      <c r="B119" s="55"/>
      <c r="C119" s="24">
        <v>0.5</v>
      </c>
      <c r="D119" s="42">
        <f t="shared" ref="D119:X119" si="50">1/(1+EXP(-D145))</f>
        <v>0.13826875666534733</v>
      </c>
      <c r="E119" s="38">
        <f t="shared" si="50"/>
        <v>0.14631905389917654</v>
      </c>
      <c r="F119" s="38">
        <f t="shared" si="50"/>
        <v>0.1562497352403999</v>
      </c>
      <c r="G119" s="38">
        <f t="shared" si="50"/>
        <v>0.16851618218569919</v>
      </c>
      <c r="H119" s="38">
        <f t="shared" si="50"/>
        <v>0.18367417511495124</v>
      </c>
      <c r="I119" s="38">
        <f t="shared" si="50"/>
        <v>0.2023859199323392</v>
      </c>
      <c r="J119" s="38">
        <f t="shared" si="50"/>
        <v>0.22540981630830595</v>
      </c>
      <c r="K119" s="38">
        <f t="shared" si="50"/>
        <v>0.25355923533542413</v>
      </c>
      <c r="L119" s="38">
        <f t="shared" si="50"/>
        <v>0.28761110524238448</v>
      </c>
      <c r="M119" s="38">
        <f t="shared" si="50"/>
        <v>0.32814691222423137</v>
      </c>
      <c r="N119" s="38">
        <f t="shared" si="50"/>
        <v>0.37532595678117125</v>
      </c>
      <c r="O119" s="38">
        <f t="shared" si="50"/>
        <v>0.42863130623729112</v>
      </c>
      <c r="P119" s="38">
        <f t="shared" si="50"/>
        <v>0.48668531730624381</v>
      </c>
      <c r="Q119" s="38">
        <f t="shared" si="50"/>
        <v>0.54726511637658215</v>
      </c>
      <c r="R119" s="38">
        <f t="shared" si="50"/>
        <v>0.60760171103085692</v>
      </c>
      <c r="S119" s="38">
        <f t="shared" si="50"/>
        <v>0.6649063674150183</v>
      </c>
      <c r="T119" s="38">
        <f t="shared" si="50"/>
        <v>0.71692169809224282</v>
      </c>
      <c r="U119" s="38">
        <f t="shared" si="50"/>
        <v>0.76227141619101446</v>
      </c>
      <c r="V119" s="38">
        <f t="shared" si="50"/>
        <v>0.8005084440353577</v>
      </c>
      <c r="W119" s="38">
        <f t="shared" si="50"/>
        <v>0.83192419145757157</v>
      </c>
      <c r="X119" s="43">
        <f t="shared" si="50"/>
        <v>0.85726150591378925</v>
      </c>
    </row>
    <row r="120" spans="2:24" x14ac:dyDescent="0.35">
      <c r="B120" s="55"/>
      <c r="C120" s="24">
        <v>0.45</v>
      </c>
      <c r="D120" s="42">
        <f t="shared" ref="D120:X120" si="51">1/(1+EXP(-D146))</f>
        <v>0.14655597380182317</v>
      </c>
      <c r="E120" s="38">
        <f t="shared" si="51"/>
        <v>0.1565422182177871</v>
      </c>
      <c r="F120" s="38">
        <f t="shared" si="51"/>
        <v>0.16887760339391852</v>
      </c>
      <c r="G120" s="38">
        <f t="shared" si="51"/>
        <v>0.18412069707058876</v>
      </c>
      <c r="H120" s="38">
        <f t="shared" si="51"/>
        <v>0.20293648387362645</v>
      </c>
      <c r="I120" s="38">
        <f t="shared" si="51"/>
        <v>0.22608552743582863</v>
      </c>
      <c r="J120" s="38">
        <f t="shared" si="51"/>
        <v>0.25438167879004403</v>
      </c>
      <c r="K120" s="38">
        <f t="shared" si="51"/>
        <v>0.28859906347177622</v>
      </c>
      <c r="L120" s="38">
        <f t="shared" si="51"/>
        <v>0.32931116607383026</v>
      </c>
      <c r="M120" s="38">
        <f t="shared" si="51"/>
        <v>0.37666260933982593</v>
      </c>
      <c r="N120" s="38">
        <f t="shared" si="51"/>
        <v>0.43011545290736719</v>
      </c>
      <c r="O120" s="38">
        <f t="shared" si="51"/>
        <v>0.48826831471372345</v>
      </c>
      <c r="P120" s="38">
        <f t="shared" si="51"/>
        <v>0.54887872738000987</v>
      </c>
      <c r="Q120" s="38">
        <f t="shared" si="51"/>
        <v>0.60916974663991197</v>
      </c>
      <c r="R120" s="38">
        <f t="shared" si="51"/>
        <v>0.66636005830578438</v>
      </c>
      <c r="S120" s="38">
        <f t="shared" si="51"/>
        <v>0.71821236707213398</v>
      </c>
      <c r="T120" s="38">
        <f t="shared" si="51"/>
        <v>0.76337568268964506</v>
      </c>
      <c r="U120" s="38">
        <f t="shared" si="51"/>
        <v>0.80142569318704804</v>
      </c>
      <c r="V120" s="38">
        <f t="shared" si="51"/>
        <v>0.83266956550343008</v>
      </c>
      <c r="W120" s="38">
        <f t="shared" si="51"/>
        <v>0.85785823983611653</v>
      </c>
      <c r="X120" s="43">
        <f t="shared" si="51"/>
        <v>0.87792540362024818</v>
      </c>
    </row>
    <row r="121" spans="2:24" x14ac:dyDescent="0.35">
      <c r="B121" s="55"/>
      <c r="C121" s="24">
        <v>0.4</v>
      </c>
      <c r="D121" s="42">
        <f t="shared" ref="D121:X121" si="52">1/(1+EXP(-D147))</f>
        <v>0.15683634242946332</v>
      </c>
      <c r="E121" s="38">
        <f t="shared" si="52"/>
        <v>0.16924105708371309</v>
      </c>
      <c r="F121" s="38">
        <f t="shared" si="52"/>
        <v>0.18456971829606889</v>
      </c>
      <c r="G121" s="38">
        <f t="shared" si="52"/>
        <v>0.20349008268658111</v>
      </c>
      <c r="H121" s="38">
        <f t="shared" si="52"/>
        <v>0.22676484936619012</v>
      </c>
      <c r="I121" s="38">
        <f t="shared" si="52"/>
        <v>0.25520828521421568</v>
      </c>
      <c r="J121" s="38">
        <f t="shared" si="52"/>
        <v>0.28959160040895615</v>
      </c>
      <c r="K121" s="38">
        <f t="shared" si="52"/>
        <v>0.3304801156398785</v>
      </c>
      <c r="L121" s="38">
        <f t="shared" si="52"/>
        <v>0.37800359211215856</v>
      </c>
      <c r="M121" s="38">
        <f t="shared" si="52"/>
        <v>0.43160294664432736</v>
      </c>
      <c r="N121" s="38">
        <f t="shared" si="52"/>
        <v>0.48985306846417331</v>
      </c>
      <c r="O121" s="38">
        <f t="shared" si="52"/>
        <v>0.55049211486070571</v>
      </c>
      <c r="P121" s="38">
        <f t="shared" si="52"/>
        <v>0.6107355745412385</v>
      </c>
      <c r="Q121" s="38">
        <f t="shared" si="52"/>
        <v>0.66780995197678161</v>
      </c>
      <c r="R121" s="38">
        <f t="shared" si="52"/>
        <v>0.71949828984674469</v>
      </c>
      <c r="S121" s="38">
        <f t="shared" si="52"/>
        <v>0.76447491812101442</v>
      </c>
      <c r="T121" s="38">
        <f t="shared" si="52"/>
        <v>0.80233814442388873</v>
      </c>
      <c r="U121" s="38">
        <f t="shared" si="52"/>
        <v>0.83341068381200667</v>
      </c>
      <c r="V121" s="38">
        <f t="shared" si="52"/>
        <v>0.85845138319901215</v>
      </c>
      <c r="W121" s="38">
        <f t="shared" si="52"/>
        <v>0.87839592612052242</v>
      </c>
      <c r="X121" s="43">
        <f t="shared" si="52"/>
        <v>0.89417887032074472</v>
      </c>
    </row>
    <row r="122" spans="2:24" x14ac:dyDescent="0.35">
      <c r="B122" s="55"/>
      <c r="C122" s="24">
        <v>0.35</v>
      </c>
      <c r="D122" s="42">
        <f t="shared" ref="D122:X122" si="53">1/(1+EXP(-D148))</f>
        <v>0.1696065546395164</v>
      </c>
      <c r="E122" s="38">
        <f t="shared" si="53"/>
        <v>0.18502125215425377</v>
      </c>
      <c r="F122" s="38">
        <f t="shared" si="53"/>
        <v>0.20404673129391904</v>
      </c>
      <c r="G122" s="38">
        <f t="shared" si="53"/>
        <v>0.22744779740913521</v>
      </c>
      <c r="H122" s="38">
        <f t="shared" si="53"/>
        <v>0.25603906799126597</v>
      </c>
      <c r="I122" s="38">
        <f t="shared" si="53"/>
        <v>0.29058872380906442</v>
      </c>
      <c r="J122" s="38">
        <f t="shared" si="53"/>
        <v>0.33165375824570587</v>
      </c>
      <c r="K122" s="38">
        <f t="shared" si="53"/>
        <v>0.37934888738276379</v>
      </c>
      <c r="L122" s="38">
        <f t="shared" si="53"/>
        <v>0.43309375266723282</v>
      </c>
      <c r="M122" s="38">
        <f t="shared" si="53"/>
        <v>0.49143952971627547</v>
      </c>
      <c r="N122" s="38">
        <f t="shared" si="53"/>
        <v>0.55210522443851684</v>
      </c>
      <c r="O122" s="38">
        <f t="shared" si="53"/>
        <v>0.6122991460206979</v>
      </c>
      <c r="P122" s="38">
        <f t="shared" si="53"/>
        <v>0.66925601445574778</v>
      </c>
      <c r="Q122" s="38">
        <f t="shared" si="53"/>
        <v>0.72077945067581861</v>
      </c>
      <c r="R122" s="38">
        <f t="shared" si="53"/>
        <v>0.76556912286232026</v>
      </c>
      <c r="S122" s="38">
        <f t="shared" si="53"/>
        <v>0.8032458090440161</v>
      </c>
      <c r="T122" s="38">
        <f t="shared" si="53"/>
        <v>0.83414756311000904</v>
      </c>
      <c r="U122" s="38">
        <f t="shared" si="53"/>
        <v>0.85904095398545366</v>
      </c>
      <c r="V122" s="38">
        <f t="shared" si="53"/>
        <v>0.87886353674227369</v>
      </c>
      <c r="W122" s="38">
        <f t="shared" si="53"/>
        <v>0.89454821418055508</v>
      </c>
      <c r="X122" s="43">
        <f t="shared" si="53"/>
        <v>0.90692911078202687</v>
      </c>
    </row>
    <row r="123" spans="2:24" x14ac:dyDescent="0.35">
      <c r="B123" s="55"/>
      <c r="C123" s="24">
        <v>0.3</v>
      </c>
      <c r="D123" s="42">
        <f t="shared" ref="D123:X123" si="54">1/(1+EXP(-D149))</f>
        <v>0.18547531205722151</v>
      </c>
      <c r="E123" s="38">
        <f t="shared" si="54"/>
        <v>0.20460644464791267</v>
      </c>
      <c r="F123" s="38">
        <f t="shared" si="54"/>
        <v>0.22813438685905921</v>
      </c>
      <c r="G123" s="38">
        <f t="shared" si="54"/>
        <v>0.25687404040938033</v>
      </c>
      <c r="H123" s="38">
        <f t="shared" si="54"/>
        <v>0.29159044121595323</v>
      </c>
      <c r="I123" s="38">
        <f t="shared" si="54"/>
        <v>0.33283209087037069</v>
      </c>
      <c r="J123" s="38">
        <f t="shared" si="54"/>
        <v>0.38069847699286946</v>
      </c>
      <c r="K123" s="38">
        <f t="shared" si="54"/>
        <v>0.4345878357581115</v>
      </c>
      <c r="L123" s="38">
        <f t="shared" si="54"/>
        <v>0.49302764935127219</v>
      </c>
      <c r="M123" s="38">
        <f t="shared" si="54"/>
        <v>0.553718001737454</v>
      </c>
      <c r="N123" s="38">
        <f t="shared" si="54"/>
        <v>0.61386041265732272</v>
      </c>
      <c r="O123" s="38">
        <f t="shared" si="54"/>
        <v>0.67069821223604553</v>
      </c>
      <c r="P123" s="38">
        <f t="shared" si="54"/>
        <v>0.72205583429344367</v>
      </c>
      <c r="Q123" s="38">
        <f t="shared" si="54"/>
        <v>0.7666582976535935</v>
      </c>
      <c r="R123" s="38">
        <f t="shared" si="54"/>
        <v>0.8041486985565276</v>
      </c>
      <c r="S123" s="38">
        <f t="shared" si="54"/>
        <v>0.83488022020365604</v>
      </c>
      <c r="T123" s="38">
        <f t="shared" si="54"/>
        <v>0.85962697017086187</v>
      </c>
      <c r="U123" s="38">
        <f t="shared" si="54"/>
        <v>0.87932825218742738</v>
      </c>
      <c r="V123" s="38">
        <f t="shared" si="54"/>
        <v>0.89491524958767277</v>
      </c>
      <c r="W123" s="38">
        <f t="shared" si="54"/>
        <v>0.90721879167788178</v>
      </c>
      <c r="X123" s="43">
        <f t="shared" si="54"/>
        <v>0.91693536443423795</v>
      </c>
    </row>
    <row r="124" spans="2:24" x14ac:dyDescent="0.35">
      <c r="B124" s="55"/>
      <c r="C124" s="24">
        <v>0.25</v>
      </c>
      <c r="D124" s="42">
        <f t="shared" ref="D124:X124" si="55">1/(1+EXP(-D150))</f>
        <v>0.20516923772957549</v>
      </c>
      <c r="E124" s="38">
        <f t="shared" si="55"/>
        <v>0.2288246329933788</v>
      </c>
      <c r="F124" s="38">
        <f t="shared" si="55"/>
        <v>0.25771321565896921</v>
      </c>
      <c r="G124" s="38">
        <f t="shared" si="55"/>
        <v>0.29259675995873058</v>
      </c>
      <c r="H124" s="38">
        <f t="shared" si="55"/>
        <v>0.3340151101453076</v>
      </c>
      <c r="I124" s="38">
        <f t="shared" si="55"/>
        <v>0.38205234233882818</v>
      </c>
      <c r="J124" s="38">
        <f t="shared" si="55"/>
        <v>0.43608516026413702</v>
      </c>
      <c r="K124" s="38">
        <f t="shared" si="55"/>
        <v>0.49461737797920768</v>
      </c>
      <c r="L124" s="38">
        <f t="shared" si="55"/>
        <v>0.55533039239386739</v>
      </c>
      <c r="M124" s="38">
        <f t="shared" si="55"/>
        <v>0.615419326329816</v>
      </c>
      <c r="N124" s="38">
        <f t="shared" si="55"/>
        <v>0.67213651227897586</v>
      </c>
      <c r="O124" s="38">
        <f>1/(1+EXP(-O150))</f>
        <v>0.72332742590631915</v>
      </c>
      <c r="P124" s="38">
        <f t="shared" si="55"/>
        <v>0.76774244359385224</v>
      </c>
      <c r="Q124" s="38">
        <f t="shared" si="55"/>
        <v>0.80504682467755417</v>
      </c>
      <c r="R124" s="38">
        <f t="shared" si="55"/>
        <v>0.83560867197577005</v>
      </c>
      <c r="S124" s="38">
        <f t="shared" si="55"/>
        <v>0.86020944972141156</v>
      </c>
      <c r="T124" s="38">
        <f t="shared" si="55"/>
        <v>0.87979008910452705</v>
      </c>
      <c r="U124" s="38">
        <f t="shared" si="55"/>
        <v>0.89527999081075271</v>
      </c>
      <c r="V124" s="38">
        <f t="shared" si="55"/>
        <v>0.90750666661900414</v>
      </c>
      <c r="W124" s="38">
        <f t="shared" si="55"/>
        <v>0.91716294078054794</v>
      </c>
      <c r="X124" s="43">
        <f t="shared" si="55"/>
        <v>0.92480740030397734</v>
      </c>
    </row>
    <row r="125" spans="2:24" x14ac:dyDescent="0.35">
      <c r="B125" s="55"/>
      <c r="C125" s="24">
        <v>0.2</v>
      </c>
      <c r="D125" s="42">
        <f t="shared" ref="D125:X125" si="56">1/(1+EXP(-D151))</f>
        <v>0.2295185510708776</v>
      </c>
      <c r="E125" s="38">
        <f t="shared" si="56"/>
        <v>0.25855660683000581</v>
      </c>
      <c r="F125" s="38">
        <f t="shared" si="56"/>
        <v>0.29360768714829116</v>
      </c>
      <c r="G125" s="38">
        <f t="shared" si="56"/>
        <v>0.33520281235099358</v>
      </c>
      <c r="H125" s="38">
        <f t="shared" si="56"/>
        <v>0.38341046437068782</v>
      </c>
      <c r="I125" s="38">
        <f t="shared" si="56"/>
        <v>0.43758569009991721</v>
      </c>
      <c r="J125" s="38">
        <f t="shared" si="56"/>
        <v>0.49620866594526186</v>
      </c>
      <c r="K125" s="38">
        <f t="shared" si="56"/>
        <v>0.55694234206462356</v>
      </c>
      <c r="L125" s="38">
        <f t="shared" si="56"/>
        <v>0.61697583922296029</v>
      </c>
      <c r="M125" s="38">
        <f t="shared" si="56"/>
        <v>0.67357088201597759</v>
      </c>
      <c r="N125" s="38">
        <f t="shared" si="56"/>
        <v>0.72459421119192868</v>
      </c>
      <c r="O125" s="38">
        <f t="shared" si="56"/>
        <v>0.76882156213723463</v>
      </c>
      <c r="P125" s="38">
        <f t="shared" si="56"/>
        <v>0.80594019932634742</v>
      </c>
      <c r="Q125" s="38">
        <f t="shared" si="56"/>
        <v>0.83633293538290143</v>
      </c>
      <c r="R125" s="38">
        <f t="shared" si="56"/>
        <v>0.86078841059237254</v>
      </c>
      <c r="S125" s="38">
        <f t="shared" si="56"/>
        <v>0.88024906408802039</v>
      </c>
      <c r="T125" s="38">
        <f t="shared" si="56"/>
        <v>0.89564245204974147</v>
      </c>
      <c r="U125" s="38">
        <f t="shared" si="56"/>
        <v>0.90779274720349501</v>
      </c>
      <c r="V125" s="38">
        <f t="shared" si="56"/>
        <v>0.9173891134306047</v>
      </c>
      <c r="W125" s="38">
        <f t="shared" si="56"/>
        <v>0.92498676045758921</v>
      </c>
      <c r="X125" s="43">
        <f t="shared" si="56"/>
        <v>0.93102306743238405</v>
      </c>
    </row>
    <row r="126" spans="2:24" x14ac:dyDescent="0.35">
      <c r="B126" s="55"/>
      <c r="C126" s="24">
        <v>0.15</v>
      </c>
      <c r="D126" s="42">
        <f t="shared" ref="D126:X126" si="57">1/(1+EXP(-D152))</f>
        <v>0.2594042269093389</v>
      </c>
      <c r="E126" s="38">
        <f t="shared" si="57"/>
        <v>0.29462322967383447</v>
      </c>
      <c r="F126" s="38">
        <f t="shared" si="57"/>
        <v>0.33639519341364349</v>
      </c>
      <c r="G126" s="38">
        <f t="shared" si="57"/>
        <v>0.38477282359083737</v>
      </c>
      <c r="H126" s="38">
        <f t="shared" si="57"/>
        <v>0.4390893887498995</v>
      </c>
      <c r="I126" s="38">
        <f t="shared" si="57"/>
        <v>0.4978014633361702</v>
      </c>
      <c r="J126" s="38">
        <f t="shared" si="57"/>
        <v>0.55855379643528447</v>
      </c>
      <c r="K126" s="38">
        <f t="shared" si="57"/>
        <v>0.6185299038339358</v>
      </c>
      <c r="L126" s="38">
        <f t="shared" si="57"/>
        <v>0.67500128935070414</v>
      </c>
      <c r="M126" s="38">
        <f t="shared" si="57"/>
        <v>0.72585617629663812</v>
      </c>
      <c r="N126" s="38">
        <f t="shared" si="57"/>
        <v>0.76989565508910252</v>
      </c>
      <c r="O126" s="38">
        <f t="shared" si="57"/>
        <v>0.80682883462138932</v>
      </c>
      <c r="P126" s="38">
        <f t="shared" si="57"/>
        <v>0.83705302745248267</v>
      </c>
      <c r="Q126" s="38">
        <f t="shared" si="57"/>
        <v>0.86136387072648046</v>
      </c>
      <c r="R126" s="38">
        <f t="shared" si="57"/>
        <v>0.88070519367756583</v>
      </c>
      <c r="S126" s="38">
        <f t="shared" si="57"/>
        <v>0.89600264743575453</v>
      </c>
      <c r="T126" s="38">
        <f t="shared" si="57"/>
        <v>0.90807704496230168</v>
      </c>
      <c r="U126" s="38">
        <f t="shared" si="57"/>
        <v>0.91761389153484252</v>
      </c>
      <c r="V126" s="38">
        <f t="shared" si="57"/>
        <v>0.92516503149797924</v>
      </c>
      <c r="W126" s="38">
        <f t="shared" si="57"/>
        <v>0.93116500045498152</v>
      </c>
      <c r="X126" s="43">
        <f t="shared" si="57"/>
        <v>0.93595176473017028</v>
      </c>
    </row>
    <row r="127" spans="2:24" x14ac:dyDescent="0.35">
      <c r="B127" s="55"/>
      <c r="C127" s="24">
        <v>0.1</v>
      </c>
      <c r="D127" s="42">
        <f t="shared" ref="D127:X127" si="58">1/(1+EXP(-D153))</f>
        <v>0.29564339419937125</v>
      </c>
      <c r="E127" s="38">
        <f t="shared" si="58"/>
        <v>0.33759224890192741</v>
      </c>
      <c r="F127" s="38">
        <f t="shared" si="58"/>
        <v>0.38613940005273389</v>
      </c>
      <c r="G127" s="38">
        <f t="shared" si="58"/>
        <v>0.44059621927088544</v>
      </c>
      <c r="H127" s="38">
        <f t="shared" si="58"/>
        <v>0.49939571998673143</v>
      </c>
      <c r="I127" s="38">
        <f t="shared" si="58"/>
        <v>0.56016470122828277</v>
      </c>
      <c r="J127" s="38">
        <f t="shared" si="58"/>
        <v>0.62008147297854455</v>
      </c>
      <c r="K127" s="38">
        <f t="shared" si="58"/>
        <v>0.67642770266097718</v>
      </c>
      <c r="L127" s="38">
        <f t="shared" si="58"/>
        <v>0.72711330783370565</v>
      </c>
      <c r="M127" s="38">
        <f t="shared" si="58"/>
        <v>0.77096472460212573</v>
      </c>
      <c r="N127" s="38">
        <f t="shared" si="58"/>
        <v>0.80771274287651773</v>
      </c>
      <c r="O127" s="38">
        <f t="shared" si="58"/>
        <v>0.83776896528002032</v>
      </c>
      <c r="P127" s="38">
        <f t="shared" si="58"/>
        <v>0.86193584805233403</v>
      </c>
      <c r="Q127" s="38">
        <f t="shared" si="58"/>
        <v>0.88115849435735705</v>
      </c>
      <c r="R127" s="38">
        <f t="shared" si="58"/>
        <v>0.8963605910309671</v>
      </c>
      <c r="S127" s="38">
        <f t="shared" si="58"/>
        <v>0.90835957135938661</v>
      </c>
      <c r="T127" s="38">
        <f t="shared" si="58"/>
        <v>0.91783728418546306</v>
      </c>
      <c r="U127" s="38">
        <f t="shared" si="58"/>
        <v>0.9253422205224886</v>
      </c>
      <c r="V127" s="38">
        <f t="shared" si="58"/>
        <v>0.93130608725578856</v>
      </c>
      <c r="W127" s="38">
        <f t="shared" si="58"/>
        <v>0.93606457488894057</v>
      </c>
      <c r="X127" s="43">
        <f t="shared" si="58"/>
        <v>0.93987726384771675</v>
      </c>
    </row>
    <row r="128" spans="2:24" x14ac:dyDescent="0.35">
      <c r="B128" s="55"/>
      <c r="C128" s="24">
        <v>0.05</v>
      </c>
      <c r="D128" s="42">
        <f t="shared" ref="D128:X128" si="59">1/(1+EXP(-D154))</f>
        <v>0.33879397402371964</v>
      </c>
      <c r="E128" s="38">
        <f t="shared" si="59"/>
        <v>0.3875101733597095</v>
      </c>
      <c r="F128" s="38">
        <f t="shared" si="59"/>
        <v>0.44210614429466338</v>
      </c>
      <c r="G128" s="38">
        <f t="shared" si="59"/>
        <v>0.50099138548639799</v>
      </c>
      <c r="H128" s="38">
        <f t="shared" si="59"/>
        <v>0.56177500221109411</v>
      </c>
      <c r="I128" s="38">
        <f t="shared" si="59"/>
        <v>0.62163049979734464</v>
      </c>
      <c r="J128" s="38">
        <f t="shared" si="59"/>
        <v>0.67785009080062786</v>
      </c>
      <c r="K128" s="38">
        <f t="shared" si="59"/>
        <v>0.72836559288121394</v>
      </c>
      <c r="L128" s="38">
        <f t="shared" si="59"/>
        <v>0.77202877317234575</v>
      </c>
      <c r="M128" s="38">
        <f t="shared" si="59"/>
        <v>0.80859193659707207</v>
      </c>
      <c r="N128" s="38">
        <f t="shared" si="59"/>
        <v>0.8384807660263166</v>
      </c>
      <c r="O128" s="38">
        <f t="shared" si="59"/>
        <v>0.8625043604828263</v>
      </c>
      <c r="P128" s="38">
        <f t="shared" si="59"/>
        <v>0.88160898255546938</v>
      </c>
      <c r="Q128" s="38">
        <f t="shared" si="59"/>
        <v>0.89671629682851284</v>
      </c>
      <c r="R128" s="38">
        <f t="shared" si="59"/>
        <v>0.90864033779190034</v>
      </c>
      <c r="S128" s="38">
        <f t="shared" si="59"/>
        <v>0.91805930041670769</v>
      </c>
      <c r="T128" s="38">
        <f t="shared" si="59"/>
        <v>0.92551833458108645</v>
      </c>
      <c r="U128" s="38">
        <f t="shared" si="59"/>
        <v>0.93144633329286508</v>
      </c>
      <c r="V128" s="38">
        <f t="shared" si="59"/>
        <v>0.9361767252986618</v>
      </c>
      <c r="W128" s="38">
        <f t="shared" si="59"/>
        <v>0.93996732170253439</v>
      </c>
      <c r="X128" s="43">
        <f t="shared" si="59"/>
        <v>0.94301726587553236</v>
      </c>
    </row>
    <row r="129" spans="2:24" ht="15" thickBot="1" x14ac:dyDescent="0.4">
      <c r="B129" s="56"/>
      <c r="C129" s="25">
        <v>0</v>
      </c>
      <c r="D129" s="44">
        <f t="shared" ref="D129:X129" si="60">1/(1+EXP(-D155))</f>
        <v>0.38888512266386005</v>
      </c>
      <c r="E129" s="45">
        <f t="shared" si="60"/>
        <v>0.44361912603075115</v>
      </c>
      <c r="F129" s="45">
        <f t="shared" si="60"/>
        <v>0.50258840918595182</v>
      </c>
      <c r="G129" s="45">
        <f t="shared" si="60"/>
        <v>0.56338464520439946</v>
      </c>
      <c r="H129" s="45">
        <f t="shared" si="60"/>
        <v>0.62317693776168492</v>
      </c>
      <c r="I129" s="45">
        <f t="shared" si="60"/>
        <v>0.67926842310121072</v>
      </c>
      <c r="J129" s="45">
        <f t="shared" si="60"/>
        <v>0.72961301897992481</v>
      </c>
      <c r="K129" s="45">
        <f t="shared" si="60"/>
        <v>0.7730878036352169</v>
      </c>
      <c r="L129" s="45">
        <f t="shared" si="60"/>
        <v>0.80946642847606121</v>
      </c>
      <c r="M129" s="45">
        <f t="shared" si="60"/>
        <v>0.83918844691472561</v>
      </c>
      <c r="N129" s="45">
        <f t="shared" si="60"/>
        <v>0.8630694259136007</v>
      </c>
      <c r="O129" s="45">
        <f t="shared" si="60"/>
        <v>0.88205667464322413</v>
      </c>
      <c r="P129" s="45">
        <f t="shared" si="60"/>
        <v>0.89706977875239524</v>
      </c>
      <c r="Q129" s="45">
        <f t="shared" si="60"/>
        <v>0.90891935559035997</v>
      </c>
      <c r="R129" s="45">
        <f t="shared" si="60"/>
        <v>0.91827994920513012</v>
      </c>
      <c r="S129" s="45">
        <f t="shared" si="60"/>
        <v>0.92569338067664819</v>
      </c>
      <c r="T129" s="45">
        <f t="shared" si="60"/>
        <v>0.9315857439871077</v>
      </c>
      <c r="U129" s="45">
        <f t="shared" si="60"/>
        <v>0.93628822014486579</v>
      </c>
      <c r="V129" s="45">
        <f t="shared" si="60"/>
        <v>0.94005686283412626</v>
      </c>
      <c r="W129" s="45">
        <f t="shared" si="60"/>
        <v>0.94308946170650843</v>
      </c>
      <c r="X129" s="46">
        <f t="shared" si="60"/>
        <v>0.94553910870449531</v>
      </c>
    </row>
    <row r="130" spans="2:24" x14ac:dyDescent="0.35">
      <c r="C130" s="9"/>
      <c r="D130" s="28">
        <v>0</v>
      </c>
      <c r="E130" s="26">
        <v>0.05</v>
      </c>
      <c r="F130" s="26">
        <v>0.1</v>
      </c>
      <c r="G130" s="26">
        <v>0.15</v>
      </c>
      <c r="H130" s="26">
        <v>0.2</v>
      </c>
      <c r="I130" s="26">
        <v>0.25</v>
      </c>
      <c r="J130" s="26">
        <v>0.3</v>
      </c>
      <c r="K130" s="26">
        <v>0.35</v>
      </c>
      <c r="L130" s="26">
        <v>0.4</v>
      </c>
      <c r="M130" s="26">
        <v>0.45</v>
      </c>
      <c r="N130" s="26">
        <v>0.5</v>
      </c>
      <c r="O130" s="26">
        <v>0.55000000000000004</v>
      </c>
      <c r="P130" s="26">
        <v>0.6</v>
      </c>
      <c r="Q130" s="26">
        <v>0.65</v>
      </c>
      <c r="R130" s="26">
        <v>0.7</v>
      </c>
      <c r="S130" s="26">
        <v>0.75</v>
      </c>
      <c r="T130" s="26">
        <v>0.8</v>
      </c>
      <c r="U130" s="26">
        <v>0.85</v>
      </c>
      <c r="V130" s="26">
        <v>0.9</v>
      </c>
      <c r="W130" s="26">
        <v>0.95</v>
      </c>
      <c r="X130" s="27">
        <v>1</v>
      </c>
    </row>
    <row r="131" spans="2:24" ht="21.5" thickBot="1" x14ac:dyDescent="0.55000000000000004">
      <c r="C131" s="9"/>
      <c r="D131" s="57" t="s">
        <v>64</v>
      </c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9"/>
    </row>
    <row r="133" spans="2:24" ht="15" thickBot="1" x14ac:dyDescent="0.4"/>
    <row r="134" spans="2:24" ht="21.5" thickBot="1" x14ac:dyDescent="0.55000000000000004">
      <c r="B134" s="60" t="s">
        <v>15</v>
      </c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2"/>
    </row>
    <row r="135" spans="2:24" x14ac:dyDescent="0.35">
      <c r="B135" s="54" t="s">
        <v>6</v>
      </c>
      <c r="C135" s="27">
        <v>1</v>
      </c>
      <c r="D135" s="40">
        <f>(D161*$P$7) + $P$10</f>
        <v>-2.1215179636796009</v>
      </c>
      <c r="E135" s="39">
        <f t="shared" ref="E135:X135" si="61">(E161*$P$7) + $P$10</f>
        <v>-2.1107386408576514</v>
      </c>
      <c r="F135" s="39">
        <f t="shared" si="61"/>
        <v>-2.0977782954563566</v>
      </c>
      <c r="G135" s="39">
        <f t="shared" si="61"/>
        <v>-2.082210191003079</v>
      </c>
      <c r="H135" s="39">
        <f t="shared" si="61"/>
        <v>-2.0635306014913981</v>
      </c>
      <c r="I135" s="39">
        <f t="shared" si="61"/>
        <v>-2.0411478244361034</v>
      </c>
      <c r="J135" s="39">
        <f t="shared" si="61"/>
        <v>-2.0143709558591176</v>
      </c>
      <c r="K135" s="39">
        <f t="shared" si="61"/>
        <v>-1.9823991378020496</v>
      </c>
      <c r="L135" s="39">
        <f t="shared" si="61"/>
        <v>-1.9443123662191033</v>
      </c>
      <c r="M135" s="39">
        <f t="shared" si="61"/>
        <v>-1.8990654342097646</v>
      </c>
      <c r="N135" s="39">
        <f t="shared" si="61"/>
        <v>-1.8454871796863375</v>
      </c>
      <c r="O135" s="39">
        <f t="shared" si="61"/>
        <v>-1.782287876485956</v>
      </c>
      <c r="P135" s="39">
        <f t="shared" si="61"/>
        <v>-1.7080782743917944</v>
      </c>
      <c r="Q135" s="39">
        <f t="shared" si="61"/>
        <v>-1.6214043058259002</v>
      </c>
      <c r="R135" s="39">
        <f t="shared" si="61"/>
        <v>-1.520801591736981</v>
      </c>
      <c r="S135" s="39">
        <f t="shared" si="61"/>
        <v>-1.4048732548304481</v>
      </c>
      <c r="T135" s="39">
        <f t="shared" si="61"/>
        <v>-1.2723927774580894</v>
      </c>
      <c r="U135" s="39">
        <f t="shared" si="61"/>
        <v>-1.1224303500385979</v>
      </c>
      <c r="V135" s="39">
        <f t="shared" si="61"/>
        <v>-0.95449618953934356</v>
      </c>
      <c r="W135" s="39">
        <f t="shared" si="61"/>
        <v>-0.76868799471148019</v>
      </c>
      <c r="X135" s="41">
        <f t="shared" si="61"/>
        <v>-0.56582311537878383</v>
      </c>
    </row>
    <row r="136" spans="2:24" x14ac:dyDescent="0.35">
      <c r="B136" s="55"/>
      <c r="C136" s="24">
        <v>0.95</v>
      </c>
      <c r="D136" s="42">
        <f>(D162*$P$7) + $P$10</f>
        <v>-2.1104252942824608</v>
      </c>
      <c r="E136" s="38">
        <f t="shared" ref="E136:X136" si="62">(E162*$P$7) + $P$10</f>
        <v>-2.0974017127923483</v>
      </c>
      <c r="F136" s="38">
        <f t="shared" si="62"/>
        <v>-2.0817580733343872</v>
      </c>
      <c r="G136" s="38">
        <f t="shared" si="62"/>
        <v>-2.0629884641178782</v>
      </c>
      <c r="H136" s="38">
        <f t="shared" si="62"/>
        <v>-2.0404987002592749</v>
      </c>
      <c r="I136" s="38">
        <f t="shared" si="62"/>
        <v>-2.0135951006852864</v>
      </c>
      <c r="J136" s="38">
        <f t="shared" si="62"/>
        <v>-1.9814737610389832</v>
      </c>
      <c r="K136" s="38">
        <f t="shared" si="62"/>
        <v>-1.9432114218962657</v>
      </c>
      <c r="L136" s="38">
        <f t="shared" si="62"/>
        <v>-1.8977595216662662</v>
      </c>
      <c r="M136" s="38">
        <f t="shared" si="62"/>
        <v>-1.8439436202585961</v>
      </c>
      <c r="N136" s="38">
        <f t="shared" si="62"/>
        <v>-1.7804710507068984</v>
      </c>
      <c r="O136" s="38">
        <f t="shared" si="62"/>
        <v>-1.7059503206224893</v>
      </c>
      <c r="P136" s="38">
        <f t="shared" si="62"/>
        <v>-1.618926290703087</v>
      </c>
      <c r="Q136" s="38">
        <f t="shared" si="62"/>
        <v>-1.5179352575196163</v>
      </c>
      <c r="R136" s="38">
        <f t="shared" si="62"/>
        <v>-1.4015834184604972</v>
      </c>
      <c r="S136" s="38">
        <f t="shared" si="62"/>
        <v>-1.2686503899583594</v>
      </c>
      <c r="T136" s="38">
        <f t="shared" si="62"/>
        <v>-1.1182161148065881</v>
      </c>
      <c r="U136" s="38">
        <f t="shared" si="62"/>
        <v>-0.9498044853757277</v>
      </c>
      <c r="V136" s="38">
        <f t="shared" si="62"/>
        <v>-0.76353067187546375</v>
      </c>
      <c r="W136" s="38">
        <f t="shared" si="62"/>
        <v>-0.56023257048052377</v>
      </c>
      <c r="X136" s="43">
        <f t="shared" si="62"/>
        <v>-0.34156189410136317</v>
      </c>
    </row>
    <row r="137" spans="2:24" x14ac:dyDescent="0.35">
      <c r="B137" s="55"/>
      <c r="C137" s="24">
        <v>0.9</v>
      </c>
      <c r="D137" s="42">
        <f t="shared" ref="D137:X137" si="63">(D163*$P$7) + $P$10</f>
        <v>-2.0970232975115595</v>
      </c>
      <c r="E137" s="38">
        <f t="shared" si="63"/>
        <v>-2.0813037689609852</v>
      </c>
      <c r="F137" s="38">
        <f t="shared" si="63"/>
        <v>-2.0624437240718909</v>
      </c>
      <c r="G137" s="38">
        <f t="shared" si="63"/>
        <v>-2.0398464876518005</v>
      </c>
      <c r="H137" s="38">
        <f t="shared" si="63"/>
        <v>-2.0128155939473062</v>
      </c>
      <c r="I137" s="38">
        <f t="shared" si="63"/>
        <v>-1.9805440857080066</v>
      </c>
      <c r="J137" s="38">
        <f t="shared" si="63"/>
        <v>-1.9421054438345244</v>
      </c>
      <c r="K137" s="38">
        <f t="shared" si="63"/>
        <v>-1.8964477514747353</v>
      </c>
      <c r="L137" s="38">
        <f t="shared" si="63"/>
        <v>-1.8423932956939333</v>
      </c>
      <c r="M137" s="38">
        <f t="shared" si="63"/>
        <v>-1.7786464820879408</v>
      </c>
      <c r="N137" s="38">
        <f t="shared" si="63"/>
        <v>-1.7038136005158353</v>
      </c>
      <c r="O137" s="38">
        <f t="shared" si="63"/>
        <v>-1.616438478361659</v>
      </c>
      <c r="P137" s="38">
        <f t="shared" si="63"/>
        <v>-1.5150581427266019</v>
      </c>
      <c r="Q137" s="38">
        <f t="shared" si="63"/>
        <v>-1.3982819383501823</v>
      </c>
      <c r="R137" s="38">
        <f t="shared" si="63"/>
        <v>-1.26489570510866</v>
      </c>
      <c r="S137" s="38">
        <f t="shared" si="63"/>
        <v>-1.1139892396320943</v>
      </c>
      <c r="T137" s="38">
        <f t="shared" si="63"/>
        <v>-0.94510021415324164</v>
      </c>
      <c r="U137" s="38">
        <f t="shared" si="63"/>
        <v>-0.75836136397025422</v>
      </c>
      <c r="V137" s="38">
        <f t="shared" si="63"/>
        <v>-0.55463119700450791</v>
      </c>
      <c r="W137" s="38">
        <f t="shared" si="63"/>
        <v>-0.33558366364493386</v>
      </c>
      <c r="X137" s="43">
        <f t="shared" si="63"/>
        <v>-0.10373159073911919</v>
      </c>
    </row>
    <row r="138" spans="2:24" x14ac:dyDescent="0.35">
      <c r="B138" s="55"/>
      <c r="C138" s="24">
        <v>0.85</v>
      </c>
      <c r="D138" s="42">
        <f t="shared" ref="D138:X138" si="64">(D164*$P$7) + $P$10</f>
        <v>-2.080847267700594</v>
      </c>
      <c r="E138" s="38">
        <f t="shared" si="64"/>
        <v>-2.0618963694249381</v>
      </c>
      <c r="F138" s="38">
        <f t="shared" si="64"/>
        <v>-2.0391911727311918</v>
      </c>
      <c r="G138" s="38">
        <f t="shared" si="64"/>
        <v>-2.0120324196185968</v>
      </c>
      <c r="H138" s="38">
        <f t="shared" si="64"/>
        <v>-1.9796100934905725</v>
      </c>
      <c r="I138" s="38">
        <f t="shared" si="64"/>
        <v>-1.9409944113524531</v>
      </c>
      <c r="J138" s="38">
        <f t="shared" si="64"/>
        <v>-1.8951301006436809</v>
      </c>
      <c r="K138" s="38">
        <f t="shared" si="64"/>
        <v>-1.8408361809270182</v>
      </c>
      <c r="L138" s="38">
        <f t="shared" si="64"/>
        <v>-1.7768141439809624</v>
      </c>
      <c r="M138" s="38">
        <f t="shared" si="64"/>
        <v>-1.7016680866651175</v>
      </c>
      <c r="N138" s="38">
        <f t="shared" si="64"/>
        <v>-1.613940841868492</v>
      </c>
      <c r="O138" s="38">
        <f t="shared" si="64"/>
        <v>-1.5121702225922991</v>
      </c>
      <c r="P138" s="38">
        <f t="shared" si="64"/>
        <v>-1.3949687940640185</v>
      </c>
      <c r="Q138" s="38">
        <f t="shared" si="64"/>
        <v>-1.2611287093640855</v>
      </c>
      <c r="R138" s="38">
        <f t="shared" si="64"/>
        <v>-1.1097497206392142</v>
      </c>
      <c r="S138" s="38">
        <f t="shared" si="64"/>
        <v>-0.94038338435459679</v>
      </c>
      <c r="T138" s="38">
        <f t="shared" si="64"/>
        <v>-0.75318009401438402</v>
      </c>
      <c r="U138" s="38">
        <f t="shared" si="64"/>
        <v>-0.5490190336830354</v>
      </c>
      <c r="V138" s="38">
        <f t="shared" si="64"/>
        <v>-0.32959640885766817</v>
      </c>
      <c r="W138" s="38">
        <f t="shared" si="64"/>
        <v>-9.7446820144657664E-2</v>
      </c>
      <c r="X138" s="43">
        <f t="shared" si="64"/>
        <v>0.14412152847988535</v>
      </c>
    </row>
    <row r="139" spans="2:24" x14ac:dyDescent="0.35">
      <c r="B139" s="55"/>
      <c r="C139" s="24">
        <v>0.8</v>
      </c>
      <c r="D139" s="42">
        <f t="shared" ref="D139:X139" si="65">(D165*$P$7) + $P$10</f>
        <v>-2.0613463881994227</v>
      </c>
      <c r="E139" s="38">
        <f t="shared" si="65"/>
        <v>-2.0385327415605103</v>
      </c>
      <c r="F139" s="38">
        <f t="shared" si="65"/>
        <v>-2.0112455616135385</v>
      </c>
      <c r="G139" s="38">
        <f t="shared" si="65"/>
        <v>-1.9786717660060471</v>
      </c>
      <c r="H139" s="38">
        <f t="shared" si="65"/>
        <v>-1.9398783037061071</v>
      </c>
      <c r="I139" s="38">
        <f t="shared" si="65"/>
        <v>-1.8938065461226932</v>
      </c>
      <c r="J139" s="38">
        <f t="shared" si="65"/>
        <v>-1.8392722508429826</v>
      </c>
      <c r="K139" s="38">
        <f t="shared" si="65"/>
        <v>-1.7749740097054871</v>
      </c>
      <c r="L139" s="38">
        <f t="shared" si="65"/>
        <v>-1.6995137516583319</v>
      </c>
      <c r="M139" s="38">
        <f t="shared" si="65"/>
        <v>-1.6114333543239181</v>
      </c>
      <c r="N139" s="38">
        <f t="shared" si="65"/>
        <v>-1.5092714724358671</v>
      </c>
      <c r="O139" s="38">
        <f t="shared" si="65"/>
        <v>-1.3916439653145161</v>
      </c>
      <c r="P139" s="38">
        <f t="shared" si="65"/>
        <v>-1.2573493893995669</v>
      </c>
      <c r="Q139" s="38">
        <f t="shared" si="65"/>
        <v>-1.1054975542458829</v>
      </c>
      <c r="R139" s="38">
        <f t="shared" si="65"/>
        <v>-0.9356540048226718</v>
      </c>
      <c r="S139" s="38">
        <f t="shared" si="65"/>
        <v>-0.74798688543280867</v>
      </c>
      <c r="T139" s="38">
        <f t="shared" si="65"/>
        <v>-0.54339611966804213</v>
      </c>
      <c r="U139" s="38">
        <f t="shared" si="65"/>
        <v>-0.32360018430436144</v>
      </c>
      <c r="V139" s="38">
        <f t="shared" si="65"/>
        <v>-9.1155408705939855E-2</v>
      </c>
      <c r="W139" s="38">
        <f t="shared" si="65"/>
        <v>0.15061125856873314</v>
      </c>
      <c r="X139" s="43">
        <f t="shared" si="65"/>
        <v>0.39776225280523736</v>
      </c>
    </row>
    <row r="140" spans="2:24" x14ac:dyDescent="0.35">
      <c r="B140" s="55"/>
      <c r="C140" s="24">
        <v>0.75</v>
      </c>
      <c r="D140" s="42">
        <f t="shared" ref="D140:X140" si="66">(D166*$P$7) + $P$10</f>
        <v>-2.0378711801482337</v>
      </c>
      <c r="E140" s="38">
        <f t="shared" si="66"/>
        <v>-2.0104550037873699</v>
      </c>
      <c r="F140" s="38">
        <f t="shared" si="66"/>
        <v>-1.9777290848116587</v>
      </c>
      <c r="G140" s="38">
        <f t="shared" si="66"/>
        <v>-1.93875710008906</v>
      </c>
      <c r="H140" s="38">
        <f t="shared" si="66"/>
        <v>-1.8924770648026086</v>
      </c>
      <c r="I140" s="38">
        <f t="shared" si="66"/>
        <v>-1.8377014802777658</v>
      </c>
      <c r="J140" s="38">
        <f t="shared" si="66"/>
        <v>-1.7731260525492616</v>
      </c>
      <c r="K140" s="38">
        <f t="shared" si="66"/>
        <v>-1.6973505680790537</v>
      </c>
      <c r="L140" s="38">
        <f t="shared" si="66"/>
        <v>-1.6089159888629176</v>
      </c>
      <c r="M140" s="38">
        <f t="shared" si="66"/>
        <v>-1.5063618676627848</v>
      </c>
      <c r="N140" s="38">
        <f t="shared" si="66"/>
        <v>-1.3883074319639961</v>
      </c>
      <c r="O140" s="38">
        <f t="shared" si="66"/>
        <v>-1.2535577321118256</v>
      </c>
      <c r="P140" s="38">
        <f t="shared" si="66"/>
        <v>-1.1012327371657789</v>
      </c>
      <c r="Q140" s="38">
        <f t="shared" si="66"/>
        <v>-0.930912084762054</v>
      </c>
      <c r="R140" s="38">
        <f t="shared" si="66"/>
        <v>-0.74278176205771906</v>
      </c>
      <c r="S140" s="38">
        <f t="shared" si="66"/>
        <v>-0.53776249453090474</v>
      </c>
      <c r="T140" s="38">
        <f t="shared" si="66"/>
        <v>-0.31759504493800206</v>
      </c>
      <c r="U140" s="38">
        <f t="shared" si="66"/>
        <v>-8.4857424662989622E-2</v>
      </c>
      <c r="V140" s="38">
        <f t="shared" si="66"/>
        <v>0.15710478600168454</v>
      </c>
      <c r="W140" s="38">
        <f t="shared" si="66"/>
        <v>0.40434082627955226</v>
      </c>
      <c r="X140" s="43">
        <f t="shared" si="66"/>
        <v>0.65253803963080204</v>
      </c>
    </row>
    <row r="141" spans="2:24" x14ac:dyDescent="0.35">
      <c r="B141" s="55"/>
      <c r="C141" s="24">
        <v>0.7</v>
      </c>
      <c r="D141" s="42">
        <f t="shared" ref="D141:X141" si="67">(D167*$P$7) + $P$10</f>
        <v>-2.0096607299360811</v>
      </c>
      <c r="E141" s="38">
        <f t="shared" si="67"/>
        <v>-1.9767820314024491</v>
      </c>
      <c r="F141" s="38">
        <f t="shared" si="67"/>
        <v>-1.9376307796324426</v>
      </c>
      <c r="G141" s="38">
        <f t="shared" si="67"/>
        <v>-1.8911416335156805</v>
      </c>
      <c r="H141" s="38">
        <f t="shared" si="67"/>
        <v>-1.8361238440184664</v>
      </c>
      <c r="I141" s="38">
        <f t="shared" si="67"/>
        <v>-1.7712702457688443</v>
      </c>
      <c r="J141" s="38">
        <f t="shared" si="67"/>
        <v>-1.6951785085073157</v>
      </c>
      <c r="K141" s="38">
        <f t="shared" si="67"/>
        <v>-1.6063887186563295</v>
      </c>
      <c r="L141" s="38">
        <f t="shared" si="67"/>
        <v>-1.5034413837663922</v>
      </c>
      <c r="M141" s="38">
        <f t="shared" si="67"/>
        <v>-1.3849591740264091</v>
      </c>
      <c r="N141" s="38">
        <f t="shared" si="67"/>
        <v>-1.2497537246213564</v>
      </c>
      <c r="O141" s="38">
        <f t="shared" si="67"/>
        <v>-1.0969552664102189</v>
      </c>
      <c r="P141" s="38">
        <f t="shared" si="67"/>
        <v>-0.92615763374057836</v>
      </c>
      <c r="Q141" s="38">
        <f t="shared" si="67"/>
        <v>-0.73756474812935835</v>
      </c>
      <c r="R141" s="38">
        <f t="shared" si="67"/>
        <v>-0.53211819826220186</v>
      </c>
      <c r="S141" s="38">
        <f t="shared" si="67"/>
        <v>-0.31158104609832549</v>
      </c>
      <c r="T141" s="38">
        <f t="shared" si="67"/>
        <v>-7.8552936562974018E-2</v>
      </c>
      <c r="U141" s="38">
        <f t="shared" si="67"/>
        <v>0.16360203286831387</v>
      </c>
      <c r="V141" s="38">
        <f t="shared" si="67"/>
        <v>0.41092007770927674</v>
      </c>
      <c r="W141" s="38">
        <f t="shared" si="67"/>
        <v>0.65908282291287756</v>
      </c>
      <c r="X141" s="43">
        <f t="shared" si="67"/>
        <v>0.90371282649285378</v>
      </c>
    </row>
    <row r="142" spans="2:24" x14ac:dyDescent="0.35">
      <c r="B142" s="55"/>
      <c r="C142" s="24">
        <v>0.65</v>
      </c>
      <c r="D142" s="42">
        <f t="shared" ref="D142:X142" si="68">(D168*$P$7) + $P$10</f>
        <v>-1.9758305872112267</v>
      </c>
      <c r="E142" s="38">
        <f t="shared" si="68"/>
        <v>-1.9364993214049848</v>
      </c>
      <c r="F142" s="38">
        <f t="shared" si="68"/>
        <v>-1.889800229035751</v>
      </c>
      <c r="G142" s="38">
        <f t="shared" si="68"/>
        <v>-1.8345393168036972</v>
      </c>
      <c r="H142" s="38">
        <f t="shared" si="68"/>
        <v>-1.7694065625901991</v>
      </c>
      <c r="I142" s="38">
        <f t="shared" si="68"/>
        <v>-1.6929975455204922</v>
      </c>
      <c r="J142" s="38">
        <f t="shared" si="68"/>
        <v>-1.6038515169120608</v>
      </c>
      <c r="K142" s="38">
        <f t="shared" si="68"/>
        <v>-1.500509996329435</v>
      </c>
      <c r="L142" s="38">
        <f t="shared" si="68"/>
        <v>-1.3815991716691571</v>
      </c>
      <c r="M142" s="38">
        <f t="shared" si="68"/>
        <v>-1.2459373542743912</v>
      </c>
      <c r="N142" s="38">
        <f t="shared" si="68"/>
        <v>-1.0926651392900582</v>
      </c>
      <c r="O142" s="38">
        <f t="shared" si="68"/>
        <v>-0.92139066169082584</v>
      </c>
      <c r="P142" s="38">
        <f t="shared" si="68"/>
        <v>-0.7323358682968073</v>
      </c>
      <c r="Q142" s="38">
        <f t="shared" si="68"/>
        <v>-0.52646327127145076</v>
      </c>
      <c r="R142" s="38">
        <f t="shared" si="68"/>
        <v>-0.30555824351028971</v>
      </c>
      <c r="S142" s="38">
        <f t="shared" si="68"/>
        <v>-7.2242013257497018E-2</v>
      </c>
      <c r="T142" s="38">
        <f t="shared" si="68"/>
        <v>0.17010292107588443</v>
      </c>
      <c r="U142" s="38">
        <f t="shared" si="68"/>
        <v>0.41749992494186072</v>
      </c>
      <c r="V142" s="38">
        <f t="shared" si="68"/>
        <v>0.6656251145237273</v>
      </c>
      <c r="W142" s="38">
        <f t="shared" si="68"/>
        <v>0.91010368026427635</v>
      </c>
      <c r="X142" s="43">
        <f t="shared" si="68"/>
        <v>1.1468136286280042</v>
      </c>
    </row>
    <row r="143" spans="2:24" x14ac:dyDescent="0.35">
      <c r="B143" s="55"/>
      <c r="C143" s="24">
        <v>0.6</v>
      </c>
      <c r="D143" s="42">
        <f t="shared" ref="D143:X143" si="69">(D169*$P$7) + $P$10</f>
        <v>-1.935362704413061</v>
      </c>
      <c r="E143" s="38">
        <f t="shared" si="69"/>
        <v>-1.888452828078431</v>
      </c>
      <c r="F143" s="38">
        <f t="shared" si="69"/>
        <v>-1.8329478733239473</v>
      </c>
      <c r="G143" s="38">
        <f t="shared" si="69"/>
        <v>-1.7675349762092969</v>
      </c>
      <c r="H143" s="38">
        <f t="shared" si="69"/>
        <v>-1.6908076516941932</v>
      </c>
      <c r="I143" s="38">
        <f t="shared" si="69"/>
        <v>-1.6013043568763119</v>
      </c>
      <c r="J143" s="38">
        <f t="shared" si="69"/>
        <v>-1.4975676810256171</v>
      </c>
      <c r="K143" s="38">
        <f t="shared" si="69"/>
        <v>-1.378227405214925</v>
      </c>
      <c r="L143" s="38">
        <f t="shared" si="69"/>
        <v>-1.2421086086448716</v>
      </c>
      <c r="M143" s="38">
        <f t="shared" si="69"/>
        <v>-1.0883623534175761</v>
      </c>
      <c r="N143" s="38">
        <f t="shared" si="69"/>
        <v>-0.91661117891163024</v>
      </c>
      <c r="O143" s="38">
        <f t="shared" si="69"/>
        <v>-0.72709514761872995</v>
      </c>
      <c r="P143" s="38">
        <f t="shared" si="69"/>
        <v>-0.52079775438681519</v>
      </c>
      <c r="Q143" s="38">
        <f t="shared" si="69"/>
        <v>-0.29952669328254666</v>
      </c>
      <c r="R143" s="38">
        <f t="shared" si="69"/>
        <v>-6.5924723899835946E-2</v>
      </c>
      <c r="S143" s="38">
        <f t="shared" si="69"/>
        <v>0.17660737235300417</v>
      </c>
      <c r="T143" s="38">
        <f t="shared" si="69"/>
        <v>0.42408028579498902</v>
      </c>
      <c r="U143" s="38">
        <f t="shared" si="69"/>
        <v>0.67216483415005923</v>
      </c>
      <c r="V143" s="38">
        <f t="shared" si="69"/>
        <v>0.91648905591288754</v>
      </c>
      <c r="W143" s="38">
        <f t="shared" si="69"/>
        <v>1.1529415361242519</v>
      </c>
      <c r="X143" s="43">
        <f t="shared" si="69"/>
        <v>1.3779372415414461</v>
      </c>
    </row>
    <row r="144" spans="2:24" x14ac:dyDescent="0.35">
      <c r="B144" s="55"/>
      <c r="C144" s="24">
        <v>0.55000000000000004</v>
      </c>
      <c r="D144" s="42">
        <f t="shared" ref="D144:X144" si="70">(D170*$P$7) + $P$10</f>
        <v>-1.8870994073012795</v>
      </c>
      <c r="E144" s="38">
        <f t="shared" si="70"/>
        <v>-1.8313494882219501</v>
      </c>
      <c r="F144" s="38">
        <f t="shared" si="70"/>
        <v>-1.7656554597927236</v>
      </c>
      <c r="G144" s="38">
        <f t="shared" si="70"/>
        <v>-1.6886087996031676</v>
      </c>
      <c r="H144" s="38">
        <f t="shared" si="70"/>
        <v>-1.5987472118348069</v>
      </c>
      <c r="I144" s="38">
        <f t="shared" si="70"/>
        <v>-1.4946144136211652</v>
      </c>
      <c r="J144" s="38">
        <f t="shared" si="70"/>
        <v>-1.3748438551435149</v>
      </c>
      <c r="K144" s="38">
        <f t="shared" si="70"/>
        <v>-1.2382674755364258</v>
      </c>
      <c r="L144" s="38">
        <f t="shared" si="70"/>
        <v>-1.0840469067083598</v>
      </c>
      <c r="M144" s="38">
        <f t="shared" si="70"/>
        <v>-0.91181919606956074</v>
      </c>
      <c r="N144" s="38">
        <f t="shared" si="70"/>
        <v>-0.72184261156412255</v>
      </c>
      <c r="O144" s="38">
        <f t="shared" si="70"/>
        <v>-0.51512168885476961</v>
      </c>
      <c r="P144" s="38">
        <f t="shared" si="70"/>
        <v>-0.29348645190588019</v>
      </c>
      <c r="Q144" s="38">
        <f t="shared" si="70"/>
        <v>-5.9601137942176141E-2</v>
      </c>
      <c r="R144" s="38">
        <f t="shared" si="70"/>
        <v>0.18311530825333477</v>
      </c>
      <c r="S144" s="38">
        <f t="shared" si="70"/>
        <v>0.43066107806066167</v>
      </c>
      <c r="T144" s="38">
        <f t="shared" si="70"/>
        <v>0.67870190160600208</v>
      </c>
      <c r="U144" s="38">
        <f t="shared" si="70"/>
        <v>0.922868880760773</v>
      </c>
      <c r="V144" s="38">
        <f t="shared" si="70"/>
        <v>1.1590613676273964</v>
      </c>
      <c r="W144" s="38">
        <f t="shared" si="70"/>
        <v>1.3837112747192819</v>
      </c>
      <c r="X144" s="43">
        <f t="shared" si="70"/>
        <v>1.5939744445769386</v>
      </c>
    </row>
    <row r="145" spans="2:24" x14ac:dyDescent="0.35">
      <c r="B145" s="55"/>
      <c r="C145" s="24">
        <v>0.5</v>
      </c>
      <c r="D145" s="42">
        <f t="shared" ref="D145:X145" si="71">(D171*$P$7) + $P$10</f>
        <v>-1.8297441360930553</v>
      </c>
      <c r="E145" s="38">
        <f t="shared" si="71"/>
        <v>-1.7637679864782967</v>
      </c>
      <c r="F145" s="38">
        <f t="shared" si="71"/>
        <v>-1.6864009618222113</v>
      </c>
      <c r="G145" s="38">
        <f t="shared" si="71"/>
        <v>-1.5961800551140357</v>
      </c>
      <c r="H145" s="38">
        <f t="shared" si="71"/>
        <v>-1.4916501699763973</v>
      </c>
      <c r="I145" s="38">
        <f t="shared" si="71"/>
        <v>-1.3714485020936911</v>
      </c>
      <c r="J145" s="38">
        <f t="shared" si="71"/>
        <v>-1.2344139429843368</v>
      </c>
      <c r="K145" s="38">
        <f t="shared" si="71"/>
        <v>-1.0797187973831823</v>
      </c>
      <c r="L145" s="38">
        <f t="shared" si="71"/>
        <v>-0.90701472420038476</v>
      </c>
      <c r="M145" s="38">
        <f t="shared" si="71"/>
        <v>-0.71657828601301343</v>
      </c>
      <c r="N145" s="38">
        <f t="shared" si="71"/>
        <v>-0.50943511633974747</v>
      </c>
      <c r="O145" s="38">
        <f t="shared" si="71"/>
        <v>-0.28743757625158395</v>
      </c>
      <c r="P145" s="38">
        <f t="shared" si="71"/>
        <v>-5.3271325132802527E-2</v>
      </c>
      <c r="Q145" s="38">
        <f t="shared" si="71"/>
        <v>0.18962665015929892</v>
      </c>
      <c r="R145" s="38">
        <f t="shared" si="71"/>
        <v>0.4372422195093244</v>
      </c>
      <c r="S145" s="38">
        <f t="shared" si="71"/>
        <v>0.68523623683698398</v>
      </c>
      <c r="T145" s="38">
        <f t="shared" si="71"/>
        <v>0.92924308239498599</v>
      </c>
      <c r="U145" s="38">
        <f t="shared" si="71"/>
        <v>1.1651730627414532</v>
      </c>
      <c r="V145" s="38">
        <f t="shared" si="71"/>
        <v>1.3894751713901692</v>
      </c>
      <c r="W145" s="38">
        <f t="shared" si="71"/>
        <v>1.5993262016848298</v>
      </c>
      <c r="X145" s="43">
        <f t="shared" si="71"/>
        <v>1.7927287697016023</v>
      </c>
    </row>
    <row r="146" spans="2:24" x14ac:dyDescent="0.35">
      <c r="B146" s="55"/>
      <c r="C146" s="24">
        <v>0.45</v>
      </c>
      <c r="D146" s="42">
        <f t="shared" ref="D146:X146" si="72">(D172*$P$7) + $P$10</f>
        <v>-1.7618725293756874</v>
      </c>
      <c r="E146" s="38">
        <f t="shared" si="72"/>
        <v>-1.6841841109270894</v>
      </c>
      <c r="F146" s="38">
        <f t="shared" si="72"/>
        <v>-1.5936028600825014</v>
      </c>
      <c r="G146" s="38">
        <f t="shared" si="72"/>
        <v>-1.4886749260473033</v>
      </c>
      <c r="H146" s="38">
        <f t="shared" si="72"/>
        <v>-1.3680413268650231</v>
      </c>
      <c r="I146" s="38">
        <f t="shared" si="72"/>
        <v>-1.2305479992575243</v>
      </c>
      <c r="J146" s="38">
        <f t="shared" si="72"/>
        <v>-1.075378023969868</v>
      </c>
      <c r="K146" s="38">
        <f t="shared" si="72"/>
        <v>-0.9021977747105272</v>
      </c>
      <c r="L146" s="38">
        <f t="shared" si="72"/>
        <v>-0.71130219725715316</v>
      </c>
      <c r="M146" s="38">
        <f t="shared" si="72"/>
        <v>-0.50373807892374889</v>
      </c>
      <c r="N146" s="38">
        <f t="shared" si="72"/>
        <v>-0.28138012356983877</v>
      </c>
      <c r="O146" s="38">
        <f t="shared" si="72"/>
        <v>-4.693535551325656E-2</v>
      </c>
      <c r="P146" s="38">
        <f t="shared" si="72"/>
        <v>0.19614131928579948</v>
      </c>
      <c r="Q146" s="38">
        <f t="shared" si="72"/>
        <v>0.44382362789395957</v>
      </c>
      <c r="R146" s="38">
        <f t="shared" si="72"/>
        <v>0.69176775992362005</v>
      </c>
      <c r="S146" s="38">
        <f t="shared" si="72"/>
        <v>0.93561158867062577</v>
      </c>
      <c r="T146" s="38">
        <f t="shared" si="72"/>
        <v>1.1712765614340817</v>
      </c>
      <c r="U146" s="38">
        <f t="shared" si="72"/>
        <v>1.3952288863604085</v>
      </c>
      <c r="V146" s="38">
        <f t="shared" si="72"/>
        <v>1.604666376252696</v>
      </c>
      <c r="W146" s="38">
        <f t="shared" si="72"/>
        <v>1.7976139935676514</v>
      </c>
      <c r="X146" s="43">
        <f t="shared" si="72"/>
        <v>1.9729293247053725</v>
      </c>
    </row>
    <row r="147" spans="2:24" x14ac:dyDescent="0.35">
      <c r="B147" s="55"/>
      <c r="C147" s="24">
        <v>0.4</v>
      </c>
      <c r="D147" s="42">
        <f t="shared" ref="D147:X147" si="73">(D173*$P$7) + $P$10</f>
        <v>-1.6819582194954601</v>
      </c>
      <c r="E147" s="38">
        <f t="shared" si="73"/>
        <v>-1.5910156001519811</v>
      </c>
      <c r="F147" s="38">
        <f t="shared" si="73"/>
        <v>-1.4856886578871304</v>
      </c>
      <c r="G147" s="38">
        <f t="shared" si="73"/>
        <v>-1.3646223104197432</v>
      </c>
      <c r="H147" s="38">
        <f t="shared" si="73"/>
        <v>-1.2266696328605144</v>
      </c>
      <c r="I147" s="38">
        <f t="shared" si="73"/>
        <v>-1.0710245853051623</v>
      </c>
      <c r="J147" s="38">
        <f t="shared" si="73"/>
        <v>-0.8973683593785009</v>
      </c>
      <c r="K147" s="38">
        <f t="shared" si="73"/>
        <v>-0.70601437200067507</v>
      </c>
      <c r="L147" s="38">
        <f t="shared" si="73"/>
        <v>-0.49803061910591673</v>
      </c>
      <c r="M147" s="38">
        <f t="shared" si="73"/>
        <v>-0.27531415148803573</v>
      </c>
      <c r="N147" s="38">
        <f t="shared" si="73"/>
        <v>-4.0593299415481177E-2</v>
      </c>
      <c r="O147" s="38">
        <f t="shared" si="73"/>
        <v>0.20265923668398544</v>
      </c>
      <c r="P147" s="38">
        <f t="shared" si="73"/>
        <v>0.45040522095420066</v>
      </c>
      <c r="Q147" s="38">
        <f t="shared" si="73"/>
        <v>0.69829639108557995</v>
      </c>
      <c r="R147" s="38">
        <f t="shared" si="73"/>
        <v>0.94197432771392897</v>
      </c>
      <c r="S147" s="38">
        <f t="shared" si="73"/>
        <v>1.17737180403849</v>
      </c>
      <c r="T147" s="38">
        <f t="shared" si="73"/>
        <v>1.4009723748499376</v>
      </c>
      <c r="U147" s="38">
        <f t="shared" si="73"/>
        <v>1.6099949393020556</v>
      </c>
      <c r="V147" s="38">
        <f t="shared" si="73"/>
        <v>1.8024868090918473</v>
      </c>
      <c r="W147" s="38">
        <f t="shared" si="73"/>
        <v>1.9773269616343647</v>
      </c>
      <c r="X147" s="43">
        <f t="shared" si="73"/>
        <v>2.1341556209203594</v>
      </c>
    </row>
    <row r="148" spans="2:24" x14ac:dyDescent="0.35">
      <c r="B148" s="55"/>
      <c r="C148" s="24">
        <v>0.35</v>
      </c>
      <c r="D148" s="42">
        <f t="shared" ref="D148:X148" si="74">(D174*$P$7) + $P$10</f>
        <v>-1.5884182487787928</v>
      </c>
      <c r="E148" s="38">
        <f t="shared" si="74"/>
        <v>-1.4826913416479792</v>
      </c>
      <c r="F148" s="38">
        <f t="shared" si="74"/>
        <v>-1.361191433884601</v>
      </c>
      <c r="G148" s="38">
        <f t="shared" si="74"/>
        <v>-1.2227788325354187</v>
      </c>
      <c r="H148" s="38">
        <f t="shared" si="74"/>
        <v>-1.0666584805365813</v>
      </c>
      <c r="I148" s="38">
        <f t="shared" si="74"/>
        <v>-0.89252649035633103</v>
      </c>
      <c r="J148" s="38">
        <f t="shared" si="74"/>
        <v>-0.70071483736072548</v>
      </c>
      <c r="K148" s="38">
        <f t="shared" si="74"/>
        <v>-0.49231277980208565</v>
      </c>
      <c r="L148" s="38">
        <f t="shared" si="74"/>
        <v>-0.26923971800907021</v>
      </c>
      <c r="M148" s="38">
        <f t="shared" si="74"/>
        <v>-3.4245227458921335E-2</v>
      </c>
      <c r="N148" s="38">
        <f t="shared" si="74"/>
        <v>0.20918032324500224</v>
      </c>
      <c r="O148" s="38">
        <f t="shared" si="74"/>
        <v>0.45698691642045608</v>
      </c>
      <c r="P148" s="38">
        <f t="shared" si="74"/>
        <v>0.70482205068542614</v>
      </c>
      <c r="Q148" s="38">
        <f t="shared" si="74"/>
        <v>0.94833122792530666</v>
      </c>
      <c r="R148" s="38">
        <f t="shared" si="74"/>
        <v>1.1834587312553362</v>
      </c>
      <c r="S148" s="38">
        <f t="shared" si="74"/>
        <v>1.4067055924929468</v>
      </c>
      <c r="T148" s="38">
        <f t="shared" si="74"/>
        <v>1.6153118622699889</v>
      </c>
      <c r="U148" s="38">
        <f t="shared" si="74"/>
        <v>1.8073472028079589</v>
      </c>
      <c r="V148" s="38">
        <f t="shared" si="74"/>
        <v>1.9817119316990803</v>
      </c>
      <c r="W148" s="38">
        <f t="shared" si="74"/>
        <v>2.1380649601950203</v>
      </c>
      <c r="X148" s="43">
        <f t="shared" si="74"/>
        <v>2.276702836713544</v>
      </c>
    </row>
    <row r="149" spans="2:24" x14ac:dyDescent="0.35">
      <c r="B149" s="55"/>
      <c r="C149" s="24">
        <v>0.3</v>
      </c>
      <c r="D149" s="42">
        <f t="shared" ref="D149:X149" si="75">(D175*$P$7) + $P$10</f>
        <v>-1.4796829535824074</v>
      </c>
      <c r="E149" s="38">
        <f t="shared" si="75"/>
        <v>-1.3577486785527304</v>
      </c>
      <c r="F149" s="38">
        <f t="shared" si="75"/>
        <v>-1.2188755872639105</v>
      </c>
      <c r="G149" s="38">
        <f t="shared" si="75"/>
        <v>-1.0622797091242673</v>
      </c>
      <c r="H149" s="38">
        <f t="shared" si="75"/>
        <v>-0.88767218017095639</v>
      </c>
      <c r="I149" s="38">
        <f t="shared" si="75"/>
        <v>-0.69540362086808294</v>
      </c>
      <c r="J149" s="38">
        <f t="shared" si="75"/>
        <v>-0.48658460434429496</v>
      </c>
      <c r="K149" s="38">
        <f t="shared" si="75"/>
        <v>-0.26315688150960881</v>
      </c>
      <c r="L149" s="38">
        <f t="shared" si="75"/>
        <v>-2.7891210547606349E-2</v>
      </c>
      <c r="M149" s="38">
        <f t="shared" si="75"/>
        <v>0.21570449970377492</v>
      </c>
      <c r="N149" s="38">
        <f t="shared" si="75"/>
        <v>0.46356863201800635</v>
      </c>
      <c r="O149" s="38">
        <f t="shared" si="75"/>
        <v>0.71134465923246637</v>
      </c>
      <c r="P149" s="38">
        <f t="shared" si="75"/>
        <v>0.95468221798234909</v>
      </c>
      <c r="Q149" s="38">
        <f t="shared" si="75"/>
        <v>1.1895372841545746</v>
      </c>
      <c r="R149" s="38">
        <f t="shared" si="75"/>
        <v>1.412428495338486</v>
      </c>
      <c r="S149" s="38">
        <f t="shared" si="75"/>
        <v>1.6206171170086008</v>
      </c>
      <c r="T149" s="38">
        <f t="shared" si="75"/>
        <v>1.8121951616280989</v>
      </c>
      <c r="U149" s="38">
        <f t="shared" si="75"/>
        <v>1.9860842349703587</v>
      </c>
      <c r="V149" s="38">
        <f t="shared" si="75"/>
        <v>2.1419618492192383</v>
      </c>
      <c r="W149" s="38">
        <f t="shared" si="75"/>
        <v>2.2801395239315365</v>
      </c>
      <c r="X149" s="43">
        <f t="shared" si="75"/>
        <v>2.4014179373864328</v>
      </c>
    </row>
    <row r="150" spans="2:24" x14ac:dyDescent="0.35">
      <c r="B150" s="55"/>
      <c r="C150" s="24">
        <v>0.25</v>
      </c>
      <c r="D150" s="42">
        <f t="shared" ref="D150:X150" si="76">(D176*$P$7) + $P$10</f>
        <v>-1.3542940258855167</v>
      </c>
      <c r="E150" s="38">
        <f t="shared" si="76"/>
        <v>-1.2149598862691999</v>
      </c>
      <c r="F150" s="38">
        <f t="shared" si="76"/>
        <v>-1.0578882708428239</v>
      </c>
      <c r="G150" s="38">
        <f t="shared" si="76"/>
        <v>-0.88280544172562059</v>
      </c>
      <c r="H150" s="38">
        <f t="shared" si="76"/>
        <v>-0.69008075046773198</v>
      </c>
      <c r="I150" s="38">
        <f t="shared" si="76"/>
        <v>-0.4808461364802723</v>
      </c>
      <c r="J150" s="38">
        <f t="shared" si="76"/>
        <v>-0.25706570073831259</v>
      </c>
      <c r="K150" s="38">
        <f t="shared" si="76"/>
        <v>-2.1531319867202026E-2</v>
      </c>
      <c r="L150" s="38">
        <f t="shared" si="76"/>
        <v>0.22223168664281001</v>
      </c>
      <c r="M150" s="38">
        <f t="shared" si="76"/>
        <v>0.47015028547112703</v>
      </c>
      <c r="N150" s="38">
        <f t="shared" si="76"/>
        <v>0.71786413738656041</v>
      </c>
      <c r="O150" s="38">
        <f t="shared" si="76"/>
        <v>0.96102722684284192</v>
      </c>
      <c r="P150" s="38">
        <f t="shared" si="76"/>
        <v>1.1956074041772711</v>
      </c>
      <c r="Q150" s="38">
        <f t="shared" si="76"/>
        <v>1.4181410398510303</v>
      </c>
      <c r="R150" s="38">
        <f t="shared" si="76"/>
        <v>1.6259106757844894</v>
      </c>
      <c r="S150" s="38">
        <f t="shared" si="76"/>
        <v>1.8170306728413479</v>
      </c>
      <c r="T150" s="38">
        <f t="shared" si="76"/>
        <v>1.9904438718344029</v>
      </c>
      <c r="U150" s="38">
        <f t="shared" si="76"/>
        <v>2.1458462988933844</v>
      </c>
      <c r="V150" s="38">
        <f t="shared" si="76"/>
        <v>2.283564341884369</v>
      </c>
      <c r="W150" s="38">
        <f t="shared" si="76"/>
        <v>2.404409609062756</v>
      </c>
      <c r="X150" s="43">
        <f t="shared" si="76"/>
        <v>2.5095326821290866</v>
      </c>
    </row>
    <row r="151" spans="2:24" x14ac:dyDescent="0.35">
      <c r="B151" s="55"/>
      <c r="C151" s="24">
        <v>0.2</v>
      </c>
      <c r="D151" s="42">
        <f t="shared" ref="D151:X151" si="77">(D177*$P$7) + $P$10</f>
        <v>-1.2110317190180115</v>
      </c>
      <c r="E151" s="38">
        <f t="shared" si="77"/>
        <v>-1.053484165783156</v>
      </c>
      <c r="F151" s="38">
        <f t="shared" si="77"/>
        <v>-0.87792628830123842</v>
      </c>
      <c r="G151" s="38">
        <f t="shared" si="77"/>
        <v>-0.68474625451943161</v>
      </c>
      <c r="H151" s="38">
        <f t="shared" si="77"/>
        <v>-0.47509742037288261</v>
      </c>
      <c r="I151" s="38">
        <f t="shared" si="77"/>
        <v>-0.25096623481403779</v>
      </c>
      <c r="J151" s="38">
        <f t="shared" si="77"/>
        <v>-1.5165626882029049E-2</v>
      </c>
      <c r="K151" s="38">
        <f t="shared" si="77"/>
        <v>0.22876180449600225</v>
      </c>
      <c r="L151" s="38">
        <f t="shared" si="77"/>
        <v>0.47673179450720227</v>
      </c>
      <c r="M151" s="38">
        <f t="shared" si="77"/>
        <v>0.72438040596193298</v>
      </c>
      <c r="N151" s="38">
        <f t="shared" si="77"/>
        <v>0.96736618374770433</v>
      </c>
      <c r="O151" s="38">
        <f t="shared" si="77"/>
        <v>1.2016690331374074</v>
      </c>
      <c r="P151" s="38">
        <f t="shared" si="77"/>
        <v>1.4238431829110056</v>
      </c>
      <c r="Q151" s="38">
        <f t="shared" si="77"/>
        <v>1.6311925112781718</v>
      </c>
      <c r="R151" s="38">
        <f t="shared" si="77"/>
        <v>1.82185372411239</v>
      </c>
      <c r="S151" s="38">
        <f t="shared" si="77"/>
        <v>1.9947908429909385</v>
      </c>
      <c r="T151" s="38">
        <f t="shared" si="77"/>
        <v>2.1497183203583647</v>
      </c>
      <c r="U151" s="38">
        <f t="shared" si="77"/>
        <v>2.2869773093640999</v>
      </c>
      <c r="V151" s="38">
        <f t="shared" si="77"/>
        <v>2.4073902448253381</v>
      </c>
      <c r="W151" s="38">
        <f t="shared" si="77"/>
        <v>2.5121147992018154</v>
      </c>
      <c r="X151" s="43">
        <f t="shared" si="77"/>
        <v>2.6025119159301209</v>
      </c>
    </row>
    <row r="152" spans="2:24" x14ac:dyDescent="0.35">
      <c r="B152" s="55"/>
      <c r="C152" s="24">
        <v>0.15</v>
      </c>
      <c r="D152" s="42">
        <f t="shared" ref="D152:X152" si="78">(D178*$P$7) + $P$10</f>
        <v>-1.0490673943542912</v>
      </c>
      <c r="E152" s="38">
        <f t="shared" si="78"/>
        <v>-0.87303473355775374</v>
      </c>
      <c r="F152" s="38">
        <f t="shared" si="78"/>
        <v>-0.67940016179823859</v>
      </c>
      <c r="G152" s="38">
        <f t="shared" si="78"/>
        <v>-0.46933850059954674</v>
      </c>
      <c r="H152" s="38">
        <f t="shared" si="78"/>
        <v>-0.24485854322399159</v>
      </c>
      <c r="I152" s="38">
        <f t="shared" si="78"/>
        <v>-8.7942033320644875E-3</v>
      </c>
      <c r="J152" s="38">
        <f t="shared" si="78"/>
        <v>0.23529477355246886</v>
      </c>
      <c r="K152" s="38">
        <f t="shared" si="78"/>
        <v>0.48331307686083891</v>
      </c>
      <c r="L152" s="38">
        <f t="shared" si="78"/>
        <v>0.73089338593096453</v>
      </c>
      <c r="M152" s="38">
        <f t="shared" si="78"/>
        <v>0.97369901822394089</v>
      </c>
      <c r="N152" s="38">
        <f t="shared" si="78"/>
        <v>1.207722113223618</v>
      </c>
      <c r="O152" s="38">
        <f t="shared" si="78"/>
        <v>1.4295348818152998</v>
      </c>
      <c r="P152" s="38">
        <f t="shared" si="78"/>
        <v>1.6364625965834749</v>
      </c>
      <c r="Q152" s="38">
        <f t="shared" si="78"/>
        <v>1.8266643034801087</v>
      </c>
      <c r="R152" s="38">
        <f t="shared" si="78"/>
        <v>1.9991251494513751</v>
      </c>
      <c r="S152" s="38">
        <f t="shared" si="78"/>
        <v>2.153577924993634</v>
      </c>
      <c r="T152" s="38">
        <f t="shared" si="78"/>
        <v>2.2903784453282254</v>
      </c>
      <c r="U152" s="38">
        <f t="shared" si="78"/>
        <v>2.4103598685727574</v>
      </c>
      <c r="V152" s="38">
        <f t="shared" si="78"/>
        <v>2.5146868649470804</v>
      </c>
      <c r="W152" s="38">
        <f t="shared" si="78"/>
        <v>2.6047241609436016</v>
      </c>
      <c r="X152" s="43">
        <f t="shared" si="78"/>
        <v>2.6819274661622057</v>
      </c>
    </row>
    <row r="153" spans="2:24" x14ac:dyDescent="0.35">
      <c r="B153" s="55"/>
      <c r="C153" s="24">
        <v>0.1</v>
      </c>
      <c r="D153" s="42">
        <f t="shared" ref="D153:X153" si="79">(D179*$P$7) + $P$10</f>
        <v>-0.86813079153547323</v>
      </c>
      <c r="E153" s="38">
        <f t="shared" si="79"/>
        <v>-0.67404250149502443</v>
      </c>
      <c r="F153" s="38">
        <f t="shared" si="79"/>
        <v>-0.463569422151628</v>
      </c>
      <c r="G153" s="38">
        <f t="shared" si="79"/>
        <v>-0.23874268582187019</v>
      </c>
      <c r="H153" s="38">
        <f t="shared" si="79"/>
        <v>-2.4171212299042288E-3</v>
      </c>
      <c r="I153" s="38">
        <f t="shared" si="79"/>
        <v>0.24183051396038779</v>
      </c>
      <c r="J153" s="38">
        <f t="shared" si="79"/>
        <v>0.4898940502779725</v>
      </c>
      <c r="K153" s="38">
        <f t="shared" si="79"/>
        <v>0.7374029984279491</v>
      </c>
      <c r="L153" s="38">
        <f t="shared" si="79"/>
        <v>0.98002566008753877</v>
      </c>
      <c r="M153" s="38">
        <f t="shared" si="79"/>
        <v>1.2137665870009209</v>
      </c>
      <c r="N153" s="38">
        <f t="shared" si="79"/>
        <v>1.4352160942777252</v>
      </c>
      <c r="O153" s="38">
        <f t="shared" si="79"/>
        <v>1.6417209052069293</v>
      </c>
      <c r="P153" s="38">
        <f t="shared" si="79"/>
        <v>1.8314623993561687</v>
      </c>
      <c r="Q153" s="38">
        <f t="shared" si="79"/>
        <v>2.0034467925369475</v>
      </c>
      <c r="R153" s="38">
        <f t="shared" si="79"/>
        <v>2.1574251244152229</v>
      </c>
      <c r="S153" s="38">
        <f t="shared" si="79"/>
        <v>2.2937677688978022</v>
      </c>
      <c r="T153" s="38">
        <f t="shared" si="79"/>
        <v>2.4133185043016283</v>
      </c>
      <c r="U153" s="38">
        <f t="shared" si="79"/>
        <v>2.5172489059753582</v>
      </c>
      <c r="V153" s="38">
        <f t="shared" si="79"/>
        <v>2.6069274068466459</v>
      </c>
      <c r="W153" s="38">
        <f t="shared" si="79"/>
        <v>2.6838108730094987</v>
      </c>
      <c r="X153" s="43">
        <f t="shared" si="79"/>
        <v>2.7493612210000462</v>
      </c>
    </row>
    <row r="154" spans="2:24" x14ac:dyDescent="0.35">
      <c r="B154" s="55"/>
      <c r="C154" s="24">
        <v>0.05</v>
      </c>
      <c r="D154" s="42">
        <f t="shared" ref="D154:X154" si="80">(D180*$P$7) + $P$10</f>
        <v>-0.66867330321694474</v>
      </c>
      <c r="E154" s="38">
        <f t="shared" si="80"/>
        <v>-0.45779023043378486</v>
      </c>
      <c r="F154" s="38">
        <f t="shared" si="80"/>
        <v>-0.23261872282594465</v>
      </c>
      <c r="G154" s="38">
        <f t="shared" si="80"/>
        <v>3.9655471422892496E-3</v>
      </c>
      <c r="H154" s="38">
        <f t="shared" si="80"/>
        <v>0.24836894573086088</v>
      </c>
      <c r="I154" s="38">
        <f t="shared" si="80"/>
        <v>0.49647463251998847</v>
      </c>
      <c r="J154" s="38">
        <f t="shared" si="80"/>
        <v>0.74390916475287039</v>
      </c>
      <c r="K154" s="38">
        <f t="shared" si="80"/>
        <v>0.98634603944634769</v>
      </c>
      <c r="L154" s="38">
        <f t="shared" si="80"/>
        <v>1.2198023974124022</v>
      </c>
      <c r="M154" s="38">
        <f t="shared" si="80"/>
        <v>1.4408867784294559</v>
      </c>
      <c r="N154" s="38">
        <f t="shared" si="80"/>
        <v>1.646967411067108</v>
      </c>
      <c r="O154" s="38">
        <f t="shared" si="80"/>
        <v>1.8362480005236002</v>
      </c>
      <c r="P154" s="38">
        <f t="shared" si="80"/>
        <v>2.0077557738768537</v>
      </c>
      <c r="Q154" s="38">
        <f t="shared" si="80"/>
        <v>2.1612599304737641</v>
      </c>
      <c r="R154" s="38">
        <f t="shared" si="80"/>
        <v>2.2971452993556092</v>
      </c>
      <c r="S154" s="38">
        <f t="shared" si="80"/>
        <v>2.4162661761050117</v>
      </c>
      <c r="T154" s="38">
        <f t="shared" si="80"/>
        <v>2.5198009489397561</v>
      </c>
      <c r="U154" s="38">
        <f t="shared" si="80"/>
        <v>2.6091216810640994</v>
      </c>
      <c r="V154" s="38">
        <f t="shared" si="80"/>
        <v>2.6856863366793959</v>
      </c>
      <c r="W154" s="38">
        <f t="shared" si="80"/>
        <v>2.7509560582619343</v>
      </c>
      <c r="X154" s="43">
        <f t="shared" si="80"/>
        <v>2.8063362801329417</v>
      </c>
    </row>
    <row r="155" spans="2:24" ht="15" thickBot="1" x14ac:dyDescent="0.4">
      <c r="B155" s="56"/>
      <c r="C155" s="25">
        <v>0</v>
      </c>
      <c r="D155" s="44">
        <f t="shared" ref="D155:X155" si="81">(D181*$P$7) + $P$10</f>
        <v>-0.45200097126329153</v>
      </c>
      <c r="E155" s="45">
        <f t="shared" si="81"/>
        <v>-0.2264867148171319</v>
      </c>
      <c r="F155" s="45">
        <f t="shared" si="81"/>
        <v>1.0353729235879072E-2</v>
      </c>
      <c r="G155" s="45">
        <f t="shared" si="81"/>
        <v>0.25490998874178095</v>
      </c>
      <c r="H155" s="45">
        <f t="shared" si="81"/>
        <v>0.50305474136782635</v>
      </c>
      <c r="I155" s="45">
        <f t="shared" si="81"/>
        <v>0.75041180637512417</v>
      </c>
      <c r="J155" s="45">
        <f t="shared" si="81"/>
        <v>0.99266008670293404</v>
      </c>
      <c r="K155" s="45">
        <f t="shared" si="81"/>
        <v>1.2258294877808682</v>
      </c>
      <c r="L155" s="45">
        <f t="shared" si="81"/>
        <v>1.4465468928194394</v>
      </c>
      <c r="M155" s="45">
        <f t="shared" si="81"/>
        <v>1.6522020884939614</v>
      </c>
      <c r="N155" s="45">
        <f t="shared" si="81"/>
        <v>1.8410210961353455</v>
      </c>
      <c r="O155" s="45">
        <f t="shared" si="81"/>
        <v>2.012052095406399</v>
      </c>
      <c r="P155" s="45">
        <f t="shared" si="81"/>
        <v>2.1650823552525118</v>
      </c>
      <c r="Q155" s="45">
        <f t="shared" si="81"/>
        <v>2.3005110561442867</v>
      </c>
      <c r="R155" s="45">
        <f t="shared" si="81"/>
        <v>2.4192029081708357</v>
      </c>
      <c r="S155" s="45">
        <f t="shared" si="81"/>
        <v>2.5223430205347563</v>
      </c>
      <c r="T155" s="45">
        <f t="shared" si="81"/>
        <v>2.6113070110213048</v>
      </c>
      <c r="U155" s="45">
        <f t="shared" si="81"/>
        <v>2.687553884019465</v>
      </c>
      <c r="V155" s="45">
        <f t="shared" si="81"/>
        <v>2.7525439668559493</v>
      </c>
      <c r="W155" s="45">
        <f t="shared" si="81"/>
        <v>2.8076806161371151</v>
      </c>
      <c r="X155" s="46">
        <f t="shared" si="81"/>
        <v>2.8542723970609565</v>
      </c>
    </row>
    <row r="156" spans="2:24" x14ac:dyDescent="0.35">
      <c r="C156" s="9"/>
      <c r="D156" s="28">
        <v>0</v>
      </c>
      <c r="E156" s="26">
        <v>0.05</v>
      </c>
      <c r="F156" s="26">
        <v>0.1</v>
      </c>
      <c r="G156" s="26">
        <v>0.15</v>
      </c>
      <c r="H156" s="26">
        <v>0.2</v>
      </c>
      <c r="I156" s="26">
        <v>0.25</v>
      </c>
      <c r="J156" s="26">
        <v>0.3</v>
      </c>
      <c r="K156" s="26">
        <v>0.35</v>
      </c>
      <c r="L156" s="26">
        <v>0.4</v>
      </c>
      <c r="M156" s="26">
        <v>0.45</v>
      </c>
      <c r="N156" s="26">
        <v>0.5</v>
      </c>
      <c r="O156" s="26">
        <v>0.55000000000000004</v>
      </c>
      <c r="P156" s="26">
        <v>0.6</v>
      </c>
      <c r="Q156" s="26">
        <v>0.65</v>
      </c>
      <c r="R156" s="26">
        <v>0.7</v>
      </c>
      <c r="S156" s="26">
        <v>0.75</v>
      </c>
      <c r="T156" s="26">
        <v>0.8</v>
      </c>
      <c r="U156" s="26">
        <v>0.85</v>
      </c>
      <c r="V156" s="26">
        <v>0.9</v>
      </c>
      <c r="W156" s="26">
        <v>0.95</v>
      </c>
      <c r="X156" s="27">
        <v>1</v>
      </c>
    </row>
    <row r="157" spans="2:24" ht="21.5" thickBot="1" x14ac:dyDescent="0.55000000000000004">
      <c r="C157" s="9"/>
      <c r="D157" s="57" t="s">
        <v>64</v>
      </c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9"/>
    </row>
    <row r="159" spans="2:24" ht="15" thickBot="1" x14ac:dyDescent="0.4"/>
    <row r="160" spans="2:24" ht="21.5" thickBot="1" x14ac:dyDescent="0.55000000000000004">
      <c r="B160" s="60" t="s">
        <v>17</v>
      </c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2"/>
    </row>
    <row r="161" spans="2:24" x14ac:dyDescent="0.35">
      <c r="B161" s="54" t="s">
        <v>6</v>
      </c>
      <c r="C161" s="27">
        <v>1</v>
      </c>
      <c r="D161" s="40">
        <f>1/(1+EXP(-D187))</f>
        <v>9.970287740072848E-3</v>
      </c>
      <c r="E161" s="39">
        <f>1/(1+EXP(-E187))</f>
        <v>1.2017556119457958E-2</v>
      </c>
      <c r="F161" s="39">
        <f t="shared" ref="F161:X161" si="82">1/(1+EXP(-F187))</f>
        <v>1.4479056323529341E-2</v>
      </c>
      <c r="G161" s="39">
        <f t="shared" si="82"/>
        <v>1.74358364942893E-2</v>
      </c>
      <c r="H161" s="39">
        <f t="shared" si="82"/>
        <v>2.0983567050172333E-2</v>
      </c>
      <c r="I161" s="39">
        <f t="shared" si="82"/>
        <v>2.5234627387174451E-2</v>
      </c>
      <c r="J161" s="39">
        <f t="shared" si="82"/>
        <v>3.0320237795370766E-2</v>
      </c>
      <c r="K161" s="39">
        <f t="shared" si="82"/>
        <v>3.6392501630572539E-2</v>
      </c>
      <c r="L161" s="39">
        <f t="shared" si="82"/>
        <v>4.3626151129950594E-2</v>
      </c>
      <c r="M161" s="39">
        <f t="shared" si="82"/>
        <v>5.221969774665302E-2</v>
      </c>
      <c r="N161" s="39">
        <f t="shared" si="82"/>
        <v>6.2395575036931814E-2</v>
      </c>
      <c r="O161" s="39">
        <f t="shared" si="82"/>
        <v>7.4398734899428012E-2</v>
      </c>
      <c r="P161" s="39">
        <f t="shared" si="82"/>
        <v>8.8493031389441784E-2</v>
      </c>
      <c r="Q161" s="39">
        <f t="shared" si="82"/>
        <v>0.10495462903261195</v>
      </c>
      <c r="R161" s="39">
        <f t="shared" si="82"/>
        <v>0.12406165076640548</v>
      </c>
      <c r="S161" s="39">
        <f t="shared" si="82"/>
        <v>0.14607939922275287</v>
      </c>
      <c r="T161" s="39">
        <f t="shared" si="82"/>
        <v>0.17124082139094271</v>
      </c>
      <c r="U161" s="39">
        <f t="shared" si="82"/>
        <v>0.19972251182947393</v>
      </c>
      <c r="V161" s="39">
        <f t="shared" si="82"/>
        <v>0.23161749283037958</v>
      </c>
      <c r="W161" s="39">
        <f t="shared" si="82"/>
        <v>0.26690720890856601</v>
      </c>
      <c r="X161" s="41">
        <f t="shared" si="82"/>
        <v>0.30543642448228542</v>
      </c>
    </row>
    <row r="162" spans="2:24" x14ac:dyDescent="0.35">
      <c r="B162" s="55"/>
      <c r="C162" s="24">
        <v>0.95</v>
      </c>
      <c r="D162" s="42">
        <f>1/(1+EXP(-D188))</f>
        <v>1.2077068627411628E-2</v>
      </c>
      <c r="E162" s="38">
        <f t="shared" ref="E162:X162" si="83">1/(1+EXP(-E188))</f>
        <v>1.4550578977872668E-2</v>
      </c>
      <c r="F162" s="38">
        <f t="shared" si="83"/>
        <v>1.7521705172884639E-2</v>
      </c>
      <c r="G162" s="38">
        <f t="shared" si="83"/>
        <v>2.1086532767075304E-2</v>
      </c>
      <c r="H162" s="38">
        <f t="shared" si="83"/>
        <v>2.5357912627209177E-2</v>
      </c>
      <c r="I162" s="38">
        <f t="shared" si="83"/>
        <v>3.0467592484584846E-2</v>
      </c>
      <c r="J162" s="38">
        <f t="shared" si="83"/>
        <v>3.6568254283808423E-2</v>
      </c>
      <c r="K162" s="38">
        <f t="shared" si="83"/>
        <v>4.3835248541433551E-2</v>
      </c>
      <c r="L162" s="38">
        <f t="shared" si="83"/>
        <v>5.2467723851883176E-2</v>
      </c>
      <c r="M162" s="38">
        <f t="shared" si="83"/>
        <v>6.2688736347740859E-2</v>
      </c>
      <c r="N162" s="38">
        <f t="shared" si="83"/>
        <v>7.4743796461249151E-2</v>
      </c>
      <c r="O162" s="38">
        <f t="shared" si="83"/>
        <v>8.8897184093340825E-2</v>
      </c>
      <c r="P162" s="38">
        <f t="shared" si="83"/>
        <v>0.10542526731744403</v>
      </c>
      <c r="Q162" s="38">
        <f t="shared" si="83"/>
        <v>0.12460604075313185</v>
      </c>
      <c r="R162" s="38">
        <f t="shared" si="83"/>
        <v>0.14670422307159775</v>
      </c>
      <c r="S162" s="38">
        <f t="shared" si="83"/>
        <v>0.17195159624370088</v>
      </c>
      <c r="T162" s="38">
        <f t="shared" si="83"/>
        <v>0.20052290260320751</v>
      </c>
      <c r="U162" s="38">
        <f t="shared" si="83"/>
        <v>0.2325085671342349</v>
      </c>
      <c r="V162" s="38">
        <f t="shared" si="83"/>
        <v>0.26788671607602532</v>
      </c>
      <c r="W162" s="38">
        <f t="shared" si="83"/>
        <v>0.30649821157065754</v>
      </c>
      <c r="X162" s="43">
        <f t="shared" si="83"/>
        <v>0.34802935120201017</v>
      </c>
    </row>
    <row r="163" spans="2:24" x14ac:dyDescent="0.35">
      <c r="B163" s="55"/>
      <c r="C163" s="24">
        <v>0.9</v>
      </c>
      <c r="D163" s="42">
        <f t="shared" ref="D163:X163" si="84">1/(1+EXP(-D189))</f>
        <v>1.4622449692891743E-2</v>
      </c>
      <c r="E163" s="38">
        <f t="shared" si="84"/>
        <v>1.7607989162486345E-2</v>
      </c>
      <c r="F163" s="38">
        <f t="shared" si="84"/>
        <v>2.1189992797872721E-2</v>
      </c>
      <c r="G163" s="38">
        <f t="shared" si="84"/>
        <v>2.5481784439007889E-2</v>
      </c>
      <c r="H163" s="38">
        <f t="shared" si="84"/>
        <v>3.0615640698980529E-2</v>
      </c>
      <c r="I163" s="38">
        <f t="shared" si="84"/>
        <v>3.6744823344744909E-2</v>
      </c>
      <c r="J163" s="38">
        <f t="shared" si="84"/>
        <v>4.4045301988342667E-2</v>
      </c>
      <c r="K163" s="38">
        <f t="shared" si="84"/>
        <v>5.2716862473900554E-2</v>
      </c>
      <c r="L163" s="38">
        <f t="shared" si="84"/>
        <v>6.2983182530626777E-2</v>
      </c>
      <c r="M163" s="38">
        <f t="shared" si="84"/>
        <v>7.5090328585883548E-2</v>
      </c>
      <c r="N163" s="38">
        <f t="shared" si="84"/>
        <v>8.9303001748327629E-2</v>
      </c>
      <c r="O163" s="38">
        <f t="shared" si="84"/>
        <v>0.10589776634401354</v>
      </c>
      <c r="P163" s="38">
        <f t="shared" si="84"/>
        <v>0.12515247824618156</v>
      </c>
      <c r="Q163" s="38">
        <f t="shared" si="84"/>
        <v>0.14733125836376409</v>
      </c>
      <c r="R163" s="38">
        <f t="shared" si="84"/>
        <v>0.17266470667691786</v>
      </c>
      <c r="S163" s="38">
        <f t="shared" si="84"/>
        <v>0.20132569402445785</v>
      </c>
      <c r="T163" s="38">
        <f t="shared" si="84"/>
        <v>0.23340202824314946</v>
      </c>
      <c r="U163" s="38">
        <f t="shared" si="84"/>
        <v>0.26886849951385794</v>
      </c>
      <c r="V163" s="38">
        <f t="shared" si="84"/>
        <v>0.30756205528217739</v>
      </c>
      <c r="W163" s="38">
        <f t="shared" si="84"/>
        <v>0.34916476966755633</v>
      </c>
      <c r="X163" s="43">
        <f t="shared" si="84"/>
        <v>0.39319939275059718</v>
      </c>
    </row>
    <row r="164" spans="2:24" x14ac:dyDescent="0.35">
      <c r="B164" s="55"/>
      <c r="C164" s="24">
        <v>0.85</v>
      </c>
      <c r="D164" s="42">
        <f t="shared" ref="D164:X164" si="85">1/(1+EXP(-D190))</f>
        <v>1.769469039696887E-2</v>
      </c>
      <c r="E164" s="38">
        <f t="shared" si="85"/>
        <v>2.1293949408090755E-2</v>
      </c>
      <c r="F164" s="38">
        <f t="shared" si="85"/>
        <v>2.5606245459209427E-2</v>
      </c>
      <c r="G164" s="38">
        <f t="shared" si="85"/>
        <v>3.0764385482414287E-2</v>
      </c>
      <c r="H164" s="38">
        <f t="shared" si="85"/>
        <v>3.6922212292541431E-2</v>
      </c>
      <c r="I164" s="38">
        <f t="shared" si="85"/>
        <v>4.4256315398608373E-2</v>
      </c>
      <c r="J164" s="38">
        <f t="shared" si="85"/>
        <v>5.2967117979375859E-2</v>
      </c>
      <c r="K164" s="38">
        <f t="shared" si="85"/>
        <v>6.3278918346135318E-2</v>
      </c>
      <c r="L164" s="38">
        <f t="shared" si="85"/>
        <v>7.5438336334489126E-2</v>
      </c>
      <c r="M164" s="38">
        <f t="shared" si="85"/>
        <v>8.9710489559636453E-2</v>
      </c>
      <c r="N164" s="38">
        <f t="shared" si="85"/>
        <v>0.10637213122760782</v>
      </c>
      <c r="O164" s="38">
        <f t="shared" si="85"/>
        <v>0.12570096794918112</v>
      </c>
      <c r="P164" s="38">
        <f t="shared" si="85"/>
        <v>0.14796050898047186</v>
      </c>
      <c r="Q164" s="38">
        <f t="shared" si="85"/>
        <v>0.17338015526311676</v>
      </c>
      <c r="R164" s="38">
        <f t="shared" si="85"/>
        <v>0.20213088682935768</v>
      </c>
      <c r="S164" s="38">
        <f t="shared" si="85"/>
        <v>0.23429787454603998</v>
      </c>
      <c r="T164" s="38">
        <f t="shared" si="85"/>
        <v>0.26985255485025733</v>
      </c>
      <c r="U164" s="38">
        <f t="shared" si="85"/>
        <v>0.30862794826059342</v>
      </c>
      <c r="V164" s="38">
        <f t="shared" si="85"/>
        <v>0.3503019020837348</v>
      </c>
      <c r="W164" s="38">
        <f t="shared" si="85"/>
        <v>0.39439303100805156</v>
      </c>
      <c r="X164" s="43">
        <f t="shared" si="85"/>
        <v>0.4402730227077401</v>
      </c>
    </row>
    <row r="165" spans="2:24" x14ac:dyDescent="0.35">
      <c r="B165" s="55"/>
      <c r="C165" s="24">
        <v>0.8</v>
      </c>
      <c r="D165" s="42">
        <f t="shared" ref="D165:X165" si="86">1/(1+EXP(-D191))</f>
        <v>2.1398404872580701E-2</v>
      </c>
      <c r="E165" s="38">
        <f t="shared" si="86"/>
        <v>2.5731298334793894E-2</v>
      </c>
      <c r="F165" s="38">
        <f t="shared" si="86"/>
        <v>3.0913829889955471E-2</v>
      </c>
      <c r="G165" s="38">
        <f t="shared" si="86"/>
        <v>3.7100424618149191E-2</v>
      </c>
      <c r="H165" s="38">
        <f t="shared" si="86"/>
        <v>4.4468292712034882E-2</v>
      </c>
      <c r="I165" s="38">
        <f t="shared" si="86"/>
        <v>5.3218494746169839E-2</v>
      </c>
      <c r="J165" s="38">
        <f t="shared" si="86"/>
        <v>6.3575948564220594E-2</v>
      </c>
      <c r="K165" s="38">
        <f t="shared" si="86"/>
        <v>7.578782477436885E-2</v>
      </c>
      <c r="L165" s="38">
        <f t="shared" si="86"/>
        <v>9.0119652733506111E-2</v>
      </c>
      <c r="M165" s="38">
        <f t="shared" si="86"/>
        <v>0.10684836707716</v>
      </c>
      <c r="N165" s="38">
        <f t="shared" si="86"/>
        <v>0.12625151454965186</v>
      </c>
      <c r="O165" s="38">
        <f t="shared" si="86"/>
        <v>0.14859197877483282</v>
      </c>
      <c r="P165" s="38">
        <f t="shared" si="86"/>
        <v>0.17409794453306818</v>
      </c>
      <c r="Q165" s="38">
        <f t="shared" si="86"/>
        <v>0.20293848169823245</v>
      </c>
      <c r="R165" s="38">
        <f t="shared" si="86"/>
        <v>0.23519610436341826</v>
      </c>
      <c r="S165" s="38">
        <f t="shared" si="86"/>
        <v>0.27083887763622688</v>
      </c>
      <c r="T165" s="38">
        <f t="shared" si="86"/>
        <v>0.30969588306995421</v>
      </c>
      <c r="U165" s="38">
        <f t="shared" si="86"/>
        <v>0.35144073808729903</v>
      </c>
      <c r="V165" s="38">
        <f t="shared" si="86"/>
        <v>0.39558793053123514</v>
      </c>
      <c r="W165" s="38">
        <f t="shared" si="86"/>
        <v>0.44150558800159956</v>
      </c>
      <c r="X165" s="43">
        <f t="shared" si="86"/>
        <v>0.48844586651368493</v>
      </c>
    </row>
    <row r="166" spans="2:24" x14ac:dyDescent="0.35">
      <c r="B166" s="55"/>
      <c r="C166" s="24">
        <v>0.75</v>
      </c>
      <c r="D166" s="42">
        <f t="shared" ref="D166:X166" si="87">1/(1+EXP(-D192))</f>
        <v>2.5856945723108298E-2</v>
      </c>
      <c r="E166" s="38">
        <f t="shared" si="87"/>
        <v>3.106397698790633E-2</v>
      </c>
      <c r="F166" s="38">
        <f t="shared" si="87"/>
        <v>3.7279463824321096E-2</v>
      </c>
      <c r="G166" s="38">
        <f t="shared" si="87"/>
        <v>4.4681237880293392E-2</v>
      </c>
      <c r="H166" s="38">
        <f t="shared" si="87"/>
        <v>5.3470997163302204E-2</v>
      </c>
      <c r="I166" s="38">
        <f t="shared" si="87"/>
        <v>6.3874277964179632E-2</v>
      </c>
      <c r="J166" s="38">
        <f t="shared" si="87"/>
        <v>7.6138798978861139E-2</v>
      </c>
      <c r="K166" s="38">
        <f t="shared" si="87"/>
        <v>9.0530496477015041E-2</v>
      </c>
      <c r="L166" s="38">
        <f t="shared" si="87"/>
        <v>0.1073264789950226</v>
      </c>
      <c r="M166" s="38">
        <f t="shared" si="87"/>
        <v>0.12680412271872069</v>
      </c>
      <c r="N166" s="38">
        <f t="shared" si="87"/>
        <v>0.1492256715715059</v>
      </c>
      <c r="O166" s="38">
        <f t="shared" si="87"/>
        <v>0.17481807697541896</v>
      </c>
      <c r="P166" s="38">
        <f t="shared" si="87"/>
        <v>0.20374847925523851</v>
      </c>
      <c r="Q166" s="38">
        <f t="shared" si="87"/>
        <v>0.23609671594709836</v>
      </c>
      <c r="R166" s="38">
        <f t="shared" si="87"/>
        <v>0.27182746334542562</v>
      </c>
      <c r="S166" s="38">
        <f t="shared" si="87"/>
        <v>0.31076585219464592</v>
      </c>
      <c r="T166" s="38">
        <f t="shared" si="87"/>
        <v>0.35258126724127464</v>
      </c>
      <c r="U166" s="38">
        <f t="shared" si="87"/>
        <v>0.39678407835962642</v>
      </c>
      <c r="V166" s="38">
        <f t="shared" si="87"/>
        <v>0.44273887450797283</v>
      </c>
      <c r="W166" s="38">
        <f t="shared" si="87"/>
        <v>0.48969530543279793</v>
      </c>
      <c r="X166" s="43">
        <f t="shared" si="87"/>
        <v>0.53683428764333507</v>
      </c>
    </row>
    <row r="167" spans="2:24" x14ac:dyDescent="0.35">
      <c r="B167" s="55"/>
      <c r="C167" s="24">
        <v>0.7</v>
      </c>
      <c r="D167" s="42">
        <f t="shared" ref="D167:X167" si="88">1/(1+EXP(-D193))</f>
        <v>3.1214829853821496E-2</v>
      </c>
      <c r="E167" s="38">
        <f t="shared" si="88"/>
        <v>3.7459333425620703E-2</v>
      </c>
      <c r="F167" s="38">
        <f t="shared" si="88"/>
        <v>4.4895154866914512E-2</v>
      </c>
      <c r="G167" s="38">
        <f t="shared" si="88"/>
        <v>5.3724629630919056E-2</v>
      </c>
      <c r="H167" s="38">
        <f t="shared" si="88"/>
        <v>6.4173911334585665E-2</v>
      </c>
      <c r="I167" s="38">
        <f t="shared" si="88"/>
        <v>7.649126402722764E-2</v>
      </c>
      <c r="J167" s="38">
        <f t="shared" si="88"/>
        <v>9.0943025997914581E-2</v>
      </c>
      <c r="K167" s="38">
        <f t="shared" si="88"/>
        <v>0.10780647207673777</v>
      </c>
      <c r="L167" s="38">
        <f t="shared" si="88"/>
        <v>0.12735879711082751</v>
      </c>
      <c r="M167" s="38">
        <f t="shared" si="88"/>
        <v>0.14986159116635178</v>
      </c>
      <c r="N167" s="38">
        <f t="shared" si="88"/>
        <v>0.17554055503631566</v>
      </c>
      <c r="O167" s="38">
        <f t="shared" si="88"/>
        <v>0.20456088006800299</v>
      </c>
      <c r="P167" s="38">
        <f t="shared" si="88"/>
        <v>0.23699970747990429</v>
      </c>
      <c r="Q167" s="38">
        <f t="shared" si="88"/>
        <v>0.27281830737401302</v>
      </c>
      <c r="R167" s="38">
        <f t="shared" si="88"/>
        <v>0.31183784803943748</v>
      </c>
      <c r="S167" s="38">
        <f t="shared" si="88"/>
        <v>0.35372347903523427</v>
      </c>
      <c r="T167" s="38">
        <f t="shared" si="88"/>
        <v>0.39798146147436991</v>
      </c>
      <c r="U167" s="38">
        <f t="shared" si="88"/>
        <v>0.44397286742968251</v>
      </c>
      <c r="V167" s="38">
        <f t="shared" si="88"/>
        <v>0.49094487311293755</v>
      </c>
      <c r="W167" s="38">
        <f t="shared" si="88"/>
        <v>0.53807730894296979</v>
      </c>
      <c r="X167" s="43">
        <f t="shared" si="88"/>
        <v>0.58453878702008477</v>
      </c>
    </row>
    <row r="168" spans="2:24" x14ac:dyDescent="0.35">
      <c r="B168" s="55"/>
      <c r="C168" s="24">
        <v>0.65</v>
      </c>
      <c r="D168" s="42">
        <f t="shared" ref="D168:X168" si="89">1/(1+EXP(-D194))</f>
        <v>3.7640036948431314E-2</v>
      </c>
      <c r="E168" s="38">
        <f t="shared" si="89"/>
        <v>4.5110047647280306E-2</v>
      </c>
      <c r="F168" s="38">
        <f t="shared" si="89"/>
        <v>5.3979396560260184E-2</v>
      </c>
      <c r="G168" s="38">
        <f t="shared" si="89"/>
        <v>6.447485347322042E-2</v>
      </c>
      <c r="H168" s="38">
        <f t="shared" si="89"/>
        <v>7.6845225004540885E-2</v>
      </c>
      <c r="I168" s="38">
        <f t="shared" si="89"/>
        <v>9.1357246504460782E-2</v>
      </c>
      <c r="J168" s="38">
        <f t="shared" si="89"/>
        <v>0.10828835141080732</v>
      </c>
      <c r="K168" s="38">
        <f t="shared" si="89"/>
        <v>0.12791554236343178</v>
      </c>
      <c r="L168" s="38">
        <f t="shared" si="89"/>
        <v>0.15049974132608671</v>
      </c>
      <c r="M168" s="38">
        <f t="shared" si="89"/>
        <v>0.17626538111903164</v>
      </c>
      <c r="N168" s="38">
        <f t="shared" si="89"/>
        <v>0.20537568464726308</v>
      </c>
      <c r="O168" s="38">
        <f t="shared" si="89"/>
        <v>0.23790507707538561</v>
      </c>
      <c r="P168" s="38">
        <f t="shared" si="89"/>
        <v>0.27381140504049989</v>
      </c>
      <c r="Q168" s="38">
        <f t="shared" si="89"/>
        <v>0.31291186292953077</v>
      </c>
      <c r="R168" s="38">
        <f t="shared" si="89"/>
        <v>0.35486736288558679</v>
      </c>
      <c r="S168" s="38">
        <f t="shared" si="89"/>
        <v>0.3991800667987897</v>
      </c>
      <c r="T168" s="38">
        <f t="shared" si="89"/>
        <v>0.44520755193492584</v>
      </c>
      <c r="U168" s="38">
        <f t="shared" si="89"/>
        <v>0.49219455395123879</v>
      </c>
      <c r="V168" s="38">
        <f t="shared" si="89"/>
        <v>0.53931985701067731</v>
      </c>
      <c r="W168" s="38">
        <f t="shared" si="89"/>
        <v>0.58575257317897644</v>
      </c>
      <c r="X168" s="43">
        <f t="shared" si="89"/>
        <v>0.63070983073361186</v>
      </c>
    </row>
    <row r="169" spans="2:24" x14ac:dyDescent="0.35">
      <c r="B169" s="55"/>
      <c r="C169" s="24">
        <v>0.6</v>
      </c>
      <c r="D169" s="42">
        <f t="shared" ref="D169:X169" si="90">1/(1+EXP(-D195))</f>
        <v>4.5325920208615894E-2</v>
      </c>
      <c r="E169" s="38">
        <f t="shared" si="90"/>
        <v>5.4235302373625185E-2</v>
      </c>
      <c r="F169" s="38">
        <f t="shared" si="90"/>
        <v>6.477710918700573E-2</v>
      </c>
      <c r="G169" s="38">
        <f t="shared" si="90"/>
        <v>7.7200687001569762E-2</v>
      </c>
      <c r="H169" s="38">
        <f t="shared" si="90"/>
        <v>9.1773163205244951E-2</v>
      </c>
      <c r="I169" s="38">
        <f t="shared" si="90"/>
        <v>0.10877212207846036</v>
      </c>
      <c r="J169" s="38">
        <f t="shared" si="90"/>
        <v>0.1284743630967177</v>
      </c>
      <c r="K169" s="38">
        <f t="shared" si="90"/>
        <v>0.15114012578793481</v>
      </c>
      <c r="L169" s="38">
        <f t="shared" si="90"/>
        <v>0.17699255758359242</v>
      </c>
      <c r="M169" s="38">
        <f t="shared" si="90"/>
        <v>0.2061928934465079</v>
      </c>
      <c r="N169" s="38">
        <f t="shared" si="90"/>
        <v>0.23881282277753105</v>
      </c>
      <c r="O169" s="38">
        <f t="shared" si="90"/>
        <v>0.27480675158560658</v>
      </c>
      <c r="P169" s="38">
        <f t="shared" si="90"/>
        <v>0.31398788911061598</v>
      </c>
      <c r="Q169" s="38">
        <f t="shared" si="90"/>
        <v>0.35601290813586794</v>
      </c>
      <c r="R169" s="38">
        <f t="shared" si="90"/>
        <v>0.40037988119891416</v>
      </c>
      <c r="S169" s="38">
        <f t="shared" si="90"/>
        <v>0.44644291315796875</v>
      </c>
      <c r="T169" s="38">
        <f t="shared" si="90"/>
        <v>0.49344433233918367</v>
      </c>
      <c r="U169" s="38">
        <f t="shared" si="90"/>
        <v>0.54056191659291475</v>
      </c>
      <c r="V169" s="38">
        <f t="shared" si="90"/>
        <v>0.58696531890260195</v>
      </c>
      <c r="W169" s="38">
        <f t="shared" si="90"/>
        <v>0.63187367668721106</v>
      </c>
      <c r="X169" s="43">
        <f t="shared" si="90"/>
        <v>0.67460610068142657</v>
      </c>
    </row>
    <row r="170" spans="2:24" x14ac:dyDescent="0.35">
      <c r="B170" s="55"/>
      <c r="C170" s="24">
        <v>0.55000000000000004</v>
      </c>
      <c r="D170" s="42">
        <f t="shared" ref="D170:X170" si="91">1/(1+EXP(-D196))</f>
        <v>5.4492351504338912E-2</v>
      </c>
      <c r="E170" s="38">
        <f t="shared" si="91"/>
        <v>6.5080683291933353E-2</v>
      </c>
      <c r="F170" s="38">
        <f t="shared" si="91"/>
        <v>7.7557655114664059E-2</v>
      </c>
      <c r="G170" s="38">
        <f t="shared" si="91"/>
        <v>9.2190781309021863E-2</v>
      </c>
      <c r="H170" s="38">
        <f t="shared" si="91"/>
        <v>0.1092577891534193</v>
      </c>
      <c r="I170" s="38">
        <f t="shared" si="91"/>
        <v>0.12903526391329695</v>
      </c>
      <c r="J170" s="38">
        <f t="shared" si="91"/>
        <v>0.15178274825927954</v>
      </c>
      <c r="K170" s="38">
        <f t="shared" si="91"/>
        <v>0.17772208674640011</v>
      </c>
      <c r="L170" s="38">
        <f t="shared" si="91"/>
        <v>0.20701250686162057</v>
      </c>
      <c r="M170" s="38">
        <f t="shared" si="91"/>
        <v>0.23972294256048701</v>
      </c>
      <c r="N170" s="38">
        <f t="shared" si="91"/>
        <v>0.27580434217212113</v>
      </c>
      <c r="O170" s="38">
        <f t="shared" si="91"/>
        <v>0.31506591874893541</v>
      </c>
      <c r="P170" s="38">
        <f t="shared" si="91"/>
        <v>0.3571601040570368</v>
      </c>
      <c r="Q170" s="38">
        <f t="shared" si="91"/>
        <v>0.40158089148400178</v>
      </c>
      <c r="R170" s="38">
        <f t="shared" si="91"/>
        <v>0.44767893619985055</v>
      </c>
      <c r="S170" s="38">
        <f t="shared" si="91"/>
        <v>0.49469419266337583</v>
      </c>
      <c r="T170" s="38">
        <f t="shared" si="91"/>
        <v>0.54180347246033977</v>
      </c>
      <c r="U170" s="38">
        <f t="shared" si="91"/>
        <v>0.5881770103875712</v>
      </c>
      <c r="V170" s="38">
        <f t="shared" si="91"/>
        <v>0.63303598880370504</v>
      </c>
      <c r="W170" s="38">
        <f t="shared" si="91"/>
        <v>0.67570273687479043</v>
      </c>
      <c r="X170" s="43">
        <f t="shared" si="91"/>
        <v>0.71563707654614006</v>
      </c>
    </row>
    <row r="171" spans="2:24" x14ac:dyDescent="0.35">
      <c r="B171" s="55"/>
      <c r="C171" s="24">
        <v>0.5</v>
      </c>
      <c r="D171" s="42">
        <f t="shared" ref="D171:X171" si="92">1/(1+EXP(-D197))</f>
        <v>6.538558061299439E-2</v>
      </c>
      <c r="E171" s="38">
        <f t="shared" si="92"/>
        <v>7.7916134445637525E-2</v>
      </c>
      <c r="F171" s="38">
        <f t="shared" si="92"/>
        <v>9.2610106024537328E-2</v>
      </c>
      <c r="G171" s="38">
        <f t="shared" si="92"/>
        <v>0.10974535770166421</v>
      </c>
      <c r="H171" s="38">
        <f t="shared" si="92"/>
        <v>0.12959824939791101</v>
      </c>
      <c r="I171" s="38">
        <f t="shared" si="92"/>
        <v>0.15242761241731356</v>
      </c>
      <c r="J171" s="38">
        <f t="shared" si="92"/>
        <v>0.17845397087985959</v>
      </c>
      <c r="K171" s="38">
        <f t="shared" si="92"/>
        <v>0.20783452523052171</v>
      </c>
      <c r="L171" s="38">
        <f t="shared" si="92"/>
        <v>0.24063543432827972</v>
      </c>
      <c r="M171" s="38">
        <f t="shared" si="92"/>
        <v>0.27680417188476586</v>
      </c>
      <c r="N171" s="38">
        <f t="shared" si="92"/>
        <v>0.31614594393135032</v>
      </c>
      <c r="O171" s="38">
        <f t="shared" si="92"/>
        <v>0.35830893984778395</v>
      </c>
      <c r="P171" s="38">
        <f t="shared" si="92"/>
        <v>0.40278308440707383</v>
      </c>
      <c r="Q171" s="38">
        <f t="shared" si="92"/>
        <v>0.44891560612908776</v>
      </c>
      <c r="R171" s="38">
        <f t="shared" si="92"/>
        <v>0.49594411930632532</v>
      </c>
      <c r="S171" s="38">
        <f t="shared" si="92"/>
        <v>0.54304450940854687</v>
      </c>
      <c r="T171" s="38">
        <f t="shared" si="92"/>
        <v>0.5893876338808185</v>
      </c>
      <c r="U171" s="38">
        <f t="shared" si="92"/>
        <v>0.63419675561235589</v>
      </c>
      <c r="V171" s="38">
        <f t="shared" si="92"/>
        <v>0.67679744788690732</v>
      </c>
      <c r="W171" s="38">
        <f t="shared" si="92"/>
        <v>0.71665351174175596</v>
      </c>
      <c r="X171" s="43">
        <f t="shared" si="92"/>
        <v>0.75338559301743369</v>
      </c>
    </row>
    <row r="172" spans="2:24" x14ac:dyDescent="0.35">
      <c r="B172" s="55"/>
      <c r="C172" s="24">
        <v>0.45</v>
      </c>
      <c r="D172" s="42">
        <f t="shared" ref="D172:X172" si="93">1/(1+EXP(-D198))</f>
        <v>7.8276130101649535E-2</v>
      </c>
      <c r="E172" s="38">
        <f t="shared" si="93"/>
        <v>9.3031142560353206E-2</v>
      </c>
      <c r="F172" s="38">
        <f t="shared" si="93"/>
        <v>0.11023483278119565</v>
      </c>
      <c r="G172" s="38">
        <f t="shared" si="93"/>
        <v>0.13016332411713072</v>
      </c>
      <c r="H172" s="38">
        <f t="shared" si="93"/>
        <v>0.15307472190868832</v>
      </c>
      <c r="I172" s="38">
        <f t="shared" si="93"/>
        <v>0.1791882122120024</v>
      </c>
      <c r="J172" s="38">
        <f t="shared" si="93"/>
        <v>0.20865894883281502</v>
      </c>
      <c r="K172" s="38">
        <f t="shared" si="93"/>
        <v>0.24155029591453817</v>
      </c>
      <c r="L172" s="38">
        <f t="shared" si="93"/>
        <v>0.27780623573006674</v>
      </c>
      <c r="M172" s="38">
        <f t="shared" si="93"/>
        <v>0.31722795666541542</v>
      </c>
      <c r="N172" s="38">
        <f t="shared" si="93"/>
        <v>0.35945940463483961</v>
      </c>
      <c r="O172" s="38">
        <f t="shared" si="93"/>
        <v>0.40398644666545508</v>
      </c>
      <c r="P172" s="38">
        <f t="shared" si="93"/>
        <v>0.45015290798238072</v>
      </c>
      <c r="Q172" s="38">
        <f t="shared" si="93"/>
        <v>0.49719409664722536</v>
      </c>
      <c r="R172" s="38">
        <f t="shared" si="93"/>
        <v>0.54428501225880621</v>
      </c>
      <c r="S172" s="38">
        <f t="shared" si="93"/>
        <v>0.59059717568018688</v>
      </c>
      <c r="T172" s="38">
        <f t="shared" si="93"/>
        <v>0.63535596571149056</v>
      </c>
      <c r="U172" s="38">
        <f t="shared" si="93"/>
        <v>0.67789022513434072</v>
      </c>
      <c r="V172" s="38">
        <f t="shared" si="93"/>
        <v>0.71766774711755588</v>
      </c>
      <c r="W172" s="38">
        <f t="shared" si="93"/>
        <v>0.75431342164937842</v>
      </c>
      <c r="X172" s="43">
        <f t="shared" si="93"/>
        <v>0.7876102752447488</v>
      </c>
    </row>
    <row r="173" spans="2:24" x14ac:dyDescent="0.35">
      <c r="B173" s="55"/>
      <c r="C173" s="24">
        <v>0.4</v>
      </c>
      <c r="D173" s="42">
        <f t="shared" ref="D173:X173" si="94">1/(1+EXP(-D199))</f>
        <v>9.3453896124671712E-2</v>
      </c>
      <c r="E173" s="38">
        <f t="shared" si="94"/>
        <v>0.11072621944179535</v>
      </c>
      <c r="F173" s="38">
        <f t="shared" si="94"/>
        <v>0.13073049261905531</v>
      </c>
      <c r="G173" s="38">
        <f t="shared" si="94"/>
        <v>0.1537240803491616</v>
      </c>
      <c r="H173" s="38">
        <f t="shared" si="94"/>
        <v>0.17992481292611223</v>
      </c>
      <c r="I173" s="38">
        <f t="shared" si="94"/>
        <v>0.20948577788943221</v>
      </c>
      <c r="J173" s="38">
        <f t="shared" si="94"/>
        <v>0.2424675250822223</v>
      </c>
      <c r="K173" s="38">
        <f t="shared" si="94"/>
        <v>0.27881052863622757</v>
      </c>
      <c r="L173" s="38">
        <f t="shared" si="94"/>
        <v>0.31831194887945929</v>
      </c>
      <c r="M173" s="38">
        <f t="shared" si="94"/>
        <v>0.36061148747329219</v>
      </c>
      <c r="N173" s="38">
        <f t="shared" si="94"/>
        <v>0.40519096490131529</v>
      </c>
      <c r="O173" s="38">
        <f t="shared" si="94"/>
        <v>0.45139082676532866</v>
      </c>
      <c r="P173" s="38">
        <f t="shared" si="94"/>
        <v>0.49844410906273395</v>
      </c>
      <c r="Q173" s="38">
        <f t="shared" si="94"/>
        <v>0.54552496585879784</v>
      </c>
      <c r="R173" s="38">
        <f t="shared" si="94"/>
        <v>0.59180562213501509</v>
      </c>
      <c r="S173" s="38">
        <f t="shared" si="94"/>
        <v>0.63651360776886323</v>
      </c>
      <c r="T173" s="38">
        <f t="shared" si="94"/>
        <v>0.67898106011221449</v>
      </c>
      <c r="U173" s="38">
        <f t="shared" si="94"/>
        <v>0.71867977716978704</v>
      </c>
      <c r="V173" s="38">
        <f t="shared" si="94"/>
        <v>0.7552388936206742</v>
      </c>
      <c r="W173" s="38">
        <f t="shared" si="94"/>
        <v>0.78844549867923097</v>
      </c>
      <c r="X173" s="43">
        <f t="shared" si="94"/>
        <v>0.81823126170358307</v>
      </c>
    </row>
    <row r="174" spans="2:24" x14ac:dyDescent="0.35">
      <c r="B174" s="55"/>
      <c r="C174" s="24">
        <v>0.35</v>
      </c>
      <c r="D174" s="42">
        <f t="shared" ref="D174:X174" si="95">1/(1+EXP(-D200))</f>
        <v>0.11121952272478576</v>
      </c>
      <c r="E174" s="38">
        <f t="shared" si="95"/>
        <v>0.13129975943300923</v>
      </c>
      <c r="F174" s="38">
        <f t="shared" si="95"/>
        <v>0.15437569132324511</v>
      </c>
      <c r="G174" s="38">
        <f t="shared" si="95"/>
        <v>0.1806637751603492</v>
      </c>
      <c r="H174" s="38">
        <f t="shared" si="95"/>
        <v>0.21031501256228169</v>
      </c>
      <c r="I174" s="38">
        <f t="shared" si="95"/>
        <v>0.24338711952335251</v>
      </c>
      <c r="J174" s="38">
        <f t="shared" si="95"/>
        <v>0.27981704545301056</v>
      </c>
      <c r="K174" s="38">
        <f t="shared" si="95"/>
        <v>0.31939791242267024</v>
      </c>
      <c r="L174" s="38">
        <f t="shared" si="95"/>
        <v>0.36176517734691221</v>
      </c>
      <c r="M174" s="38">
        <f t="shared" si="95"/>
        <v>0.4063966257022204</v>
      </c>
      <c r="N174" s="38">
        <f t="shared" si="95"/>
        <v>0.45262934745314198</v>
      </c>
      <c r="O174" s="38">
        <f t="shared" si="95"/>
        <v>0.49969414092775699</v>
      </c>
      <c r="P174" s="38">
        <f t="shared" si="95"/>
        <v>0.54676435508334098</v>
      </c>
      <c r="Q174" s="38">
        <f t="shared" si="95"/>
        <v>0.59301295964671474</v>
      </c>
      <c r="R174" s="38">
        <f t="shared" si="95"/>
        <v>0.63766967052201617</v>
      </c>
      <c r="S174" s="38">
        <f t="shared" si="95"/>
        <v>0.68006994439432955</v>
      </c>
      <c r="T174" s="38">
        <f t="shared" si="95"/>
        <v>0.7196895964736223</v>
      </c>
      <c r="U174" s="38">
        <f t="shared" si="95"/>
        <v>0.7561620063737402</v>
      </c>
      <c r="V174" s="38">
        <f t="shared" si="95"/>
        <v>0.78927831635306145</v>
      </c>
      <c r="W174" s="38">
        <f t="shared" si="95"/>
        <v>0.81897374495726261</v>
      </c>
      <c r="X174" s="43">
        <f t="shared" si="95"/>
        <v>0.84530461429568915</v>
      </c>
    </row>
    <row r="175" spans="2:24" x14ac:dyDescent="0.35">
      <c r="B175" s="55"/>
      <c r="C175" s="24">
        <v>0.3</v>
      </c>
      <c r="D175" s="42">
        <f t="shared" ref="D175:X175" si="96">1/(1+EXP(-D201))</f>
        <v>0.13187112906923751</v>
      </c>
      <c r="E175" s="38">
        <f t="shared" si="96"/>
        <v>0.15502955838384991</v>
      </c>
      <c r="F175" s="38">
        <f t="shared" si="96"/>
        <v>0.18140510100737475</v>
      </c>
      <c r="G175" s="38">
        <f t="shared" si="96"/>
        <v>0.21114665295389629</v>
      </c>
      <c r="H175" s="38">
        <f t="shared" si="96"/>
        <v>0.24430907685874356</v>
      </c>
      <c r="I175" s="38">
        <f t="shared" si="96"/>
        <v>0.28082578095161859</v>
      </c>
      <c r="J175" s="38">
        <f t="shared" si="96"/>
        <v>0.32048583906518857</v>
      </c>
      <c r="K175" s="38">
        <f t="shared" si="96"/>
        <v>0.36292046316848153</v>
      </c>
      <c r="L175" s="38">
        <f t="shared" si="96"/>
        <v>0.4076034156016865</v>
      </c>
      <c r="M175" s="38">
        <f t="shared" si="96"/>
        <v>0.45386845499136103</v>
      </c>
      <c r="N175" s="38">
        <f t="shared" si="96"/>
        <v>0.50094417661622648</v>
      </c>
      <c r="O175" s="38">
        <f t="shared" si="96"/>
        <v>0.54800316483512534</v>
      </c>
      <c r="P175" s="38">
        <f t="shared" si="96"/>
        <v>0.59421917466934093</v>
      </c>
      <c r="Q175" s="38">
        <f t="shared" si="96"/>
        <v>0.63882414277863053</v>
      </c>
      <c r="R175" s="38">
        <f t="shared" si="96"/>
        <v>0.68115686963327948</v>
      </c>
      <c r="S175" s="38">
        <f t="shared" si="96"/>
        <v>0.72069719968305823</v>
      </c>
      <c r="T175" s="38">
        <f t="shared" si="96"/>
        <v>0.7570827574228528</v>
      </c>
      <c r="U175" s="38">
        <f t="shared" si="96"/>
        <v>0.79010872827969403</v>
      </c>
      <c r="V175" s="38">
        <f t="shared" si="96"/>
        <v>0.8197138635907828</v>
      </c>
      <c r="W175" s="38">
        <f t="shared" si="96"/>
        <v>0.84595732886667374</v>
      </c>
      <c r="X175" s="43">
        <f t="shared" si="96"/>
        <v>0.8689911933375124</v>
      </c>
    </row>
    <row r="176" spans="2:24" x14ac:dyDescent="0.35">
      <c r="B176" s="55"/>
      <c r="C176" s="24">
        <v>0.25</v>
      </c>
      <c r="D176" s="42">
        <f t="shared" ref="D176:X176" si="97">1/(1+EXP(-D202))</f>
        <v>0.15568568505193181</v>
      </c>
      <c r="E176" s="38">
        <f t="shared" si="97"/>
        <v>0.18214879251397609</v>
      </c>
      <c r="F176" s="38">
        <f t="shared" si="97"/>
        <v>0.21198069910708445</v>
      </c>
      <c r="G176" s="38">
        <f t="shared" si="97"/>
        <v>0.24523339463774035</v>
      </c>
      <c r="H176" s="38">
        <f t="shared" si="97"/>
        <v>0.28183672982458613</v>
      </c>
      <c r="I176" s="38">
        <f t="shared" si="97"/>
        <v>0.32157572049820482</v>
      </c>
      <c r="J176" s="38">
        <f t="shared" si="97"/>
        <v>0.3640773337801308</v>
      </c>
      <c r="K176" s="38">
        <f t="shared" si="97"/>
        <v>0.40881132107973983</v>
      </c>
      <c r="L176" s="38">
        <f t="shared" si="97"/>
        <v>0.45510813429657782</v>
      </c>
      <c r="M176" s="38">
        <f t="shared" si="97"/>
        <v>0.50219420050188346</v>
      </c>
      <c r="N176" s="38">
        <f t="shared" si="97"/>
        <v>0.54924138004543432</v>
      </c>
      <c r="O176" s="38">
        <f t="shared" si="97"/>
        <v>0.59542425371016472</v>
      </c>
      <c r="P176" s="38">
        <f t="shared" si="97"/>
        <v>0.63997701341687085</v>
      </c>
      <c r="Q176" s="38">
        <f t="shared" si="97"/>
        <v>0.6822418275605574</v>
      </c>
      <c r="R176" s="38">
        <f t="shared" si="97"/>
        <v>0.72170258153081457</v>
      </c>
      <c r="S176" s="38">
        <f t="shared" si="97"/>
        <v>0.75800114435388422</v>
      </c>
      <c r="T176" s="38">
        <f t="shared" si="97"/>
        <v>0.79093673453247881</v>
      </c>
      <c r="U176" s="38">
        <f t="shared" si="97"/>
        <v>0.82045161967440228</v>
      </c>
      <c r="V176" s="38">
        <f t="shared" si="97"/>
        <v>0.84660778916142487</v>
      </c>
      <c r="W176" s="38">
        <f t="shared" si="97"/>
        <v>0.869559388104995</v>
      </c>
      <c r="X176" s="43">
        <f t="shared" si="97"/>
        <v>0.88952494132084781</v>
      </c>
    </row>
    <row r="177" spans="2:24" x14ac:dyDescent="0.35">
      <c r="B177" s="55"/>
      <c r="C177" s="24">
        <v>0.2</v>
      </c>
      <c r="D177" s="42">
        <f t="shared" ref="D177:X177" si="98">1/(1+EXP(-D203))</f>
        <v>0.18289485168069095</v>
      </c>
      <c r="E177" s="38">
        <f t="shared" si="98"/>
        <v>0.21281715100458104</v>
      </c>
      <c r="F177" s="38">
        <f t="shared" si="98"/>
        <v>0.24616007033795836</v>
      </c>
      <c r="G177" s="38">
        <f t="shared" si="98"/>
        <v>0.28284988668567163</v>
      </c>
      <c r="H177" s="38">
        <f t="shared" si="98"/>
        <v>0.32266754833406441</v>
      </c>
      <c r="I177" s="38">
        <f t="shared" si="98"/>
        <v>0.36523577795368106</v>
      </c>
      <c r="J177" s="38">
        <f t="shared" si="98"/>
        <v>0.41002032856348275</v>
      </c>
      <c r="K177" s="38">
        <f t="shared" si="98"/>
        <v>0.4563483702571593</v>
      </c>
      <c r="L177" s="38">
        <f t="shared" si="98"/>
        <v>0.50344419695905962</v>
      </c>
      <c r="M177" s="38">
        <f t="shared" si="98"/>
        <v>0.5504789856748693</v>
      </c>
      <c r="N177" s="38">
        <f t="shared" si="98"/>
        <v>0.59662818333023182</v>
      </c>
      <c r="O177" s="38">
        <f t="shared" si="98"/>
        <v>0.64112827138572792</v>
      </c>
      <c r="P177" s="38">
        <f t="shared" si="98"/>
        <v>0.68332480998665623</v>
      </c>
      <c r="Q177" s="38">
        <f t="shared" si="98"/>
        <v>0.72270573682822448</v>
      </c>
      <c r="R177" s="38">
        <f t="shared" si="98"/>
        <v>0.75891716482404326</v>
      </c>
      <c r="S177" s="38">
        <f t="shared" si="98"/>
        <v>0.79176233524431139</v>
      </c>
      <c r="T177" s="38">
        <f t="shared" si="98"/>
        <v>0.82118701532406346</v>
      </c>
      <c r="U177" s="38">
        <f t="shared" si="98"/>
        <v>0.84725599874903412</v>
      </c>
      <c r="V177" s="38">
        <f t="shared" si="98"/>
        <v>0.87012548687093738</v>
      </c>
      <c r="W177" s="38">
        <f t="shared" si="98"/>
        <v>0.89001535122156106</v>
      </c>
      <c r="X177" s="43">
        <f t="shared" si="98"/>
        <v>0.90718406967654597</v>
      </c>
    </row>
    <row r="178" spans="2:24" x14ac:dyDescent="0.35">
      <c r="B178" s="55"/>
      <c r="C178" s="24">
        <v>0.15</v>
      </c>
      <c r="D178" s="42">
        <f t="shared" ref="D178:X178" si="99">1/(1+EXP(-D204))</f>
        <v>0.21365600856870129</v>
      </c>
      <c r="E178" s="38">
        <f t="shared" si="99"/>
        <v>0.24708910136502585</v>
      </c>
      <c r="F178" s="38">
        <f t="shared" si="99"/>
        <v>0.28386524606975766</v>
      </c>
      <c r="G178" s="38">
        <f t="shared" si="99"/>
        <v>0.32376131410637793</v>
      </c>
      <c r="H178" s="38">
        <f t="shared" si="99"/>
        <v>0.36639578439099418</v>
      </c>
      <c r="I178" s="38">
        <f t="shared" si="99"/>
        <v>0.41123042442766372</v>
      </c>
      <c r="J178" s="38">
        <f t="shared" si="99"/>
        <v>0.45758914773397552</v>
      </c>
      <c r="K178" s="38">
        <f t="shared" si="99"/>
        <v>0.50469415036345799</v>
      </c>
      <c r="L178" s="38">
        <f t="shared" si="99"/>
        <v>0.55171596671406919</v>
      </c>
      <c r="M178" s="38">
        <f t="shared" si="99"/>
        <v>0.59783095014492249</v>
      </c>
      <c r="N178" s="38">
        <f t="shared" si="99"/>
        <v>0.64227790570534871</v>
      </c>
      <c r="O178" s="38">
        <f t="shared" si="99"/>
        <v>0.68440580880116575</v>
      </c>
      <c r="P178" s="38">
        <f t="shared" si="99"/>
        <v>0.72370666046511933</v>
      </c>
      <c r="Q178" s="38">
        <f t="shared" si="99"/>
        <v>0.75983081656160867</v>
      </c>
      <c r="R178" s="38">
        <f t="shared" si="99"/>
        <v>0.79258553060728421</v>
      </c>
      <c r="S178" s="38">
        <f t="shared" si="99"/>
        <v>0.82192005270101487</v>
      </c>
      <c r="T178" s="38">
        <f t="shared" si="99"/>
        <v>0.84790196123001349</v>
      </c>
      <c r="U178" s="38">
        <f t="shared" si="99"/>
        <v>0.87068949417428876</v>
      </c>
      <c r="V178" s="38">
        <f t="shared" si="99"/>
        <v>0.89050385211878436</v>
      </c>
      <c r="W178" s="38">
        <f t="shared" si="99"/>
        <v>0.90760423143794433</v>
      </c>
      <c r="X178" s="43">
        <f t="shared" si="99"/>
        <v>0.92226710851926008</v>
      </c>
    </row>
    <row r="179" spans="2:24" x14ac:dyDescent="0.35">
      <c r="B179" s="55"/>
      <c r="C179" s="24">
        <v>0.1</v>
      </c>
      <c r="D179" s="42">
        <f t="shared" ref="D179:X179" si="100">1/(1+EXP(-D205))</f>
        <v>0.24802048505233035</v>
      </c>
      <c r="E179" s="38">
        <f t="shared" si="100"/>
        <v>0.28488280243275316</v>
      </c>
      <c r="F179" s="38">
        <f t="shared" si="100"/>
        <v>0.32485700927013778</v>
      </c>
      <c r="G179" s="38">
        <f t="shared" si="100"/>
        <v>0.36755734172432647</v>
      </c>
      <c r="H179" s="38">
        <f t="shared" si="100"/>
        <v>0.41244159499525362</v>
      </c>
      <c r="I179" s="38">
        <f t="shared" si="100"/>
        <v>0.45883045156112834</v>
      </c>
      <c r="J179" s="38">
        <f t="shared" si="100"/>
        <v>0.50594404509293367</v>
      </c>
      <c r="K179" s="38">
        <f t="shared" si="100"/>
        <v>0.55295230818442487</v>
      </c>
      <c r="L179" s="38">
        <f t="shared" si="100"/>
        <v>0.59903254082450241</v>
      </c>
      <c r="M179" s="38">
        <f t="shared" si="100"/>
        <v>0.643425905467365</v>
      </c>
      <c r="N179" s="38">
        <f t="shared" si="100"/>
        <v>0.68548481597286004</v>
      </c>
      <c r="O179" s="38">
        <f t="shared" si="100"/>
        <v>0.72470534740971337</v>
      </c>
      <c r="P179" s="38">
        <f t="shared" si="100"/>
        <v>0.76074209736566001</v>
      </c>
      <c r="Q179" s="38">
        <f t="shared" si="100"/>
        <v>0.79340632087233354</v>
      </c>
      <c r="R179" s="38">
        <f t="shared" si="100"/>
        <v>0.82265073401143718</v>
      </c>
      <c r="S179" s="38">
        <f t="shared" si="100"/>
        <v>0.84854568023593935</v>
      </c>
      <c r="T179" s="38">
        <f t="shared" si="100"/>
        <v>0.87125141457261868</v>
      </c>
      <c r="U179" s="38">
        <f t="shared" si="100"/>
        <v>0.89099044906652569</v>
      </c>
      <c r="V179" s="38">
        <f t="shared" si="100"/>
        <v>0.90802268403870767</v>
      </c>
      <c r="W179" s="38">
        <f t="shared" si="100"/>
        <v>0.92262481552439113</v>
      </c>
      <c r="X179" s="43">
        <f t="shared" si="100"/>
        <v>0.93507449876659565</v>
      </c>
    </row>
    <row r="180" spans="2:24" x14ac:dyDescent="0.35">
      <c r="B180" s="55"/>
      <c r="C180" s="24">
        <v>0.05</v>
      </c>
      <c r="D180" s="42">
        <f t="shared" ref="D180:X180" si="101">1/(1+EXP(-D206))</f>
        <v>0.28590255015150395</v>
      </c>
      <c r="E180" s="38">
        <f t="shared" si="101"/>
        <v>0.32595462520184104</v>
      </c>
      <c r="F180" s="38">
        <f t="shared" si="101"/>
        <v>0.36872043851669212</v>
      </c>
      <c r="G180" s="38">
        <f t="shared" si="101"/>
        <v>0.41365382653802596</v>
      </c>
      <c r="H180" s="38">
        <f t="shared" si="101"/>
        <v>0.46007226654668559</v>
      </c>
      <c r="I180" s="38">
        <f t="shared" si="101"/>
        <v>0.50719386552827583</v>
      </c>
      <c r="J180" s="38">
        <f t="shared" si="101"/>
        <v>0.55418799513879535</v>
      </c>
      <c r="K180" s="38">
        <f t="shared" si="101"/>
        <v>0.60023294209466937</v>
      </c>
      <c r="L180" s="38">
        <f t="shared" si="101"/>
        <v>0.64457225983521327</v>
      </c>
      <c r="M180" s="38">
        <f t="shared" si="101"/>
        <v>0.68656182354978124</v>
      </c>
      <c r="N180" s="38">
        <f t="shared" si="101"/>
        <v>0.72570179270847845</v>
      </c>
      <c r="O180" s="38">
        <f t="shared" si="101"/>
        <v>0.76165100510580874</v>
      </c>
      <c r="P180" s="38">
        <f t="shared" si="101"/>
        <v>0.79422470634888565</v>
      </c>
      <c r="Q180" s="38">
        <f t="shared" si="101"/>
        <v>0.82337906150606799</v>
      </c>
      <c r="R180" s="38">
        <f t="shared" si="101"/>
        <v>0.84918715942910339</v>
      </c>
      <c r="S180" s="38">
        <f t="shared" si="101"/>
        <v>0.87181125264181392</v>
      </c>
      <c r="T180" s="38">
        <f t="shared" si="101"/>
        <v>0.89147514712689047</v>
      </c>
      <c r="U180" s="38">
        <f t="shared" si="101"/>
        <v>0.90843943268751381</v>
      </c>
      <c r="V180" s="38">
        <f t="shared" si="101"/>
        <v>0.92298101391750798</v>
      </c>
      <c r="W180" s="38">
        <f t="shared" si="101"/>
        <v>0.93537739904618278</v>
      </c>
      <c r="X180" s="43">
        <f t="shared" si="101"/>
        <v>0.9458955159031136</v>
      </c>
    </row>
    <row r="181" spans="2:24" ht="15" thickBot="1" x14ac:dyDescent="0.4">
      <c r="B181" s="56"/>
      <c r="C181" s="25">
        <v>0</v>
      </c>
      <c r="D181" s="44">
        <f t="shared" ref="D181:X181" si="102">1/(1+EXP(-D207))</f>
        <v>0.32705415319961861</v>
      </c>
      <c r="E181" s="45">
        <f t="shared" si="102"/>
        <v>0.36988506326222953</v>
      </c>
      <c r="F181" s="45">
        <f t="shared" si="102"/>
        <v>0.41486710527714399</v>
      </c>
      <c r="G181" s="45">
        <f t="shared" si="102"/>
        <v>0.46131457747341531</v>
      </c>
      <c r="H181" s="45">
        <f t="shared" si="102"/>
        <v>0.50844359605398748</v>
      </c>
      <c r="I181" s="45">
        <f t="shared" si="102"/>
        <v>0.55542301266221583</v>
      </c>
      <c r="J181" s="45">
        <f t="shared" si="102"/>
        <v>0.60143214073709528</v>
      </c>
      <c r="K181" s="45">
        <f t="shared" si="102"/>
        <v>0.64571695804444884</v>
      </c>
      <c r="L181" s="45">
        <f t="shared" si="102"/>
        <v>0.68763682365931689</v>
      </c>
      <c r="M181" s="45">
        <f t="shared" si="102"/>
        <v>0.72669599148601727</v>
      </c>
      <c r="N181" s="45">
        <f t="shared" si="102"/>
        <v>0.7625575377219217</v>
      </c>
      <c r="O181" s="45">
        <f t="shared" si="102"/>
        <v>0.7950406874045044</v>
      </c>
      <c r="P181" s="45">
        <f t="shared" si="102"/>
        <v>0.82410503747982522</v>
      </c>
      <c r="Q181" s="45">
        <f t="shared" si="102"/>
        <v>0.8498264025021588</v>
      </c>
      <c r="R181" s="45">
        <f t="shared" si="102"/>
        <v>0.87236901297577885</v>
      </c>
      <c r="S181" s="45">
        <f t="shared" si="102"/>
        <v>0.89195795136984157</v>
      </c>
      <c r="T181" s="45">
        <f t="shared" si="102"/>
        <v>0.90885448259313495</v>
      </c>
      <c r="U181" s="45">
        <f t="shared" si="102"/>
        <v>0.92333570879764848</v>
      </c>
      <c r="V181" s="45">
        <f t="shared" si="102"/>
        <v>0.93567898339499378</v>
      </c>
      <c r="W181" s="45">
        <f t="shared" si="102"/>
        <v>0.9461508396036904</v>
      </c>
      <c r="X181" s="46">
        <f t="shared" si="102"/>
        <v>0.95499980733572543</v>
      </c>
    </row>
    <row r="182" spans="2:24" x14ac:dyDescent="0.35">
      <c r="C182" s="9"/>
      <c r="D182" s="28">
        <v>0</v>
      </c>
      <c r="E182" s="26">
        <v>0.05</v>
      </c>
      <c r="F182" s="26">
        <v>0.1</v>
      </c>
      <c r="G182" s="26">
        <v>0.15</v>
      </c>
      <c r="H182" s="26">
        <v>0.2</v>
      </c>
      <c r="I182" s="26">
        <v>0.25</v>
      </c>
      <c r="J182" s="26">
        <v>0.3</v>
      </c>
      <c r="K182" s="26">
        <v>0.35</v>
      </c>
      <c r="L182" s="26">
        <v>0.4</v>
      </c>
      <c r="M182" s="26">
        <v>0.45</v>
      </c>
      <c r="N182" s="26">
        <v>0.5</v>
      </c>
      <c r="O182" s="26">
        <v>0.55000000000000004</v>
      </c>
      <c r="P182" s="26">
        <v>0.6</v>
      </c>
      <c r="Q182" s="26">
        <v>0.65</v>
      </c>
      <c r="R182" s="26">
        <v>0.7</v>
      </c>
      <c r="S182" s="26">
        <v>0.75</v>
      </c>
      <c r="T182" s="26">
        <v>0.8</v>
      </c>
      <c r="U182" s="26">
        <v>0.85</v>
      </c>
      <c r="V182" s="26">
        <v>0.9</v>
      </c>
      <c r="W182" s="26">
        <v>0.95</v>
      </c>
      <c r="X182" s="27">
        <v>1</v>
      </c>
    </row>
    <row r="183" spans="2:24" ht="21.5" thickBot="1" x14ac:dyDescent="0.55000000000000004">
      <c r="C183" s="9"/>
      <c r="D183" s="57" t="s">
        <v>64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9"/>
    </row>
    <row r="185" spans="2:24" ht="15" thickBot="1" x14ac:dyDescent="0.4"/>
    <row r="186" spans="2:24" ht="21.5" thickBot="1" x14ac:dyDescent="0.55000000000000004">
      <c r="B186" s="60" t="s">
        <v>16</v>
      </c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2"/>
    </row>
    <row r="187" spans="2:24" x14ac:dyDescent="0.35">
      <c r="B187" s="54" t="s">
        <v>6</v>
      </c>
      <c r="C187" s="27">
        <v>1</v>
      </c>
      <c r="D187" s="29">
        <f>(D$208 * $P$5) + $P$8 + ($C187 * $P$6) + $P$9</f>
        <v>-4.5981255109156978</v>
      </c>
      <c r="E187" s="30">
        <f t="shared" ref="E187:T202" si="103">(E$208 * $P$5) + $P$8 + ($C187 * $P$6) + $P$9</f>
        <v>-4.4092963376518828</v>
      </c>
      <c r="F187" s="30">
        <f t="shared" si="103"/>
        <v>-4.2204671643880669</v>
      </c>
      <c r="G187" s="30">
        <f>(G$208 * $P$5) + $P$8 + ($C187 * $P$6) + $P$9</f>
        <v>-4.0316379911242528</v>
      </c>
      <c r="H187" s="30">
        <f t="shared" ref="H187:X201" si="104">(H$208 * $P$5) + $P$8 + ($C187 * $P$6) + $P$9</f>
        <v>-3.8428088178604369</v>
      </c>
      <c r="I187" s="30">
        <f t="shared" si="104"/>
        <v>-3.6539796445966219</v>
      </c>
      <c r="J187" s="30">
        <f t="shared" si="104"/>
        <v>-3.4651504713328065</v>
      </c>
      <c r="K187" s="30">
        <f t="shared" si="104"/>
        <v>-3.2763212980689915</v>
      </c>
      <c r="L187" s="30">
        <f t="shared" si="104"/>
        <v>-3.0874921248051761</v>
      </c>
      <c r="M187" s="30">
        <f t="shared" si="104"/>
        <v>-2.8986629515413611</v>
      </c>
      <c r="N187" s="30">
        <f t="shared" si="104"/>
        <v>-2.7098337782775457</v>
      </c>
      <c r="O187" s="30">
        <f t="shared" si="104"/>
        <v>-2.5210046050137307</v>
      </c>
      <c r="P187" s="30">
        <f t="shared" si="104"/>
        <v>-2.3321754317499157</v>
      </c>
      <c r="Q187" s="30">
        <f t="shared" si="104"/>
        <v>-2.1433462584860998</v>
      </c>
      <c r="R187" s="30">
        <f t="shared" si="104"/>
        <v>-1.9545170852222857</v>
      </c>
      <c r="S187" s="30">
        <f t="shared" si="104"/>
        <v>-1.7656879119584699</v>
      </c>
      <c r="T187" s="30">
        <f t="shared" si="104"/>
        <v>-1.576858738694654</v>
      </c>
      <c r="U187" s="30">
        <f t="shared" si="104"/>
        <v>-1.3880295654308399</v>
      </c>
      <c r="V187" s="30">
        <f t="shared" si="104"/>
        <v>-1.199200392167024</v>
      </c>
      <c r="W187" s="30">
        <f t="shared" si="104"/>
        <v>-1.0103712189032099</v>
      </c>
      <c r="X187" s="31">
        <f t="shared" si="104"/>
        <v>-0.82154204563939404</v>
      </c>
    </row>
    <row r="188" spans="2:24" x14ac:dyDescent="0.35">
      <c r="B188" s="55"/>
      <c r="C188" s="24">
        <v>0.95</v>
      </c>
      <c r="D188" s="32">
        <f>(D$208 * $P$5) + $P$8 + ($C188 * $P$6) + $P$9</f>
        <v>-4.4042961902563009</v>
      </c>
      <c r="E188" s="33">
        <f>(E$208 * $P$5) + $P$8 + ($C188 * $P$6) + $P$9</f>
        <v>-4.2154670169924859</v>
      </c>
      <c r="F188" s="33">
        <f t="shared" si="103"/>
        <v>-4.0266378437286701</v>
      </c>
      <c r="G188" s="33">
        <f t="shared" si="103"/>
        <v>-3.8378086704648555</v>
      </c>
      <c r="H188" s="33">
        <f t="shared" si="104"/>
        <v>-3.6489794972010401</v>
      </c>
      <c r="I188" s="33">
        <f t="shared" si="104"/>
        <v>-3.4601503239372251</v>
      </c>
      <c r="J188" s="33">
        <f>(J$208 * $P$5) + $P$8 + ($C188 * $P$6) + $P$9</f>
        <v>-3.2713211506734097</v>
      </c>
      <c r="K188" s="33">
        <f t="shared" si="104"/>
        <v>-3.0824919774095947</v>
      </c>
      <c r="L188" s="33">
        <f t="shared" si="104"/>
        <v>-2.8936628041457793</v>
      </c>
      <c r="M188" s="33">
        <f t="shared" si="104"/>
        <v>-2.7048336308819643</v>
      </c>
      <c r="N188" s="33">
        <f t="shared" si="104"/>
        <v>-2.5160044576181488</v>
      </c>
      <c r="O188" s="33">
        <f t="shared" si="104"/>
        <v>-2.3271752843543339</v>
      </c>
      <c r="P188" s="33">
        <f t="shared" si="104"/>
        <v>-2.1383461110905189</v>
      </c>
      <c r="Q188" s="33">
        <f t="shared" si="104"/>
        <v>-1.949516937826703</v>
      </c>
      <c r="R188" s="33">
        <f t="shared" si="104"/>
        <v>-1.7606877645628889</v>
      </c>
      <c r="S188" s="33">
        <f t="shared" si="104"/>
        <v>-1.571858591299073</v>
      </c>
      <c r="T188" s="33">
        <f t="shared" si="104"/>
        <v>-1.3830294180352571</v>
      </c>
      <c r="U188" s="33">
        <f t="shared" si="104"/>
        <v>-1.194200244771443</v>
      </c>
      <c r="V188" s="33">
        <f t="shared" si="104"/>
        <v>-1.0053710715076272</v>
      </c>
      <c r="W188" s="33">
        <f t="shared" si="104"/>
        <v>-0.81654189824381307</v>
      </c>
      <c r="X188" s="34">
        <f t="shared" si="104"/>
        <v>-0.62771272497999719</v>
      </c>
    </row>
    <row r="189" spans="2:24" x14ac:dyDescent="0.35">
      <c r="B189" s="55"/>
      <c r="C189" s="24">
        <v>0.9</v>
      </c>
      <c r="D189" s="32">
        <f t="shared" ref="D189:S207" si="105">(D$208 * $P$5) + $P$8 + ($C189 * $P$6) + $P$9</f>
        <v>-4.210466869596905</v>
      </c>
      <c r="E189" s="33">
        <f t="shared" si="105"/>
        <v>-4.0216376963330891</v>
      </c>
      <c r="F189" s="33">
        <f t="shared" si="103"/>
        <v>-3.8328085230692741</v>
      </c>
      <c r="G189" s="33">
        <f t="shared" si="103"/>
        <v>-3.6439793498054591</v>
      </c>
      <c r="H189" s="33">
        <f t="shared" si="104"/>
        <v>-3.4551501765416437</v>
      </c>
      <c r="I189" s="33">
        <f t="shared" si="104"/>
        <v>-3.2663210032778287</v>
      </c>
      <c r="J189" s="33">
        <f t="shared" si="104"/>
        <v>-3.0774918300140133</v>
      </c>
      <c r="K189" s="33">
        <f t="shared" si="104"/>
        <v>-2.8886626567501983</v>
      </c>
      <c r="L189" s="33">
        <f t="shared" si="104"/>
        <v>-2.6998334834863829</v>
      </c>
      <c r="M189" s="33">
        <f t="shared" si="104"/>
        <v>-2.5110043102225679</v>
      </c>
      <c r="N189" s="33">
        <f t="shared" si="104"/>
        <v>-2.3221751369587524</v>
      </c>
      <c r="O189" s="33">
        <f t="shared" si="104"/>
        <v>-2.1333459636949375</v>
      </c>
      <c r="P189" s="33">
        <f t="shared" si="104"/>
        <v>-1.9445167904311225</v>
      </c>
      <c r="Q189" s="33">
        <f t="shared" si="104"/>
        <v>-1.7556876171673066</v>
      </c>
      <c r="R189" s="33">
        <f t="shared" si="104"/>
        <v>-1.5668584439034925</v>
      </c>
      <c r="S189" s="33">
        <f t="shared" si="104"/>
        <v>-1.3780292706396766</v>
      </c>
      <c r="T189" s="33">
        <f t="shared" si="104"/>
        <v>-1.1892000973758607</v>
      </c>
      <c r="U189" s="33">
        <f t="shared" si="104"/>
        <v>-1.0003709241120466</v>
      </c>
      <c r="V189" s="33">
        <f t="shared" si="104"/>
        <v>-0.81154175084823077</v>
      </c>
      <c r="W189" s="33">
        <f t="shared" si="104"/>
        <v>-0.62271257758441667</v>
      </c>
      <c r="X189" s="34">
        <f t="shared" si="104"/>
        <v>-0.4338834043206008</v>
      </c>
    </row>
    <row r="190" spans="2:24" x14ac:dyDescent="0.35">
      <c r="B190" s="55"/>
      <c r="C190" s="24">
        <v>0.85</v>
      </c>
      <c r="D190" s="32">
        <f t="shared" si="105"/>
        <v>-4.0166375489375081</v>
      </c>
      <c r="E190" s="33">
        <f t="shared" si="105"/>
        <v>-3.8278083756736923</v>
      </c>
      <c r="F190" s="33">
        <f t="shared" si="103"/>
        <v>-3.6389792024098773</v>
      </c>
      <c r="G190" s="33">
        <f t="shared" si="103"/>
        <v>-3.4501500291460623</v>
      </c>
      <c r="H190" s="33">
        <f t="shared" si="104"/>
        <v>-3.2613208558822468</v>
      </c>
      <c r="I190" s="33">
        <f t="shared" si="104"/>
        <v>-3.0724916826184319</v>
      </c>
      <c r="J190" s="33">
        <f t="shared" si="104"/>
        <v>-2.8836625093546164</v>
      </c>
      <c r="K190" s="33">
        <f t="shared" si="104"/>
        <v>-2.6948333360908014</v>
      </c>
      <c r="L190" s="33">
        <f t="shared" si="104"/>
        <v>-2.506004162826986</v>
      </c>
      <c r="M190" s="33">
        <f t="shared" si="104"/>
        <v>-2.317174989563171</v>
      </c>
      <c r="N190" s="33">
        <f t="shared" si="104"/>
        <v>-2.1283458162993556</v>
      </c>
      <c r="O190" s="33">
        <f t="shared" si="104"/>
        <v>-1.9395166430355406</v>
      </c>
      <c r="P190" s="33">
        <f t="shared" si="104"/>
        <v>-1.7506874697717256</v>
      </c>
      <c r="Q190" s="33">
        <f t="shared" si="104"/>
        <v>-1.5618582965079097</v>
      </c>
      <c r="R190" s="33">
        <f t="shared" si="104"/>
        <v>-1.3730291232440957</v>
      </c>
      <c r="S190" s="33">
        <f t="shared" si="104"/>
        <v>-1.1841999499802798</v>
      </c>
      <c r="T190" s="33">
        <f t="shared" si="104"/>
        <v>-0.9953707767164639</v>
      </c>
      <c r="U190" s="33">
        <f t="shared" si="104"/>
        <v>-0.8065416034526498</v>
      </c>
      <c r="V190" s="33">
        <f t="shared" si="104"/>
        <v>-0.61771243018883393</v>
      </c>
      <c r="W190" s="33">
        <f t="shared" si="104"/>
        <v>-0.42888325692501983</v>
      </c>
      <c r="X190" s="34">
        <f t="shared" si="104"/>
        <v>-0.24005408366120395</v>
      </c>
    </row>
    <row r="191" spans="2:24" x14ac:dyDescent="0.35">
      <c r="B191" s="55"/>
      <c r="C191" s="24">
        <v>0.8</v>
      </c>
      <c r="D191" s="32">
        <f t="shared" si="105"/>
        <v>-3.8228082282781117</v>
      </c>
      <c r="E191" s="33">
        <f t="shared" si="105"/>
        <v>-3.6339790550142963</v>
      </c>
      <c r="F191" s="33">
        <f t="shared" si="103"/>
        <v>-3.4451498817504813</v>
      </c>
      <c r="G191" s="33">
        <f t="shared" si="103"/>
        <v>-3.2563207084866663</v>
      </c>
      <c r="H191" s="33">
        <f t="shared" si="104"/>
        <v>-3.0674915352228509</v>
      </c>
      <c r="I191" s="33">
        <f t="shared" si="104"/>
        <v>-2.8786623619590359</v>
      </c>
      <c r="J191" s="33">
        <f t="shared" si="104"/>
        <v>-2.6898331886952205</v>
      </c>
      <c r="K191" s="33">
        <f t="shared" si="104"/>
        <v>-2.5010040154314055</v>
      </c>
      <c r="L191" s="33">
        <f t="shared" si="104"/>
        <v>-2.3121748421675901</v>
      </c>
      <c r="M191" s="33">
        <f t="shared" si="104"/>
        <v>-2.1233456689037751</v>
      </c>
      <c r="N191" s="33">
        <f t="shared" si="104"/>
        <v>-1.9345164956399596</v>
      </c>
      <c r="O191" s="33">
        <f t="shared" si="104"/>
        <v>-1.7456873223761447</v>
      </c>
      <c r="P191" s="33">
        <f t="shared" si="104"/>
        <v>-1.5568581491123297</v>
      </c>
      <c r="Q191" s="33">
        <f t="shared" si="104"/>
        <v>-1.3680289758485138</v>
      </c>
      <c r="R191" s="33">
        <f t="shared" si="104"/>
        <v>-1.1791998025846997</v>
      </c>
      <c r="S191" s="33">
        <f t="shared" si="104"/>
        <v>-0.99037062932088382</v>
      </c>
      <c r="T191" s="33">
        <f t="shared" si="104"/>
        <v>-0.80154145605706795</v>
      </c>
      <c r="U191" s="33">
        <f t="shared" si="104"/>
        <v>-0.61271228279325385</v>
      </c>
      <c r="V191" s="33">
        <f t="shared" si="104"/>
        <v>-0.42388310952943797</v>
      </c>
      <c r="W191" s="33">
        <f t="shared" si="104"/>
        <v>-0.23505393626562388</v>
      </c>
      <c r="X191" s="34">
        <f t="shared" si="104"/>
        <v>-4.6224763001808E-2</v>
      </c>
    </row>
    <row r="192" spans="2:24" x14ac:dyDescent="0.35">
      <c r="B192" s="55"/>
      <c r="C192" s="24">
        <v>0.75</v>
      </c>
      <c r="D192" s="32">
        <f t="shared" si="105"/>
        <v>-3.6289789076187149</v>
      </c>
      <c r="E192" s="33">
        <f t="shared" si="105"/>
        <v>-3.4401497343548995</v>
      </c>
      <c r="F192" s="33">
        <f t="shared" si="103"/>
        <v>-3.2513205610910845</v>
      </c>
      <c r="G192" s="33">
        <f t="shared" si="103"/>
        <v>-3.0624913878272695</v>
      </c>
      <c r="H192" s="33">
        <f t="shared" si="104"/>
        <v>-2.8736622145634541</v>
      </c>
      <c r="I192" s="33">
        <f t="shared" si="104"/>
        <v>-2.6848330412996391</v>
      </c>
      <c r="J192" s="33">
        <f t="shared" si="104"/>
        <v>-2.4960038680358236</v>
      </c>
      <c r="K192" s="33">
        <f t="shared" si="104"/>
        <v>-2.3071746947720086</v>
      </c>
      <c r="L192" s="33">
        <f t="shared" si="104"/>
        <v>-2.1183455215081932</v>
      </c>
      <c r="M192" s="33">
        <f t="shared" si="104"/>
        <v>-1.9295163482443782</v>
      </c>
      <c r="N192" s="33">
        <f t="shared" si="104"/>
        <v>-1.7406871749805628</v>
      </c>
      <c r="O192" s="33">
        <f t="shared" si="104"/>
        <v>-1.5518580017167478</v>
      </c>
      <c r="P192" s="33">
        <f t="shared" si="104"/>
        <v>-1.3630288284529328</v>
      </c>
      <c r="Q192" s="33">
        <f t="shared" si="104"/>
        <v>-1.174199655189117</v>
      </c>
      <c r="R192" s="33">
        <f t="shared" si="104"/>
        <v>-0.98537048192530285</v>
      </c>
      <c r="S192" s="33">
        <f t="shared" si="104"/>
        <v>-0.79654130866148698</v>
      </c>
      <c r="T192" s="33">
        <f t="shared" si="104"/>
        <v>-0.6077121353976711</v>
      </c>
      <c r="U192" s="33">
        <f t="shared" si="104"/>
        <v>-0.41888296213385701</v>
      </c>
      <c r="V192" s="33">
        <f t="shared" si="104"/>
        <v>-0.23005378887004113</v>
      </c>
      <c r="W192" s="33">
        <f t="shared" si="104"/>
        <v>-4.1224615606227033E-2</v>
      </c>
      <c r="X192" s="34">
        <f t="shared" si="104"/>
        <v>0.14760455765758884</v>
      </c>
    </row>
    <row r="193" spans="2:24" x14ac:dyDescent="0.35">
      <c r="B193" s="55"/>
      <c r="C193" s="24">
        <v>0.7</v>
      </c>
      <c r="D193" s="32">
        <f t="shared" si="105"/>
        <v>-3.435149586959318</v>
      </c>
      <c r="E193" s="33">
        <f t="shared" si="105"/>
        <v>-3.2463204136955026</v>
      </c>
      <c r="F193" s="33">
        <f t="shared" si="103"/>
        <v>-3.0574912404316876</v>
      </c>
      <c r="G193" s="33">
        <f t="shared" si="103"/>
        <v>-2.8686620671678726</v>
      </c>
      <c r="H193" s="33">
        <f t="shared" si="104"/>
        <v>-2.6798328939040572</v>
      </c>
      <c r="I193" s="33">
        <f t="shared" si="104"/>
        <v>-2.4910037206402422</v>
      </c>
      <c r="J193" s="33">
        <f t="shared" si="104"/>
        <v>-2.3021745473764268</v>
      </c>
      <c r="K193" s="33">
        <f t="shared" si="104"/>
        <v>-2.1133453741126118</v>
      </c>
      <c r="L193" s="33">
        <f t="shared" si="104"/>
        <v>-1.9245162008487964</v>
      </c>
      <c r="M193" s="33">
        <f t="shared" si="104"/>
        <v>-1.7356870275849814</v>
      </c>
      <c r="N193" s="33">
        <f t="shared" si="104"/>
        <v>-1.546857854321166</v>
      </c>
      <c r="O193" s="33">
        <f t="shared" si="104"/>
        <v>-1.358028681057351</v>
      </c>
      <c r="P193" s="33">
        <f t="shared" si="104"/>
        <v>-1.169199507793536</v>
      </c>
      <c r="Q193" s="33">
        <f t="shared" si="104"/>
        <v>-0.98037033452972011</v>
      </c>
      <c r="R193" s="33">
        <f t="shared" si="104"/>
        <v>-0.79154116126590601</v>
      </c>
      <c r="S193" s="33">
        <f t="shared" si="104"/>
        <v>-0.60271198800209014</v>
      </c>
      <c r="T193" s="33">
        <f t="shared" si="104"/>
        <v>-0.41388281473827426</v>
      </c>
      <c r="U193" s="33">
        <f t="shared" si="104"/>
        <v>-0.22505364147446016</v>
      </c>
      <c r="V193" s="33">
        <f t="shared" si="104"/>
        <v>-3.6224468210644289E-2</v>
      </c>
      <c r="W193" s="33">
        <f t="shared" si="104"/>
        <v>0.15260470505316981</v>
      </c>
      <c r="X193" s="34">
        <f t="shared" si="104"/>
        <v>0.34143387831698568</v>
      </c>
    </row>
    <row r="194" spans="2:24" x14ac:dyDescent="0.35">
      <c r="B194" s="55"/>
      <c r="C194" s="24">
        <v>0.65</v>
      </c>
      <c r="D194" s="32">
        <f t="shared" si="105"/>
        <v>-3.2413202662999216</v>
      </c>
      <c r="E194" s="33">
        <f t="shared" si="105"/>
        <v>-3.0524910930361067</v>
      </c>
      <c r="F194" s="33">
        <f t="shared" si="103"/>
        <v>-2.8636619197722912</v>
      </c>
      <c r="G194" s="33">
        <f t="shared" si="103"/>
        <v>-2.6748327465084762</v>
      </c>
      <c r="H194" s="33">
        <f t="shared" si="104"/>
        <v>-2.4860035732446608</v>
      </c>
      <c r="I194" s="33">
        <f t="shared" si="104"/>
        <v>-2.2971743999808458</v>
      </c>
      <c r="J194" s="33">
        <f t="shared" si="104"/>
        <v>-2.1083452267170304</v>
      </c>
      <c r="K194" s="33">
        <f t="shared" si="104"/>
        <v>-1.9195160534532154</v>
      </c>
      <c r="L194" s="33">
        <f t="shared" si="104"/>
        <v>-1.7306868801894</v>
      </c>
      <c r="M194" s="33">
        <f t="shared" si="104"/>
        <v>-1.541857706925585</v>
      </c>
      <c r="N194" s="33">
        <f t="shared" si="104"/>
        <v>-1.3530285336617696</v>
      </c>
      <c r="O194" s="33">
        <f t="shared" si="104"/>
        <v>-1.1641993603979546</v>
      </c>
      <c r="P194" s="33">
        <f t="shared" si="104"/>
        <v>-0.97537018713413959</v>
      </c>
      <c r="Q194" s="33">
        <f t="shared" si="104"/>
        <v>-0.78654101387032371</v>
      </c>
      <c r="R194" s="33">
        <f t="shared" si="104"/>
        <v>-0.59771184060650961</v>
      </c>
      <c r="S194" s="33">
        <f t="shared" si="104"/>
        <v>-0.40888266734269374</v>
      </c>
      <c r="T194" s="33">
        <f t="shared" si="104"/>
        <v>-0.22005349407887786</v>
      </c>
      <c r="U194" s="33">
        <f t="shared" si="104"/>
        <v>-3.1224320815063766E-2</v>
      </c>
      <c r="V194" s="33">
        <f t="shared" si="104"/>
        <v>0.15760485244875211</v>
      </c>
      <c r="W194" s="33">
        <f t="shared" si="104"/>
        <v>0.34643402571256621</v>
      </c>
      <c r="X194" s="34">
        <f t="shared" si="104"/>
        <v>0.53526319897638208</v>
      </c>
    </row>
    <row r="195" spans="2:24" x14ac:dyDescent="0.35">
      <c r="B195" s="55"/>
      <c r="C195" s="24">
        <v>0.6</v>
      </c>
      <c r="D195" s="32">
        <f t="shared" si="105"/>
        <v>-3.0474909456405248</v>
      </c>
      <c r="E195" s="33">
        <f t="shared" si="105"/>
        <v>-2.8586617723767098</v>
      </c>
      <c r="F195" s="33">
        <f t="shared" si="103"/>
        <v>-2.6698325991128944</v>
      </c>
      <c r="G195" s="33">
        <f t="shared" si="103"/>
        <v>-2.4810034258490794</v>
      </c>
      <c r="H195" s="33">
        <f t="shared" si="104"/>
        <v>-2.292174252585264</v>
      </c>
      <c r="I195" s="33">
        <f t="shared" si="104"/>
        <v>-2.103345079321449</v>
      </c>
      <c r="J195" s="33">
        <f t="shared" si="104"/>
        <v>-1.9145159060576336</v>
      </c>
      <c r="K195" s="33">
        <f t="shared" si="104"/>
        <v>-1.7256867327938186</v>
      </c>
      <c r="L195" s="33">
        <f t="shared" si="104"/>
        <v>-1.5368575595300031</v>
      </c>
      <c r="M195" s="33">
        <f t="shared" si="104"/>
        <v>-1.3480283862661881</v>
      </c>
      <c r="N195" s="33">
        <f t="shared" si="104"/>
        <v>-1.1591992130023727</v>
      </c>
      <c r="O195" s="33">
        <f t="shared" si="104"/>
        <v>-0.97037003973855773</v>
      </c>
      <c r="P195" s="33">
        <f t="shared" si="104"/>
        <v>-0.78154086647474275</v>
      </c>
      <c r="Q195" s="33">
        <f t="shared" si="104"/>
        <v>-0.59271169321092687</v>
      </c>
      <c r="R195" s="33">
        <f t="shared" si="104"/>
        <v>-0.40388251994711277</v>
      </c>
      <c r="S195" s="33">
        <f t="shared" si="104"/>
        <v>-0.2150533466832969</v>
      </c>
      <c r="T195" s="33">
        <f t="shared" si="104"/>
        <v>-2.6224173419481023E-2</v>
      </c>
      <c r="U195" s="33">
        <f t="shared" si="104"/>
        <v>0.16260499984433308</v>
      </c>
      <c r="V195" s="33">
        <f t="shared" si="104"/>
        <v>0.35143417310814895</v>
      </c>
      <c r="W195" s="33">
        <f t="shared" si="104"/>
        <v>0.54026334637196305</v>
      </c>
      <c r="X195" s="34">
        <f t="shared" si="104"/>
        <v>0.72909251963577892</v>
      </c>
    </row>
    <row r="196" spans="2:24" x14ac:dyDescent="0.35">
      <c r="B196" s="55"/>
      <c r="C196" s="24">
        <v>0.55000000000000004</v>
      </c>
      <c r="D196" s="32">
        <f t="shared" si="105"/>
        <v>-2.8536616249811284</v>
      </c>
      <c r="E196" s="33">
        <f t="shared" si="105"/>
        <v>-2.664832451717313</v>
      </c>
      <c r="F196" s="33">
        <f t="shared" si="103"/>
        <v>-2.476003278453498</v>
      </c>
      <c r="G196" s="33">
        <f t="shared" si="103"/>
        <v>-2.287174105189683</v>
      </c>
      <c r="H196" s="33">
        <f t="shared" si="104"/>
        <v>-2.0983449319258676</v>
      </c>
      <c r="I196" s="33">
        <f t="shared" si="104"/>
        <v>-1.9095157586620526</v>
      </c>
      <c r="J196" s="33">
        <f t="shared" si="104"/>
        <v>-1.7206865853982372</v>
      </c>
      <c r="K196" s="33">
        <f t="shared" si="104"/>
        <v>-1.5318574121344222</v>
      </c>
      <c r="L196" s="33">
        <f t="shared" si="104"/>
        <v>-1.3430282388706067</v>
      </c>
      <c r="M196" s="33">
        <f t="shared" si="104"/>
        <v>-1.1541990656067918</v>
      </c>
      <c r="N196" s="33">
        <f t="shared" si="104"/>
        <v>-0.96536989234297632</v>
      </c>
      <c r="O196" s="33">
        <f t="shared" si="104"/>
        <v>-0.77654071907916133</v>
      </c>
      <c r="P196" s="33">
        <f t="shared" si="104"/>
        <v>-0.58771154581534635</v>
      </c>
      <c r="Q196" s="33">
        <f t="shared" si="104"/>
        <v>-0.39888237255153047</v>
      </c>
      <c r="R196" s="33">
        <f t="shared" si="104"/>
        <v>-0.21005319928771637</v>
      </c>
      <c r="S196" s="33">
        <f t="shared" si="104"/>
        <v>-2.12240260239005E-2</v>
      </c>
      <c r="T196" s="33">
        <f t="shared" si="104"/>
        <v>0.16760514723991538</v>
      </c>
      <c r="U196" s="33">
        <f t="shared" si="104"/>
        <v>0.35643432050372947</v>
      </c>
      <c r="V196" s="33">
        <f t="shared" si="104"/>
        <v>0.54526349376754535</v>
      </c>
      <c r="W196" s="33">
        <f t="shared" si="104"/>
        <v>0.73409266703135945</v>
      </c>
      <c r="X196" s="34">
        <f t="shared" si="104"/>
        <v>0.92292184029517532</v>
      </c>
    </row>
    <row r="197" spans="2:24" x14ac:dyDescent="0.35">
      <c r="B197" s="55"/>
      <c r="C197" s="24">
        <v>0.5</v>
      </c>
      <c r="D197" s="32">
        <f t="shared" si="105"/>
        <v>-2.659832304321732</v>
      </c>
      <c r="E197" s="33">
        <f t="shared" si="105"/>
        <v>-2.4710031310579166</v>
      </c>
      <c r="F197" s="33">
        <f t="shared" si="103"/>
        <v>-2.2821739577941011</v>
      </c>
      <c r="G197" s="33">
        <f t="shared" si="103"/>
        <v>-2.0933447845302862</v>
      </c>
      <c r="H197" s="33">
        <f t="shared" si="104"/>
        <v>-1.904515611266471</v>
      </c>
      <c r="I197" s="33">
        <f t="shared" si="104"/>
        <v>-1.715686438002656</v>
      </c>
      <c r="J197" s="33">
        <f t="shared" si="104"/>
        <v>-1.5268572647388405</v>
      </c>
      <c r="K197" s="33">
        <f t="shared" si="104"/>
        <v>-1.3380280914750255</v>
      </c>
      <c r="L197" s="33">
        <f t="shared" si="104"/>
        <v>-1.1491989182112101</v>
      </c>
      <c r="M197" s="33">
        <f t="shared" si="104"/>
        <v>-0.96036974494739513</v>
      </c>
      <c r="N197" s="33">
        <f t="shared" si="104"/>
        <v>-0.7715405716835797</v>
      </c>
      <c r="O197" s="33">
        <f t="shared" si="104"/>
        <v>-0.58271139841976471</v>
      </c>
      <c r="P197" s="33">
        <f t="shared" si="104"/>
        <v>-0.39388222515594973</v>
      </c>
      <c r="Q197" s="33">
        <f t="shared" si="104"/>
        <v>-0.20505305189213363</v>
      </c>
      <c r="R197" s="33">
        <f t="shared" si="104"/>
        <v>-1.6223878628319532E-2</v>
      </c>
      <c r="S197" s="33">
        <f t="shared" si="104"/>
        <v>0.17260529463549634</v>
      </c>
      <c r="T197" s="33">
        <f t="shared" si="104"/>
        <v>0.36143446789931222</v>
      </c>
      <c r="U197" s="33">
        <f t="shared" si="104"/>
        <v>0.55026364116312632</v>
      </c>
      <c r="V197" s="33">
        <f t="shared" si="104"/>
        <v>0.73909281442694219</v>
      </c>
      <c r="W197" s="33">
        <f t="shared" si="104"/>
        <v>0.92792198769075629</v>
      </c>
      <c r="X197" s="34">
        <f t="shared" si="104"/>
        <v>1.1167511609545722</v>
      </c>
    </row>
    <row r="198" spans="2:24" x14ac:dyDescent="0.35">
      <c r="B198" s="55"/>
      <c r="C198" s="24">
        <v>0.45</v>
      </c>
      <c r="D198" s="32">
        <f t="shared" si="105"/>
        <v>-2.4660029836623352</v>
      </c>
      <c r="E198" s="33">
        <f t="shared" si="105"/>
        <v>-2.2771738103985202</v>
      </c>
      <c r="F198" s="33">
        <f t="shared" si="103"/>
        <v>-2.0883446371347048</v>
      </c>
      <c r="G198" s="33">
        <f t="shared" si="103"/>
        <v>-1.8995154638708898</v>
      </c>
      <c r="H198" s="33">
        <f t="shared" si="104"/>
        <v>-1.7106862906070743</v>
      </c>
      <c r="I198" s="33">
        <f t="shared" si="104"/>
        <v>-1.5218571173432593</v>
      </c>
      <c r="J198" s="33">
        <f t="shared" si="104"/>
        <v>-1.3330279440794439</v>
      </c>
      <c r="K198" s="33">
        <f t="shared" si="104"/>
        <v>-1.1441987708156289</v>
      </c>
      <c r="L198" s="33">
        <f t="shared" si="104"/>
        <v>-0.9553695975518135</v>
      </c>
      <c r="M198" s="33">
        <f t="shared" si="104"/>
        <v>-0.76654042428799851</v>
      </c>
      <c r="N198" s="33">
        <f t="shared" si="104"/>
        <v>-0.57771125102418308</v>
      </c>
      <c r="O198" s="33">
        <f t="shared" si="104"/>
        <v>-0.38888207776036809</v>
      </c>
      <c r="P198" s="33">
        <f t="shared" si="104"/>
        <v>-0.20005290449655311</v>
      </c>
      <c r="Q198" s="33">
        <f t="shared" si="104"/>
        <v>-1.1223731232737233E-2</v>
      </c>
      <c r="R198" s="33">
        <f t="shared" si="104"/>
        <v>0.17760544203107687</v>
      </c>
      <c r="S198" s="33">
        <f t="shared" si="104"/>
        <v>0.36643461529489274</v>
      </c>
      <c r="T198" s="33">
        <f t="shared" si="104"/>
        <v>0.55526378855870862</v>
      </c>
      <c r="U198" s="33">
        <f t="shared" si="104"/>
        <v>0.74409296182252271</v>
      </c>
      <c r="V198" s="33">
        <f t="shared" si="104"/>
        <v>0.93292213508633859</v>
      </c>
      <c r="W198" s="33">
        <f t="shared" si="104"/>
        <v>1.1217513083501527</v>
      </c>
      <c r="X198" s="34">
        <f t="shared" si="104"/>
        <v>1.3105804816139686</v>
      </c>
    </row>
    <row r="199" spans="2:24" x14ac:dyDescent="0.35">
      <c r="B199" s="55"/>
      <c r="C199" s="24">
        <v>0.4</v>
      </c>
      <c r="D199" s="32">
        <f t="shared" si="105"/>
        <v>-2.2721736630029388</v>
      </c>
      <c r="E199" s="33">
        <f t="shared" si="105"/>
        <v>-2.0833444897391233</v>
      </c>
      <c r="F199" s="33">
        <f t="shared" si="103"/>
        <v>-1.8945153164753084</v>
      </c>
      <c r="G199" s="33">
        <f t="shared" si="103"/>
        <v>-1.7056861432114934</v>
      </c>
      <c r="H199" s="33">
        <f t="shared" si="104"/>
        <v>-1.5168569699476779</v>
      </c>
      <c r="I199" s="33">
        <f t="shared" si="104"/>
        <v>-1.3280277966838629</v>
      </c>
      <c r="J199" s="33">
        <f t="shared" si="104"/>
        <v>-1.1391986234200475</v>
      </c>
      <c r="K199" s="33">
        <f t="shared" si="104"/>
        <v>-0.95036945015623253</v>
      </c>
      <c r="L199" s="33">
        <f t="shared" si="104"/>
        <v>-0.7615402768924171</v>
      </c>
      <c r="M199" s="33">
        <f t="shared" si="104"/>
        <v>-0.57271110362860211</v>
      </c>
      <c r="N199" s="33">
        <f t="shared" si="104"/>
        <v>-0.38388193036478668</v>
      </c>
      <c r="O199" s="33">
        <f t="shared" si="104"/>
        <v>-0.1950527571009717</v>
      </c>
      <c r="P199" s="33">
        <f t="shared" si="104"/>
        <v>-6.2235838371567098E-3</v>
      </c>
      <c r="Q199" s="33">
        <f t="shared" si="104"/>
        <v>0.18260558942665917</v>
      </c>
      <c r="R199" s="33">
        <f t="shared" si="104"/>
        <v>0.37143476269047326</v>
      </c>
      <c r="S199" s="33">
        <f t="shared" si="104"/>
        <v>0.56026393595428914</v>
      </c>
      <c r="T199" s="33">
        <f t="shared" si="104"/>
        <v>0.74909310921810501</v>
      </c>
      <c r="U199" s="33">
        <f t="shared" si="104"/>
        <v>0.93792228248191911</v>
      </c>
      <c r="V199" s="33">
        <f t="shared" si="104"/>
        <v>1.126751455745735</v>
      </c>
      <c r="W199" s="33">
        <f t="shared" si="104"/>
        <v>1.3155806290095491</v>
      </c>
      <c r="X199" s="34">
        <f t="shared" si="104"/>
        <v>1.504409802273365</v>
      </c>
    </row>
    <row r="200" spans="2:24" x14ac:dyDescent="0.35">
      <c r="B200" s="55"/>
      <c r="C200" s="24">
        <v>0.35</v>
      </c>
      <c r="D200" s="32">
        <f t="shared" si="105"/>
        <v>-2.0783443423435419</v>
      </c>
      <c r="E200" s="33">
        <f t="shared" si="105"/>
        <v>-1.8895151690797267</v>
      </c>
      <c r="F200" s="33">
        <f t="shared" si="103"/>
        <v>-1.7006859958159115</v>
      </c>
      <c r="G200" s="33">
        <f t="shared" si="103"/>
        <v>-1.5118568225520965</v>
      </c>
      <c r="H200" s="33">
        <f t="shared" si="104"/>
        <v>-1.3230276492882811</v>
      </c>
      <c r="I200" s="33">
        <f t="shared" si="104"/>
        <v>-1.1341984760244661</v>
      </c>
      <c r="J200" s="33">
        <f t="shared" si="104"/>
        <v>-0.94536930276065068</v>
      </c>
      <c r="K200" s="33">
        <f t="shared" si="104"/>
        <v>-0.75654012949683569</v>
      </c>
      <c r="L200" s="33">
        <f t="shared" si="104"/>
        <v>-0.56771095623302026</v>
      </c>
      <c r="M200" s="33">
        <f t="shared" si="104"/>
        <v>-0.37888178296920527</v>
      </c>
      <c r="N200" s="33">
        <f t="shared" si="104"/>
        <v>-0.19005260970538984</v>
      </c>
      <c r="O200" s="33">
        <f t="shared" si="104"/>
        <v>-1.2234364415748544E-3</v>
      </c>
      <c r="P200" s="33">
        <f t="shared" si="104"/>
        <v>0.18760573682224013</v>
      </c>
      <c r="Q200" s="33">
        <f t="shared" si="104"/>
        <v>0.37643491008605601</v>
      </c>
      <c r="R200" s="33">
        <f t="shared" si="104"/>
        <v>0.56526408334987011</v>
      </c>
      <c r="S200" s="33">
        <f t="shared" si="104"/>
        <v>0.75409325661368598</v>
      </c>
      <c r="T200" s="33">
        <f t="shared" si="104"/>
        <v>0.94292242987750186</v>
      </c>
      <c r="U200" s="33">
        <f t="shared" si="104"/>
        <v>1.131751603141316</v>
      </c>
      <c r="V200" s="33">
        <f t="shared" si="104"/>
        <v>1.3205807764051318</v>
      </c>
      <c r="W200" s="33">
        <f t="shared" si="104"/>
        <v>1.5094099496689459</v>
      </c>
      <c r="X200" s="34">
        <f t="shared" si="104"/>
        <v>1.6982391229327618</v>
      </c>
    </row>
    <row r="201" spans="2:24" x14ac:dyDescent="0.35">
      <c r="B201" s="55"/>
      <c r="C201" s="24">
        <v>0.3</v>
      </c>
      <c r="D201" s="32">
        <f t="shared" si="105"/>
        <v>-1.8845150216841453</v>
      </c>
      <c r="E201" s="33">
        <f t="shared" si="105"/>
        <v>-1.6956858484203301</v>
      </c>
      <c r="F201" s="33">
        <f t="shared" si="103"/>
        <v>-1.5068566751565149</v>
      </c>
      <c r="G201" s="33">
        <f t="shared" si="103"/>
        <v>-1.3180275018926999</v>
      </c>
      <c r="H201" s="33">
        <f t="shared" si="104"/>
        <v>-1.1291983286288845</v>
      </c>
      <c r="I201" s="33">
        <f t="shared" si="104"/>
        <v>-0.94036915536506949</v>
      </c>
      <c r="J201" s="33">
        <f t="shared" si="104"/>
        <v>-0.75153998210125406</v>
      </c>
      <c r="K201" s="33">
        <f t="shared" si="104"/>
        <v>-0.56271080883743907</v>
      </c>
      <c r="L201" s="33">
        <f t="shared" si="104"/>
        <v>-0.37388163557362364</v>
      </c>
      <c r="M201" s="33">
        <f t="shared" si="104"/>
        <v>-0.18505246230980887</v>
      </c>
      <c r="N201" s="33">
        <f t="shared" si="104"/>
        <v>3.776710954007001E-3</v>
      </c>
      <c r="O201" s="33">
        <f t="shared" si="104"/>
        <v>0.19260588421782199</v>
      </c>
      <c r="P201" s="33">
        <f t="shared" si="104"/>
        <v>0.38143505748163697</v>
      </c>
      <c r="Q201" s="33">
        <f t="shared" si="104"/>
        <v>0.57026423074545285</v>
      </c>
      <c r="R201" s="33">
        <f t="shared" si="104"/>
        <v>0.75909340400926695</v>
      </c>
      <c r="S201" s="33">
        <f t="shared" si="104"/>
        <v>0.94792257727308282</v>
      </c>
      <c r="T201" s="33">
        <f t="shared" si="104"/>
        <v>1.1367517505368987</v>
      </c>
      <c r="U201" s="33">
        <f t="shared" si="104"/>
        <v>1.3255809238007128</v>
      </c>
      <c r="V201" s="33">
        <f t="shared" si="104"/>
        <v>1.5144100970645287</v>
      </c>
      <c r="W201" s="33">
        <f t="shared" si="104"/>
        <v>1.7032392703283428</v>
      </c>
      <c r="X201" s="34">
        <f t="shared" si="104"/>
        <v>1.8920684435921586</v>
      </c>
    </row>
    <row r="202" spans="2:24" x14ac:dyDescent="0.35">
      <c r="B202" s="55"/>
      <c r="C202" s="24">
        <v>0.25</v>
      </c>
      <c r="D202" s="32">
        <f t="shared" si="105"/>
        <v>-1.6906857010247487</v>
      </c>
      <c r="E202" s="33">
        <f t="shared" si="105"/>
        <v>-1.5018565277609337</v>
      </c>
      <c r="F202" s="33">
        <f t="shared" si="103"/>
        <v>-1.3130273544971183</v>
      </c>
      <c r="G202" s="33">
        <f t="shared" si="103"/>
        <v>-1.1241981812333033</v>
      </c>
      <c r="H202" s="33">
        <f t="shared" si="103"/>
        <v>-0.93536900796948785</v>
      </c>
      <c r="I202" s="33">
        <f t="shared" si="103"/>
        <v>-0.74653983470567287</v>
      </c>
      <c r="J202" s="33">
        <f t="shared" si="103"/>
        <v>-0.55771066144185744</v>
      </c>
      <c r="K202" s="33">
        <f t="shared" si="103"/>
        <v>-0.36888148817804245</v>
      </c>
      <c r="L202" s="33">
        <f t="shared" si="103"/>
        <v>-0.18005231491422702</v>
      </c>
      <c r="M202" s="33">
        <f t="shared" si="103"/>
        <v>8.7768583495879682E-3</v>
      </c>
      <c r="N202" s="33">
        <f t="shared" si="103"/>
        <v>0.1976060316134034</v>
      </c>
      <c r="O202" s="33">
        <f t="shared" si="103"/>
        <v>0.38643520487721839</v>
      </c>
      <c r="P202" s="33">
        <f t="shared" si="103"/>
        <v>0.57526437814103337</v>
      </c>
      <c r="Q202" s="33">
        <f t="shared" si="103"/>
        <v>0.76409355140484925</v>
      </c>
      <c r="R202" s="33">
        <f t="shared" si="103"/>
        <v>0.95292272466866335</v>
      </c>
      <c r="S202" s="33">
        <f t="shared" si="103"/>
        <v>1.1417518979324792</v>
      </c>
      <c r="T202" s="33">
        <f t="shared" si="103"/>
        <v>1.3305810711962951</v>
      </c>
      <c r="U202" s="33">
        <f t="shared" ref="U202:X202" si="106">(U$208 * $P$5) + $P$8 + ($C202 * $P$6) + $P$9</f>
        <v>1.5194102444601092</v>
      </c>
      <c r="V202" s="33">
        <f t="shared" si="106"/>
        <v>1.7082394177239246</v>
      </c>
      <c r="W202" s="33">
        <f t="shared" si="106"/>
        <v>1.8970685909877387</v>
      </c>
      <c r="X202" s="34">
        <f t="shared" si="106"/>
        <v>2.0858977642515546</v>
      </c>
    </row>
    <row r="203" spans="2:24" x14ac:dyDescent="0.35">
      <c r="B203" s="55"/>
      <c r="C203" s="24">
        <v>0.2</v>
      </c>
      <c r="D203" s="32">
        <f t="shared" si="105"/>
        <v>-1.4968563803653523</v>
      </c>
      <c r="E203" s="33">
        <f t="shared" si="105"/>
        <v>-1.3080272071015371</v>
      </c>
      <c r="F203" s="33">
        <f t="shared" si="105"/>
        <v>-1.1191980338377219</v>
      </c>
      <c r="G203" s="33">
        <f t="shared" si="105"/>
        <v>-0.93036886057390689</v>
      </c>
      <c r="H203" s="33">
        <f t="shared" si="105"/>
        <v>-0.74153968731009146</v>
      </c>
      <c r="I203" s="33">
        <f t="shared" si="105"/>
        <v>-0.55271051404627647</v>
      </c>
      <c r="J203" s="33">
        <f t="shared" si="105"/>
        <v>-0.36388134078246104</v>
      </c>
      <c r="K203" s="33">
        <f t="shared" si="105"/>
        <v>-0.17505216751864605</v>
      </c>
      <c r="L203" s="33">
        <f t="shared" si="105"/>
        <v>1.3777005745169379E-2</v>
      </c>
      <c r="M203" s="33">
        <f t="shared" si="105"/>
        <v>0.20260617900898437</v>
      </c>
      <c r="N203" s="33">
        <f t="shared" si="105"/>
        <v>0.3914353522727998</v>
      </c>
      <c r="O203" s="33">
        <f t="shared" si="105"/>
        <v>0.58026452553661478</v>
      </c>
      <c r="P203" s="33">
        <f t="shared" si="105"/>
        <v>0.76909369880042977</v>
      </c>
      <c r="Q203" s="33">
        <f t="shared" si="105"/>
        <v>0.95792287206424565</v>
      </c>
      <c r="R203" s="33">
        <f t="shared" si="105"/>
        <v>1.1467520453280597</v>
      </c>
      <c r="S203" s="33">
        <f t="shared" si="105"/>
        <v>1.3355812185918756</v>
      </c>
      <c r="T203" s="33">
        <f t="shared" ref="T203:X207" si="107">(T$208 * $P$5) + $P$8 + ($C203 * $P$6) + $P$9</f>
        <v>1.5244103918556915</v>
      </c>
      <c r="U203" s="33">
        <f t="shared" si="107"/>
        <v>1.7132395651195056</v>
      </c>
      <c r="V203" s="33">
        <f t="shared" si="107"/>
        <v>1.9020687383833215</v>
      </c>
      <c r="W203" s="33">
        <f t="shared" si="107"/>
        <v>2.0908979116471356</v>
      </c>
      <c r="X203" s="34">
        <f t="shared" si="107"/>
        <v>2.2797270849109514</v>
      </c>
    </row>
    <row r="204" spans="2:24" x14ac:dyDescent="0.35">
      <c r="B204" s="55"/>
      <c r="C204" s="24">
        <v>0.15</v>
      </c>
      <c r="D204" s="32">
        <f t="shared" si="105"/>
        <v>-1.3030270597059554</v>
      </c>
      <c r="E204" s="33">
        <f t="shared" si="105"/>
        <v>-1.1141978864421405</v>
      </c>
      <c r="F204" s="33">
        <f t="shared" si="105"/>
        <v>-0.92536871317832503</v>
      </c>
      <c r="G204" s="33">
        <f t="shared" si="105"/>
        <v>-0.73653953991451004</v>
      </c>
      <c r="H204" s="33">
        <f t="shared" si="105"/>
        <v>-0.54771036665069461</v>
      </c>
      <c r="I204" s="33">
        <f t="shared" si="105"/>
        <v>-0.35888119338687963</v>
      </c>
      <c r="J204" s="33">
        <f t="shared" si="105"/>
        <v>-0.1700520201230642</v>
      </c>
      <c r="K204" s="33">
        <f t="shared" si="105"/>
        <v>1.8777153140750791E-2</v>
      </c>
      <c r="L204" s="33">
        <f t="shared" si="105"/>
        <v>0.20760632640456622</v>
      </c>
      <c r="M204" s="33">
        <f t="shared" si="105"/>
        <v>0.39643549966838121</v>
      </c>
      <c r="N204" s="33">
        <f t="shared" si="105"/>
        <v>0.58526467293219664</v>
      </c>
      <c r="O204" s="33">
        <f t="shared" si="105"/>
        <v>0.77409384619601163</v>
      </c>
      <c r="P204" s="33">
        <f t="shared" si="105"/>
        <v>0.96292301945982661</v>
      </c>
      <c r="Q204" s="33">
        <f t="shared" si="105"/>
        <v>1.1517521927236425</v>
      </c>
      <c r="R204" s="33">
        <f t="shared" si="105"/>
        <v>1.3405813659874566</v>
      </c>
      <c r="S204" s="33">
        <f t="shared" si="105"/>
        <v>1.5294105392512725</v>
      </c>
      <c r="T204" s="33">
        <f t="shared" si="107"/>
        <v>1.7182397125150883</v>
      </c>
      <c r="U204" s="33">
        <f t="shared" si="107"/>
        <v>1.9070688857789024</v>
      </c>
      <c r="V204" s="33">
        <f t="shared" si="107"/>
        <v>2.0958980590427183</v>
      </c>
      <c r="W204" s="33">
        <f t="shared" si="107"/>
        <v>2.2847272323065324</v>
      </c>
      <c r="X204" s="34">
        <f t="shared" si="107"/>
        <v>2.4735564055703483</v>
      </c>
    </row>
    <row r="205" spans="2:24" x14ac:dyDescent="0.35">
      <c r="B205" s="55"/>
      <c r="C205" s="24">
        <v>0.1</v>
      </c>
      <c r="D205" s="32">
        <f t="shared" si="105"/>
        <v>-1.1091977390465591</v>
      </c>
      <c r="E205" s="33">
        <f t="shared" si="105"/>
        <v>-0.92036856578274384</v>
      </c>
      <c r="F205" s="33">
        <f t="shared" si="105"/>
        <v>-0.73153939251892863</v>
      </c>
      <c r="G205" s="33">
        <f t="shared" si="105"/>
        <v>-0.54271021925511365</v>
      </c>
      <c r="H205" s="33">
        <f t="shared" si="105"/>
        <v>-0.35388104599129822</v>
      </c>
      <c r="I205" s="33">
        <f t="shared" si="105"/>
        <v>-0.16505187272748323</v>
      </c>
      <c r="J205" s="33">
        <f t="shared" si="105"/>
        <v>2.3777300536332202E-2</v>
      </c>
      <c r="K205" s="33">
        <f t="shared" si="105"/>
        <v>0.21260647380014719</v>
      </c>
      <c r="L205" s="33">
        <f t="shared" si="105"/>
        <v>0.40143564706396262</v>
      </c>
      <c r="M205" s="33">
        <f t="shared" si="105"/>
        <v>0.59026482032777761</v>
      </c>
      <c r="N205" s="33">
        <f t="shared" si="105"/>
        <v>0.77909399359159304</v>
      </c>
      <c r="O205" s="33">
        <f t="shared" si="105"/>
        <v>0.96792316685540802</v>
      </c>
      <c r="P205" s="33">
        <f t="shared" si="105"/>
        <v>1.156752340119223</v>
      </c>
      <c r="Q205" s="33">
        <f t="shared" si="105"/>
        <v>1.3455815133830389</v>
      </c>
      <c r="R205" s="33">
        <f t="shared" si="105"/>
        <v>1.534410686646853</v>
      </c>
      <c r="S205" s="33">
        <f t="shared" si="105"/>
        <v>1.7232398599106684</v>
      </c>
      <c r="T205" s="33">
        <f t="shared" si="107"/>
        <v>1.9120690331744843</v>
      </c>
      <c r="U205" s="33">
        <f t="shared" si="107"/>
        <v>2.1008982064382984</v>
      </c>
      <c r="V205" s="33">
        <f t="shared" si="107"/>
        <v>2.2897273797021143</v>
      </c>
      <c r="W205" s="33">
        <f t="shared" si="107"/>
        <v>2.4785565529659284</v>
      </c>
      <c r="X205" s="34">
        <f t="shared" si="107"/>
        <v>2.6673857262297442</v>
      </c>
    </row>
    <row r="206" spans="2:24" x14ac:dyDescent="0.35">
      <c r="B206" s="55"/>
      <c r="C206" s="24">
        <v>0.05</v>
      </c>
      <c r="D206" s="32">
        <f t="shared" si="105"/>
        <v>-0.91536841838716243</v>
      </c>
      <c r="E206" s="33">
        <f t="shared" si="105"/>
        <v>-0.72653924512334722</v>
      </c>
      <c r="F206" s="33">
        <f t="shared" si="105"/>
        <v>-0.53771007185953201</v>
      </c>
      <c r="G206" s="33">
        <f t="shared" si="105"/>
        <v>-0.34888089859571725</v>
      </c>
      <c r="H206" s="33">
        <f t="shared" si="105"/>
        <v>-0.16005172533190137</v>
      </c>
      <c r="I206" s="33">
        <f t="shared" si="105"/>
        <v>2.8777447931913613E-2</v>
      </c>
      <c r="J206" s="33">
        <f t="shared" si="105"/>
        <v>0.2176066211957286</v>
      </c>
      <c r="K206" s="33">
        <f t="shared" si="105"/>
        <v>0.40643579445954359</v>
      </c>
      <c r="L206" s="33">
        <f t="shared" si="105"/>
        <v>0.59526496772335946</v>
      </c>
      <c r="M206" s="33">
        <f t="shared" si="105"/>
        <v>0.78409414098717445</v>
      </c>
      <c r="N206" s="33">
        <f t="shared" si="105"/>
        <v>0.97292331425098943</v>
      </c>
      <c r="O206" s="33">
        <f t="shared" si="105"/>
        <v>1.1617524875148044</v>
      </c>
      <c r="P206" s="33">
        <f t="shared" si="105"/>
        <v>1.3505816607786194</v>
      </c>
      <c r="Q206" s="33">
        <f t="shared" si="105"/>
        <v>1.5394108340424353</v>
      </c>
      <c r="R206" s="33">
        <f t="shared" si="105"/>
        <v>1.7282400073062494</v>
      </c>
      <c r="S206" s="33">
        <f t="shared" si="105"/>
        <v>1.9170691805700653</v>
      </c>
      <c r="T206" s="33">
        <f t="shared" si="107"/>
        <v>2.1058983538338811</v>
      </c>
      <c r="U206" s="33">
        <f t="shared" si="107"/>
        <v>2.2947275270976952</v>
      </c>
      <c r="V206" s="33">
        <f t="shared" si="107"/>
        <v>2.4835567003615111</v>
      </c>
      <c r="W206" s="33">
        <f t="shared" si="107"/>
        <v>2.6723858736253252</v>
      </c>
      <c r="X206" s="34">
        <f t="shared" si="107"/>
        <v>2.8612150468891411</v>
      </c>
    </row>
    <row r="207" spans="2:24" ht="15" thickBot="1" x14ac:dyDescent="0.4">
      <c r="B207" s="56"/>
      <c r="C207" s="25">
        <v>0</v>
      </c>
      <c r="D207" s="35">
        <f t="shared" si="105"/>
        <v>-0.72153909772776581</v>
      </c>
      <c r="E207" s="36">
        <f t="shared" si="105"/>
        <v>-0.5327099244639506</v>
      </c>
      <c r="F207" s="36">
        <f t="shared" si="105"/>
        <v>-0.34388075120013539</v>
      </c>
      <c r="G207" s="36">
        <f t="shared" si="105"/>
        <v>-0.15505157793632041</v>
      </c>
      <c r="H207" s="36">
        <f t="shared" si="105"/>
        <v>3.3777595327495025E-2</v>
      </c>
      <c r="I207" s="36">
        <f t="shared" si="105"/>
        <v>0.22260676859131001</v>
      </c>
      <c r="J207" s="36">
        <f t="shared" si="105"/>
        <v>0.41143594185512544</v>
      </c>
      <c r="K207" s="36">
        <f t="shared" si="105"/>
        <v>0.60026511511894043</v>
      </c>
      <c r="L207" s="36">
        <f t="shared" si="105"/>
        <v>0.78909428838275586</v>
      </c>
      <c r="M207" s="36">
        <f t="shared" si="105"/>
        <v>0.97792346164657085</v>
      </c>
      <c r="N207" s="36">
        <f t="shared" si="105"/>
        <v>1.1667526349103863</v>
      </c>
      <c r="O207" s="36">
        <f t="shared" si="105"/>
        <v>1.3555818081742013</v>
      </c>
      <c r="P207" s="36">
        <f t="shared" si="105"/>
        <v>1.5444109814380163</v>
      </c>
      <c r="Q207" s="36">
        <f t="shared" si="105"/>
        <v>1.7332401547018321</v>
      </c>
      <c r="R207" s="36">
        <f t="shared" si="105"/>
        <v>1.9220693279656462</v>
      </c>
      <c r="S207" s="36">
        <f t="shared" si="105"/>
        <v>2.1108985012294621</v>
      </c>
      <c r="T207" s="36">
        <f t="shared" si="107"/>
        <v>2.299727674493278</v>
      </c>
      <c r="U207" s="36">
        <f t="shared" si="107"/>
        <v>2.4885568477570921</v>
      </c>
      <c r="V207" s="36">
        <f t="shared" si="107"/>
        <v>2.6773860210209079</v>
      </c>
      <c r="W207" s="36">
        <f t="shared" si="107"/>
        <v>2.866215194284722</v>
      </c>
      <c r="X207" s="37">
        <f t="shared" si="107"/>
        <v>3.0550443675485379</v>
      </c>
    </row>
    <row r="208" spans="2:24" x14ac:dyDescent="0.35">
      <c r="C208" s="9"/>
      <c r="D208" s="28">
        <v>0</v>
      </c>
      <c r="E208" s="26">
        <v>0.05</v>
      </c>
      <c r="F208" s="26">
        <v>0.1</v>
      </c>
      <c r="G208" s="26">
        <v>0.15</v>
      </c>
      <c r="H208" s="26">
        <v>0.2</v>
      </c>
      <c r="I208" s="26">
        <v>0.25</v>
      </c>
      <c r="J208" s="26">
        <v>0.3</v>
      </c>
      <c r="K208" s="26">
        <v>0.35</v>
      </c>
      <c r="L208" s="26">
        <v>0.4</v>
      </c>
      <c r="M208" s="26">
        <v>0.45</v>
      </c>
      <c r="N208" s="26">
        <v>0.5</v>
      </c>
      <c r="O208" s="26">
        <v>0.55000000000000004</v>
      </c>
      <c r="P208" s="26">
        <v>0.6</v>
      </c>
      <c r="Q208" s="26">
        <v>0.65</v>
      </c>
      <c r="R208" s="26">
        <v>0.7</v>
      </c>
      <c r="S208" s="26">
        <v>0.75</v>
      </c>
      <c r="T208" s="26">
        <v>0.8</v>
      </c>
      <c r="U208" s="26">
        <v>0.85</v>
      </c>
      <c r="V208" s="26">
        <v>0.9</v>
      </c>
      <c r="W208" s="26">
        <v>0.95</v>
      </c>
      <c r="X208" s="27">
        <v>1</v>
      </c>
    </row>
    <row r="209" spans="3:24" ht="21.5" thickBot="1" x14ac:dyDescent="0.55000000000000004">
      <c r="C209" s="9"/>
      <c r="D209" s="57" t="s">
        <v>64</v>
      </c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9"/>
    </row>
  </sheetData>
  <mergeCells count="21">
    <mergeCell ref="B97:D97"/>
    <mergeCell ref="AP3:AU3"/>
    <mergeCell ref="AW3:BB3"/>
    <mergeCell ref="BD3:BI3"/>
    <mergeCell ref="C3:E3"/>
    <mergeCell ref="G3:I3"/>
    <mergeCell ref="X3:AA3"/>
    <mergeCell ref="AC3:AF3"/>
    <mergeCell ref="AI3:AN3"/>
    <mergeCell ref="D131:X131"/>
    <mergeCell ref="B108:X108"/>
    <mergeCell ref="B134:X134"/>
    <mergeCell ref="B135:B155"/>
    <mergeCell ref="B109:B129"/>
    <mergeCell ref="B187:B207"/>
    <mergeCell ref="D209:X209"/>
    <mergeCell ref="D157:X157"/>
    <mergeCell ref="B160:X160"/>
    <mergeCell ref="B161:B181"/>
    <mergeCell ref="D183:X183"/>
    <mergeCell ref="B186:X186"/>
  </mergeCells>
  <conditionalFormatting sqref="D109:X129">
    <cfRule type="colorScale" priority="1">
      <colorScale>
        <cfvo type="num" val="0"/>
        <cfvo type="num" val="0.5"/>
        <cfvo type="num" val="1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e_model">
                <anchor moveWithCells="1" sizeWithCells="1">
                  <from>
                    <xdr:col>6</xdr:col>
                    <xdr:colOff>336550</xdr:colOff>
                    <xdr:row>27</xdr:row>
                    <xdr:rowOff>76200</xdr:rowOff>
                  </from>
                  <to>
                    <xdr:col>9</xdr:col>
                    <xdr:colOff>133350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Iteration_History">
                <anchor moveWithCells="1" sizeWithCells="1">
                  <from>
                    <xdr:col>6</xdr:col>
                    <xdr:colOff>336550</xdr:colOff>
                    <xdr:row>30</xdr:row>
                    <xdr:rowOff>19050</xdr:rowOff>
                  </from>
                  <to>
                    <xdr:col>9</xdr:col>
                    <xdr:colOff>133350</xdr:colOff>
                    <xdr:row>32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tantiate_Weights_Random">
                <anchor moveWithCells="1" sizeWithCells="1">
                  <from>
                    <xdr:col>6</xdr:col>
                    <xdr:colOff>431800</xdr:colOff>
                    <xdr:row>32</xdr:row>
                    <xdr:rowOff>158750</xdr:rowOff>
                  </from>
                  <to>
                    <xdr:col>9</xdr:col>
                    <xdr:colOff>6350</xdr:colOff>
                    <xdr:row>35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nstatite_Weights_Good_Start">
                <anchor moveWithCells="1" sizeWithCells="1">
                  <from>
                    <xdr:col>6</xdr:col>
                    <xdr:colOff>438150</xdr:colOff>
                    <xdr:row>36</xdr:row>
                    <xdr:rowOff>69850</xdr:rowOff>
                  </from>
                  <to>
                    <xdr:col>9</xdr:col>
                    <xdr:colOff>25400</xdr:colOff>
                    <xdr:row>39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stantaite_Weights_Bad_Start">
                <anchor moveWithCells="1" sizeWithCells="1">
                  <from>
                    <xdr:col>6</xdr:col>
                    <xdr:colOff>431800</xdr:colOff>
                    <xdr:row>39</xdr:row>
                    <xdr:rowOff>152400</xdr:rowOff>
                  </from>
                  <to>
                    <xdr:col>9</xdr:col>
                    <xdr:colOff>19050</xdr:colOff>
                    <xdr:row>42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450-1EBA-4F07-8F09-71E9E9BDA76C}">
  <sheetPr codeName="Sheet2"/>
  <dimension ref="A1:AM218"/>
  <sheetViews>
    <sheetView zoomScale="60" zoomScaleNormal="60" workbookViewId="0">
      <selection activeCell="A3" sqref="A3:V1002"/>
    </sheetView>
  </sheetViews>
  <sheetFormatPr defaultRowHeight="14.5" x14ac:dyDescent="0.35"/>
  <sheetData>
    <row r="1" spans="1:39" x14ac:dyDescent="0.35">
      <c r="A1" t="s">
        <v>73</v>
      </c>
      <c r="C1" s="71" t="s">
        <v>65</v>
      </c>
      <c r="D1" s="71"/>
      <c r="F1" s="71" t="s">
        <v>68</v>
      </c>
      <c r="G1" s="71"/>
      <c r="I1" s="71" t="s">
        <v>69</v>
      </c>
      <c r="J1" s="71"/>
      <c r="L1" s="71" t="s">
        <v>70</v>
      </c>
      <c r="M1" s="71"/>
      <c r="O1" s="71" t="s">
        <v>71</v>
      </c>
      <c r="P1" s="71"/>
      <c r="R1" s="71" t="s">
        <v>72</v>
      </c>
      <c r="S1" s="71"/>
    </row>
    <row r="2" spans="1:39" x14ac:dyDescent="0.35">
      <c r="A2" t="s">
        <v>21</v>
      </c>
      <c r="C2" t="s">
        <v>66</v>
      </c>
      <c r="D2" t="s">
        <v>67</v>
      </c>
      <c r="F2" t="s">
        <v>74</v>
      </c>
      <c r="G2" t="s">
        <v>67</v>
      </c>
      <c r="I2" t="s">
        <v>66</v>
      </c>
      <c r="J2" t="s">
        <v>67</v>
      </c>
      <c r="L2" t="s">
        <v>74</v>
      </c>
      <c r="M2" t="s">
        <v>67</v>
      </c>
      <c r="O2" t="s">
        <v>66</v>
      </c>
      <c r="P2" t="s">
        <v>67</v>
      </c>
      <c r="R2" t="s">
        <v>74</v>
      </c>
      <c r="S2" t="s">
        <v>67</v>
      </c>
    </row>
    <row r="3" spans="1:39" x14ac:dyDescent="0.35">
      <c r="A3" s="6">
        <v>1.96846399442027</v>
      </c>
      <c r="B3" s="6"/>
      <c r="C3" s="6">
        <v>1.0178093774601931</v>
      </c>
      <c r="D3" s="6">
        <v>-2.8627861163995398E-2</v>
      </c>
      <c r="E3" s="6"/>
      <c r="F3" s="6">
        <v>-0.23870176422359873</v>
      </c>
      <c r="G3" s="6">
        <v>-4.4755268127785741E-4</v>
      </c>
      <c r="H3" s="6"/>
      <c r="I3" s="6">
        <v>-1.5740094414890893</v>
      </c>
      <c r="J3" s="6">
        <v>6.4708145239586567E-2</v>
      </c>
      <c r="K3" s="6"/>
      <c r="L3" s="6">
        <v>0.47804121429920043</v>
      </c>
      <c r="M3" s="6">
        <v>-1.3673716493000927E-2</v>
      </c>
      <c r="N3" s="6"/>
      <c r="O3" s="6">
        <v>-1.4939236443586075</v>
      </c>
      <c r="P3" s="6">
        <v>-6.2031927522625034E-2</v>
      </c>
      <c r="Q3" s="6"/>
      <c r="R3" s="6">
        <v>-9.625942306813029E-2</v>
      </c>
      <c r="S3" s="6">
        <v>-1.3673716493000927E-2</v>
      </c>
      <c r="T3" s="6"/>
      <c r="U3" s="6"/>
      <c r="X3" s="6"/>
      <c r="Y3" s="6"/>
      <c r="AA3" s="6"/>
      <c r="AB3" s="6"/>
      <c r="AD3" s="6"/>
      <c r="AE3" s="6"/>
      <c r="AG3" s="6"/>
      <c r="AH3" s="6"/>
      <c r="AJ3" s="6"/>
      <c r="AK3" s="6"/>
      <c r="AM3" s="6"/>
    </row>
    <row r="4" spans="1:39" x14ac:dyDescent="0.35">
      <c r="A4" s="6">
        <v>1.95999624288271</v>
      </c>
      <c r="B4" s="6"/>
      <c r="C4" s="6">
        <v>1.0540836210050453</v>
      </c>
      <c r="D4" s="6">
        <v>-3.5370733188292487E-2</v>
      </c>
      <c r="E4" s="6"/>
      <c r="F4" s="6">
        <v>-0.23835977039415435</v>
      </c>
      <c r="G4" s="6">
        <v>5.4650196348315916E-6</v>
      </c>
      <c r="H4" s="6"/>
      <c r="I4" s="6">
        <v>-1.6394239910906188</v>
      </c>
      <c r="J4" s="6">
        <v>6.2320928835406506E-2</v>
      </c>
      <c r="K4" s="6"/>
      <c r="L4" s="6">
        <v>0.4120969380370158</v>
      </c>
      <c r="M4" s="6">
        <v>-1.8696043302170416E-2</v>
      </c>
      <c r="N4" s="6"/>
      <c r="O4" s="6">
        <v>-1.4318917168359824</v>
      </c>
      <c r="P4" s="6">
        <v>-6.5133485190588897E-2</v>
      </c>
      <c r="Q4" s="6"/>
      <c r="R4" s="6">
        <v>-7.9462529710451757E-2</v>
      </c>
      <c r="S4" s="6">
        <v>-1.8696043302170416E-2</v>
      </c>
      <c r="T4" s="6"/>
      <c r="U4" s="6"/>
    </row>
    <row r="5" spans="1:39" x14ac:dyDescent="0.35">
      <c r="A5" s="6">
        <v>1.951013454345389</v>
      </c>
      <c r="B5" s="6"/>
      <c r="C5" s="6">
        <v>1.0967810420007389</v>
      </c>
      <c r="D5" s="6">
        <v>-4.1937478486293679E-2</v>
      </c>
      <c r="E5" s="6"/>
      <c r="F5" s="6">
        <v>-0.24138083040290337</v>
      </c>
      <c r="G5" s="6">
        <v>-6.0609986325121934E-5</v>
      </c>
      <c r="H5" s="6"/>
      <c r="I5" s="6">
        <v>-1.7024886882672412</v>
      </c>
      <c r="J5" s="6">
        <v>6.0396971853004876E-2</v>
      </c>
      <c r="K5" s="6"/>
      <c r="L5" s="6">
        <v>0.34780226345172249</v>
      </c>
      <c r="M5" s="6">
        <v>-2.4125694453936863E-2</v>
      </c>
      <c r="N5" s="6"/>
      <c r="O5" s="6">
        <v>-1.3667582316453935</v>
      </c>
      <c r="P5" s="6">
        <v>-6.9020224361893645E-2</v>
      </c>
      <c r="Q5" s="6"/>
      <c r="R5" s="6">
        <v>-5.7641078487100178E-2</v>
      </c>
      <c r="S5" s="6">
        <v>-2.4125694453936863E-2</v>
      </c>
      <c r="T5" s="6"/>
      <c r="U5" s="6"/>
    </row>
    <row r="6" spans="1:39" x14ac:dyDescent="0.35">
      <c r="A6" s="6">
        <v>1.9411857973433539</v>
      </c>
      <c r="B6" s="6"/>
      <c r="C6" s="6">
        <v>1.145857603127874</v>
      </c>
      <c r="D6" s="6">
        <v>-4.8407420286009743E-2</v>
      </c>
      <c r="E6" s="6"/>
      <c r="F6" s="6">
        <v>-0.24730190019296194</v>
      </c>
      <c r="G6" s="6">
        <v>-1.4466684841271671E-4</v>
      </c>
      <c r="H6" s="6"/>
      <c r="I6" s="6">
        <v>-1.7636812161497157</v>
      </c>
      <c r="J6" s="6">
        <v>5.8915128070899991E-2</v>
      </c>
      <c r="K6" s="6"/>
      <c r="L6" s="6">
        <v>0.28469656545819899</v>
      </c>
      <c r="M6" s="6">
        <v>-2.9988188400147053E-2</v>
      </c>
      <c r="N6" s="6"/>
      <c r="O6" s="6">
        <v>-1.2977380072834999</v>
      </c>
      <c r="P6" s="6">
        <v>-7.3726017155760604E-2</v>
      </c>
      <c r="Q6" s="6"/>
      <c r="R6" s="6">
        <v>-3.0323043590844763E-2</v>
      </c>
      <c r="S6" s="6">
        <v>-2.9988188400147053E-2</v>
      </c>
      <c r="T6" s="6"/>
      <c r="U6" s="6"/>
    </row>
    <row r="7" spans="1:39" x14ac:dyDescent="0.35">
      <c r="A7" s="6">
        <v>1.9301513996310589</v>
      </c>
      <c r="B7" s="6"/>
      <c r="C7" s="6">
        <v>1.2013360568348204</v>
      </c>
      <c r="D7" s="6">
        <v>-5.4972157155677659E-2</v>
      </c>
      <c r="E7" s="6"/>
      <c r="F7" s="6">
        <v>-0.25627632494184388</v>
      </c>
      <c r="G7" s="6">
        <v>-2.6236469811302676E-4</v>
      </c>
      <c r="H7" s="6"/>
      <c r="I7" s="6">
        <v>-1.8234634559978407</v>
      </c>
      <c r="J7" s="6">
        <v>5.7816931651645621E-2</v>
      </c>
      <c r="K7" s="6"/>
      <c r="L7" s="6">
        <v>0.22230726941518825</v>
      </c>
      <c r="M7" s="6">
        <v>-3.6413223957738647E-2</v>
      </c>
      <c r="N7" s="6"/>
      <c r="O7" s="6">
        <v>-1.2240119901277393</v>
      </c>
      <c r="P7" s="6">
        <v>-7.9355476265769873E-2</v>
      </c>
      <c r="Q7" s="6"/>
      <c r="R7" s="6">
        <v>2.964545000096401E-3</v>
      </c>
      <c r="S7" s="6">
        <v>-3.6413223957738647E-2</v>
      </c>
      <c r="T7" s="6"/>
      <c r="U7" s="6"/>
    </row>
    <row r="8" spans="1:39" x14ac:dyDescent="0.35">
      <c r="A8" s="6">
        <v>1.9174810809093892</v>
      </c>
      <c r="B8" s="6"/>
      <c r="C8" s="6">
        <v>1.2634206903578065</v>
      </c>
      <c r="D8" s="6">
        <v>-6.1823350863565836E-2</v>
      </c>
      <c r="E8" s="6"/>
      <c r="F8" s="6">
        <v>-0.26862611088800936</v>
      </c>
      <c r="G8" s="6">
        <v>-4.2765969441768692E-4</v>
      </c>
      <c r="H8" s="6"/>
      <c r="I8" s="6">
        <v>-1.8822463875967013</v>
      </c>
      <c r="J8" s="6">
        <v>5.7060513655460034E-2</v>
      </c>
      <c r="K8" s="6"/>
      <c r="L8" s="6">
        <v>0.16016632464511257</v>
      </c>
      <c r="M8" s="6">
        <v>-4.3543988434918281E-2</v>
      </c>
      <c r="N8" s="6"/>
      <c r="O8" s="6">
        <v>-1.1446565138619695</v>
      </c>
      <c r="P8" s="6">
        <v>-8.6048445996244893E-2</v>
      </c>
      <c r="Q8" s="6"/>
      <c r="R8" s="6">
        <v>4.2793221809033812E-2</v>
      </c>
      <c r="S8" s="6">
        <v>-4.3543988434918281E-2</v>
      </c>
      <c r="T8" s="6"/>
      <c r="U8" s="6"/>
      <c r="W8" s="6"/>
    </row>
    <row r="9" spans="1:39" x14ac:dyDescent="0.35">
      <c r="A9" s="6">
        <v>1.9026427104773349</v>
      </c>
      <c r="B9" s="6"/>
      <c r="C9" s="6">
        <v>1.3325005694074288</v>
      </c>
      <c r="D9" s="6">
        <v>-6.916314819960806E-2</v>
      </c>
      <c r="E9" s="6"/>
      <c r="F9" s="6">
        <v>-0.28486978964393672</v>
      </c>
      <c r="G9" s="6">
        <v>-6.6274223380480279E-4</v>
      </c>
      <c r="H9" s="6"/>
      <c r="I9" s="6">
        <v>-1.9404111336866625</v>
      </c>
      <c r="J9" s="6">
        <v>5.6616203391896207E-2</v>
      </c>
      <c r="K9" s="6"/>
      <c r="L9" s="6">
        <v>9.778234654558822E-2</v>
      </c>
      <c r="M9" s="6">
        <v>-5.153925154584664E-2</v>
      </c>
      <c r="N9" s="6"/>
      <c r="O9" s="6">
        <v>-1.0586080678657246</v>
      </c>
      <c r="P9" s="6">
        <v>-9.3982081376934118E-2</v>
      </c>
      <c r="Q9" s="6"/>
      <c r="R9" s="6">
        <v>8.9834351618677005E-2</v>
      </c>
      <c r="S9" s="6">
        <v>-5.153925154584664E-2</v>
      </c>
      <c r="T9" s="6"/>
      <c r="U9" s="6"/>
      <c r="W9" s="6"/>
    </row>
    <row r="10" spans="1:39" x14ac:dyDescent="0.35">
      <c r="A10" s="6">
        <v>1.8849591640521259</v>
      </c>
      <c r="B10" s="6"/>
      <c r="C10" s="6">
        <v>1.4091600111107616</v>
      </c>
      <c r="D10" s="6">
        <v>-7.7211051552720955E-2</v>
      </c>
      <c r="E10" s="6"/>
      <c r="F10" s="6">
        <v>-0.30575676453580519</v>
      </c>
      <c r="G10" s="6">
        <v>-1.0018554838581994E-3</v>
      </c>
      <c r="H10" s="6"/>
      <c r="I10" s="6">
        <v>-1.9983284801166021</v>
      </c>
      <c r="J10" s="6">
        <v>5.6463101024793183E-2</v>
      </c>
      <c r="K10" s="6"/>
      <c r="L10" s="6">
        <v>3.4607781335406526E-2</v>
      </c>
      <c r="M10" s="6">
        <v>-6.0569535334237271E-2</v>
      </c>
      <c r="N10" s="6"/>
      <c r="O10" s="6">
        <v>-0.9646259864887905</v>
      </c>
      <c r="P10" s="6">
        <v>-0.10336895006640677</v>
      </c>
      <c r="Q10" s="6"/>
      <c r="R10" s="6">
        <v>0.14484946266773879</v>
      </c>
      <c r="S10" s="6">
        <v>-6.0569535334237271E-2</v>
      </c>
      <c r="T10" s="6"/>
      <c r="W10" s="6"/>
    </row>
    <row r="11" spans="1:39" x14ac:dyDescent="0.35">
      <c r="A11" s="6">
        <v>1.8635604004084279</v>
      </c>
      <c r="B11" s="6"/>
      <c r="C11" s="6">
        <v>1.4941908320670847</v>
      </c>
      <c r="D11" s="6">
        <v>-8.6206829588340056E-2</v>
      </c>
      <c r="E11" s="6"/>
      <c r="F11" s="6">
        <v>-0.33231034789085834</v>
      </c>
      <c r="G11" s="6">
        <v>-1.4970728964283087E-3</v>
      </c>
      <c r="H11" s="6"/>
      <c r="I11" s="6">
        <v>-2.0563798411752878</v>
      </c>
      <c r="J11" s="6">
        <v>5.6585275674824423E-2</v>
      </c>
      <c r="K11" s="6"/>
      <c r="L11" s="6">
        <v>-3.0003086532539566E-2</v>
      </c>
      <c r="M11" s="6">
        <v>-7.0803912095401211E-2</v>
      </c>
      <c r="N11" s="6"/>
      <c r="O11" s="6">
        <v>-0.86125703642238371</v>
      </c>
      <c r="P11" s="6">
        <v>-0.11444603246977191</v>
      </c>
      <c r="Q11" s="6"/>
      <c r="R11" s="6">
        <v>0.20865533304758277</v>
      </c>
      <c r="S11" s="6">
        <v>-7.0803912095401211E-2</v>
      </c>
      <c r="T11" s="6"/>
      <c r="W11" s="6"/>
    </row>
    <row r="12" spans="1:39" x14ac:dyDescent="0.35">
      <c r="A12" s="6">
        <v>1.837336036528411</v>
      </c>
      <c r="B12" s="6"/>
      <c r="C12" s="6">
        <v>1.5885985877820572</v>
      </c>
      <c r="D12" s="6">
        <v>-9.6404594000120136E-2</v>
      </c>
      <c r="E12" s="6"/>
      <c r="F12" s="6">
        <v>-0.36586564674679134</v>
      </c>
      <c r="G12" s="6">
        <v>-2.2255166659261583E-3</v>
      </c>
      <c r="H12" s="6"/>
      <c r="I12" s="6">
        <v>-2.1149825391077726</v>
      </c>
      <c r="J12" s="6">
        <v>5.6966784224357123E-2</v>
      </c>
      <c r="K12" s="6"/>
      <c r="L12" s="6">
        <v>-9.6848795702073207E-2</v>
      </c>
      <c r="M12" s="6">
        <v>-8.2379581943737665E-2</v>
      </c>
      <c r="N12" s="6"/>
      <c r="O12" s="6">
        <v>-0.7468110039526118</v>
      </c>
      <c r="P12" s="6">
        <v>-0.12744427876687281</v>
      </c>
      <c r="Q12" s="6"/>
      <c r="R12" s="6">
        <v>0.28204074767108667</v>
      </c>
      <c r="S12" s="6">
        <v>-8.2379581943737665E-2</v>
      </c>
      <c r="T12" s="6"/>
      <c r="W12" s="6"/>
    </row>
    <row r="13" spans="1:39" x14ac:dyDescent="0.35">
      <c r="A13" s="6">
        <v>1.8049076534262141</v>
      </c>
      <c r="B13" s="6"/>
      <c r="C13" s="6">
        <v>1.6935873914420259</v>
      </c>
      <c r="D13" s="6">
        <v>-0.10804872685422404</v>
      </c>
      <c r="E13" s="6"/>
      <c r="F13" s="6">
        <v>-0.408068314470176</v>
      </c>
      <c r="G13" s="6">
        <v>-3.2951835683896757E-3</v>
      </c>
      <c r="H13" s="6"/>
      <c r="I13" s="6">
        <v>-2.174622988485051</v>
      </c>
      <c r="J13" s="6">
        <v>5.7584242986572706E-2</v>
      </c>
      <c r="K13" s="6"/>
      <c r="L13" s="6">
        <v>-0.1669481218662725</v>
      </c>
      <c r="M13" s="6">
        <v>-9.5343701799397287E-2</v>
      </c>
      <c r="N13" s="6"/>
      <c r="O13" s="6">
        <v>-0.61936672518573899</v>
      </c>
      <c r="P13" s="6">
        <v>-0.142522313791098</v>
      </c>
      <c r="Q13" s="6"/>
      <c r="R13" s="6">
        <v>0.36559818382050657</v>
      </c>
      <c r="S13" s="6">
        <v>-9.5343701799397287E-2</v>
      </c>
      <c r="T13" s="6"/>
      <c r="W13" s="6"/>
    </row>
    <row r="14" spans="1:39" x14ac:dyDescent="0.35">
      <c r="A14" s="6">
        <v>1.7646628972965148</v>
      </c>
      <c r="B14" s="6"/>
      <c r="C14" s="6">
        <v>1.8104957940027702</v>
      </c>
      <c r="D14" s="6">
        <v>-0.12131665696864857</v>
      </c>
      <c r="E14" s="6"/>
      <c r="F14" s="6">
        <v>-0.46076417667989045</v>
      </c>
      <c r="G14" s="6">
        <v>-4.8402560973508091E-3</v>
      </c>
      <c r="H14" s="6"/>
      <c r="I14" s="6">
        <v>-2.2359006828708337</v>
      </c>
      <c r="J14" s="6">
        <v>5.8395209582567255E-2</v>
      </c>
      <c r="K14" s="6"/>
      <c r="L14" s="6">
        <v>-0.24160717094212666</v>
      </c>
      <c r="M14" s="6">
        <v>-0.10955929546453293</v>
      </c>
      <c r="N14" s="6"/>
      <c r="O14" s="6">
        <v>-0.47684441139464095</v>
      </c>
      <c r="P14" s="6">
        <v>-0.15964489788845576</v>
      </c>
      <c r="Q14" s="6"/>
      <c r="R14" s="6">
        <v>0.45942302412443209</v>
      </c>
      <c r="S14" s="6">
        <v>-0.10955929546453293</v>
      </c>
      <c r="T14" s="6"/>
    </row>
    <row r="15" spans="1:39" x14ac:dyDescent="0.35">
      <c r="A15" s="6">
        <v>1.714921090496063</v>
      </c>
      <c r="B15" s="6"/>
      <c r="C15" s="6">
        <v>1.9406423478894332</v>
      </c>
      <c r="D15" s="6">
        <v>-0.13621145738512025</v>
      </c>
      <c r="E15" s="6"/>
      <c r="F15" s="6">
        <v>-0.52566812828302756</v>
      </c>
      <c r="G15" s="6">
        <v>-6.9856310489308238E-3</v>
      </c>
      <c r="H15" s="6"/>
      <c r="I15" s="6">
        <v>-2.2995795905765264</v>
      </c>
      <c r="J15" s="6">
        <v>5.9320781661653159E-2</v>
      </c>
      <c r="K15" s="6"/>
      <c r="L15" s="6">
        <v>-0.3224391254720731</v>
      </c>
      <c r="M15" s="6">
        <v>-0.12458560449812682</v>
      </c>
      <c r="N15" s="6"/>
      <c r="O15" s="6">
        <v>-0.31719951350618519</v>
      </c>
      <c r="P15" s="6">
        <v>-0.17840128127747282</v>
      </c>
      <c r="Q15" s="6"/>
      <c r="R15" s="6">
        <v>0.56264887720048695</v>
      </c>
      <c r="S15" s="6">
        <v>-0.12458560449812682</v>
      </c>
      <c r="T15" s="6"/>
    </row>
    <row r="16" spans="1:39" x14ac:dyDescent="0.35">
      <c r="A16" s="6">
        <v>1.6543008867221936</v>
      </c>
      <c r="B16" s="6"/>
      <c r="C16" s="6">
        <v>2.0850378154496636</v>
      </c>
      <c r="D16" s="6">
        <v>-0.15240347358458584</v>
      </c>
      <c r="E16" s="6"/>
      <c r="F16" s="6">
        <v>-0.6037138642512172</v>
      </c>
      <c r="G16" s="6">
        <v>-9.7535946001294227E-3</v>
      </c>
      <c r="H16" s="6"/>
      <c r="I16" s="6">
        <v>-2.3666230965129174</v>
      </c>
      <c r="J16" s="6">
        <v>6.0223644330110356E-2</v>
      </c>
      <c r="K16" s="6"/>
      <c r="L16" s="6">
        <v>-0.41123024655376217</v>
      </c>
      <c r="M16" s="6">
        <v>-0.13959038220469475</v>
      </c>
      <c r="N16" s="6"/>
      <c r="O16" s="6">
        <v>-0.13879823222871238</v>
      </c>
      <c r="P16" s="6">
        <v>-0.19781560486191302</v>
      </c>
      <c r="Q16" s="6"/>
      <c r="R16" s="6">
        <v>0.67288230589406195</v>
      </c>
      <c r="S16" s="6">
        <v>-0.13959038220469475</v>
      </c>
      <c r="T16" s="6"/>
      <c r="U16" s="6"/>
    </row>
    <row r="17" spans="1:21" x14ac:dyDescent="0.35">
      <c r="A17" s="6">
        <v>1.582268684545491</v>
      </c>
      <c r="B17" s="6"/>
      <c r="C17" s="6">
        <v>2.2439633304350735</v>
      </c>
      <c r="D17" s="6">
        <v>-0.16907678903928053</v>
      </c>
      <c r="E17" s="6"/>
      <c r="F17" s="6">
        <v>-0.69418654379471978</v>
      </c>
      <c r="G17" s="6">
        <v>-1.2918239387715968E-2</v>
      </c>
      <c r="H17" s="6"/>
      <c r="I17" s="6">
        <v>-2.4381480456663822</v>
      </c>
      <c r="J17" s="6">
        <v>6.0891645619472912E-2</v>
      </c>
      <c r="K17" s="6"/>
      <c r="L17" s="6">
        <v>-0.50950858933889309</v>
      </c>
      <c r="M17" s="6">
        <v>-0.15340969587084946</v>
      </c>
      <c r="N17" s="6"/>
      <c r="O17" s="6">
        <v>5.9017372633200643E-2</v>
      </c>
      <c r="P17" s="6">
        <v>-0.21630223274664914</v>
      </c>
      <c r="Q17" s="6"/>
      <c r="R17" s="6">
        <v>0.78582262666703029</v>
      </c>
      <c r="S17" s="6">
        <v>-0.15340969587084946</v>
      </c>
      <c r="T17" s="6"/>
      <c r="U17" s="6"/>
    </row>
    <row r="18" spans="1:21" x14ac:dyDescent="0.35">
      <c r="A18" s="6">
        <v>1.4996415811139907</v>
      </c>
      <c r="B18" s="6"/>
      <c r="C18" s="6">
        <v>2.416528530459777</v>
      </c>
      <c r="D18" s="6">
        <v>-0.18492281464106691</v>
      </c>
      <c r="E18" s="6"/>
      <c r="F18" s="6">
        <v>-0.7941721760874394</v>
      </c>
      <c r="G18" s="6">
        <v>-1.5920283170631211E-2</v>
      </c>
      <c r="H18" s="6"/>
      <c r="I18" s="6">
        <v>-2.515201681422143</v>
      </c>
      <c r="J18" s="6">
        <v>6.1050177035835651E-2</v>
      </c>
      <c r="K18" s="6"/>
      <c r="L18" s="6">
        <v>-0.61780660277354349</v>
      </c>
      <c r="M18" s="6">
        <v>-0.16484711288575046</v>
      </c>
      <c r="N18" s="6"/>
      <c r="O18" s="6">
        <v>0.27531960537984979</v>
      </c>
      <c r="P18" s="6">
        <v>-0.23195640927863742</v>
      </c>
      <c r="Q18" s="6"/>
      <c r="R18" s="6">
        <v>0.89559050387886763</v>
      </c>
      <c r="S18" s="6">
        <v>-0.16484711288575046</v>
      </c>
      <c r="T18" s="6"/>
      <c r="U18" s="6"/>
    </row>
    <row r="19" spans="1:21" x14ac:dyDescent="0.35">
      <c r="A19" s="6">
        <v>1.4086883448187411</v>
      </c>
      <c r="B19" s="6"/>
      <c r="C19" s="6">
        <v>2.6004572999833924</v>
      </c>
      <c r="D19" s="6">
        <v>-0.19842397673436046</v>
      </c>
      <c r="E19" s="6"/>
      <c r="F19" s="6">
        <v>-0.89906507823094384</v>
      </c>
      <c r="G19" s="6">
        <v>-1.803053584886502E-2</v>
      </c>
      <c r="H19" s="6"/>
      <c r="I19" s="6">
        <v>-2.5983367243095157</v>
      </c>
      <c r="J19" s="6">
        <v>6.0426027803519446E-2</v>
      </c>
      <c r="K19" s="6"/>
      <c r="L19" s="6">
        <v>-0.73499815164479632</v>
      </c>
      <c r="M19" s="6">
        <v>-0.17310669345460239</v>
      </c>
      <c r="N19" s="6"/>
      <c r="O19" s="6">
        <v>0.50727601465848715</v>
      </c>
      <c r="P19" s="6">
        <v>-0.2431592953749761</v>
      </c>
      <c r="Q19" s="6"/>
      <c r="R19" s="6">
        <v>0.99610849784356059</v>
      </c>
      <c r="S19" s="6">
        <v>-0.17310669345460239</v>
      </c>
      <c r="T19" s="6"/>
      <c r="U19" s="6"/>
    </row>
    <row r="20" spans="1:21" x14ac:dyDescent="0.35">
      <c r="A20" s="6">
        <v>1.3126861894783972</v>
      </c>
      <c r="B20" s="6"/>
      <c r="C20" s="6">
        <v>2.7923265961024062</v>
      </c>
      <c r="D20" s="6">
        <v>-0.20834855328451379</v>
      </c>
      <c r="E20" s="6"/>
      <c r="F20" s="6">
        <v>-1.0041369947873986</v>
      </c>
      <c r="G20" s="6">
        <v>-1.8740807511441276E-2</v>
      </c>
      <c r="H20" s="6"/>
      <c r="I20" s="6">
        <v>-2.6871785304142572</v>
      </c>
      <c r="J20" s="6">
        <v>5.8851769568298733E-2</v>
      </c>
      <c r="K20" s="6"/>
      <c r="L20" s="6">
        <v>-0.85832220614616295</v>
      </c>
      <c r="M20" s="6">
        <v>-0.17804158256181163</v>
      </c>
      <c r="N20" s="6"/>
      <c r="O20" s="6">
        <v>0.75043531003346331</v>
      </c>
      <c r="P20" s="6">
        <v>-0.24911689770767315</v>
      </c>
      <c r="Q20" s="6"/>
      <c r="R20" s="6">
        <v>1.0830037664827081</v>
      </c>
      <c r="S20" s="6">
        <v>-0.17804158256181163</v>
      </c>
      <c r="T20" s="6"/>
      <c r="U20" s="6"/>
    </row>
    <row r="21" spans="1:21" x14ac:dyDescent="0.35">
      <c r="A21" s="6">
        <v>1.2151890790081443</v>
      </c>
      <c r="B21" s="6"/>
      <c r="C21" s="6">
        <v>2.9882125146857463</v>
      </c>
      <c r="D21" s="6">
        <v>-0.21411756719333128</v>
      </c>
      <c r="E21" s="6"/>
      <c r="F21" s="6">
        <v>-1.1060419262763908</v>
      </c>
      <c r="G21" s="6">
        <v>-1.8015769188250763E-2</v>
      </c>
      <c r="H21" s="6"/>
      <c r="I21" s="6">
        <v>-2.7803155828530031</v>
      </c>
      <c r="J21" s="6">
        <v>5.6355766154375778E-2</v>
      </c>
      <c r="K21" s="6"/>
      <c r="L21" s="6">
        <v>-0.98421396074191181</v>
      </c>
      <c r="M21" s="6">
        <v>-0.18001347261565626</v>
      </c>
      <c r="N21" s="6"/>
      <c r="O21" s="6">
        <v>0.99955220774113651</v>
      </c>
      <c r="P21" s="6">
        <v>-0.24994640292480486</v>
      </c>
      <c r="Q21" s="6"/>
      <c r="R21" s="6">
        <v>1.154794905238945</v>
      </c>
      <c r="S21" s="6">
        <v>-0.18001347261565626</v>
      </c>
      <c r="T21" s="6"/>
      <c r="U21" s="6"/>
    </row>
    <row r="22" spans="1:21" x14ac:dyDescent="0.35">
      <c r="A22" s="6">
        <v>1.119386413166807</v>
      </c>
      <c r="B22" s="6"/>
      <c r="C22" s="6">
        <v>3.1844085894699896</v>
      </c>
      <c r="D22" s="6">
        <v>-0.21581239556624857</v>
      </c>
      <c r="E22" s="6"/>
      <c r="F22" s="6">
        <v>-1.2032414930936064</v>
      </c>
      <c r="G22" s="6">
        <v>-1.6169916334495937E-2</v>
      </c>
      <c r="H22" s="6"/>
      <c r="I22" s="6">
        <v>-2.8756350618415349</v>
      </c>
      <c r="J22" s="6">
        <v>5.3172762141454236E-2</v>
      </c>
      <c r="K22" s="6"/>
      <c r="L22" s="6">
        <v>-1.1093389169404484</v>
      </c>
      <c r="M22" s="6">
        <v>-0.17953866631008036</v>
      </c>
      <c r="N22" s="6"/>
      <c r="O22" s="6">
        <v>1.2494986106659414</v>
      </c>
      <c r="P22" s="6">
        <v>-0.24636525255377403</v>
      </c>
      <c r="Q22" s="6"/>
      <c r="R22" s="6">
        <v>1.2126886433844242</v>
      </c>
      <c r="S22" s="6">
        <v>-0.17953866631008036</v>
      </c>
      <c r="T22" s="6"/>
      <c r="U22" s="6"/>
    </row>
    <row r="23" spans="1:21" x14ac:dyDescent="0.35">
      <c r="A23" s="6">
        <v>1.0277457876348048</v>
      </c>
      <c r="B23" s="6"/>
      <c r="C23" s="6">
        <v>3.377888391523904</v>
      </c>
      <c r="D23" s="6">
        <v>-0.21394531327159605</v>
      </c>
      <c r="E23" s="6"/>
      <c r="F23" s="6">
        <v>-1.2954977398349092</v>
      </c>
      <c r="G23" s="6">
        <v>-1.3590774041365605E-2</v>
      </c>
      <c r="H23" s="6"/>
      <c r="I23" s="6">
        <v>-2.9708806432971531</v>
      </c>
      <c r="J23" s="6">
        <v>4.9655528562387183E-2</v>
      </c>
      <c r="K23" s="6"/>
      <c r="L23" s="6">
        <v>-1.2312150230803465</v>
      </c>
      <c r="M23" s="6">
        <v>-0.17705161009043827</v>
      </c>
      <c r="N23" s="6"/>
      <c r="O23" s="6">
        <v>1.4958638632197154</v>
      </c>
      <c r="P23" s="6">
        <v>-0.23932888366674976</v>
      </c>
      <c r="Q23" s="6"/>
      <c r="R23" s="6">
        <v>1.259465773369473</v>
      </c>
      <c r="S23" s="6">
        <v>-0.17705161009043827</v>
      </c>
      <c r="T23" s="6"/>
    </row>
    <row r="24" spans="1:21" x14ac:dyDescent="0.35">
      <c r="A24" s="6">
        <v>0.94192367598563398</v>
      </c>
      <c r="B24" s="6"/>
      <c r="C24" s="6">
        <v>3.5664366784272454</v>
      </c>
      <c r="D24" s="6">
        <v>-0.20922439334699666</v>
      </c>
      <c r="E24" s="6"/>
      <c r="F24" s="6">
        <v>-1.3831601724635538</v>
      </c>
      <c r="G24" s="6">
        <v>-1.0586336707411548E-2</v>
      </c>
      <c r="H24" s="6"/>
      <c r="I24" s="6">
        <v>-3.0641197669734233</v>
      </c>
      <c r="J24" s="6">
        <v>4.6144861174745921E-2</v>
      </c>
      <c r="K24" s="6"/>
      <c r="L24" s="6">
        <v>-1.3483195305579758</v>
      </c>
      <c r="M24" s="6">
        <v>-0.17288986889055141</v>
      </c>
      <c r="N24" s="6"/>
      <c r="O24" s="6">
        <v>1.7351927468864652</v>
      </c>
      <c r="P24" s="6">
        <v>-0.22981715041649711</v>
      </c>
      <c r="Q24" s="6"/>
      <c r="R24" s="6">
        <v>1.2983108998790798</v>
      </c>
      <c r="S24" s="6">
        <v>-0.17288986889055141</v>
      </c>
      <c r="T24" s="6"/>
    </row>
    <row r="25" spans="1:21" x14ac:dyDescent="0.35">
      <c r="A25" s="6">
        <v>0.86284014189078651</v>
      </c>
      <c r="B25" s="6"/>
      <c r="C25" s="6">
        <v>3.7485688615547557</v>
      </c>
      <c r="D25" s="6">
        <v>-0.20240160462423396</v>
      </c>
      <c r="E25" s="6"/>
      <c r="F25" s="6">
        <v>-1.466689231368808</v>
      </c>
      <c r="G25" s="6">
        <v>-7.3764860601892579E-3</v>
      </c>
      <c r="H25" s="6"/>
      <c r="I25" s="6">
        <v>-3.1539715349786639</v>
      </c>
      <c r="J25" s="6">
        <v>4.2879303153903037E-2</v>
      </c>
      <c r="K25" s="6"/>
      <c r="L25" s="6">
        <v>-1.4599030082089686</v>
      </c>
      <c r="M25" s="6">
        <v>-0.16737095783743244</v>
      </c>
      <c r="N25" s="6"/>
      <c r="O25" s="6">
        <v>1.9650098973029624</v>
      </c>
      <c r="P25" s="6">
        <v>-0.21873888774582553</v>
      </c>
      <c r="Q25" s="6"/>
      <c r="R25" s="6">
        <v>1.3320482298623406</v>
      </c>
      <c r="S25" s="6">
        <v>-0.16737095783743244</v>
      </c>
      <c r="T25" s="6"/>
    </row>
    <row r="26" spans="1:21" x14ac:dyDescent="0.35">
      <c r="A26" s="6">
        <v>0.79082529597887075</v>
      </c>
      <c r="B26" s="6"/>
      <c r="C26" s="6">
        <v>3.9233787479277389</v>
      </c>
      <c r="D26" s="6">
        <v>-0.19418375941489152</v>
      </c>
      <c r="E26" s="6"/>
      <c r="F26" s="6">
        <v>-1.546458904846711</v>
      </c>
      <c r="G26" s="6">
        <v>-4.1275399397737444E-3</v>
      </c>
      <c r="H26" s="6"/>
      <c r="I26" s="6">
        <v>-3.239622667085464</v>
      </c>
      <c r="J26" s="6">
        <v>3.9975437761022373E-2</v>
      </c>
      <c r="K26" s="6"/>
      <c r="L26" s="6">
        <v>-1.5657339797773417</v>
      </c>
      <c r="M26" s="6">
        <v>-0.16083382486276704</v>
      </c>
      <c r="N26" s="6"/>
      <c r="O26" s="6">
        <v>2.1837487850487878</v>
      </c>
      <c r="P26" s="6">
        <v>-0.20687659515622681</v>
      </c>
      <c r="Q26" s="6"/>
      <c r="R26" s="6">
        <v>1.3628155111531028</v>
      </c>
      <c r="S26" s="6">
        <v>-0.16083382486276704</v>
      </c>
      <c r="T26" s="6"/>
    </row>
    <row r="27" spans="1:21" x14ac:dyDescent="0.35">
      <c r="A27" s="6">
        <v>0.72578271537268979</v>
      </c>
      <c r="B27" s="6"/>
      <c r="C27" s="6">
        <v>4.0903923083730369</v>
      </c>
      <c r="D27" s="6">
        <v>-0.18517854464897432</v>
      </c>
      <c r="E27" s="6"/>
      <c r="F27" s="6">
        <v>-1.6227259413271664</v>
      </c>
      <c r="G27" s="6">
        <v>-9.7216395967024416E-4</v>
      </c>
      <c r="H27" s="6"/>
      <c r="I27" s="6">
        <v>-3.3207254652138389</v>
      </c>
      <c r="J27" s="6">
        <v>3.7456123604302345E-2</v>
      </c>
      <c r="K27" s="6"/>
      <c r="L27" s="6">
        <v>-1.6658857589448779</v>
      </c>
      <c r="M27" s="6">
        <v>-0.15362383321093054</v>
      </c>
      <c r="N27" s="6"/>
      <c r="O27" s="6">
        <v>2.3906253802050146</v>
      </c>
      <c r="P27" s="6">
        <v>-0.19484781174924021</v>
      </c>
      <c r="Q27" s="6"/>
      <c r="R27" s="6">
        <v>1.3920355742956765</v>
      </c>
      <c r="S27" s="6">
        <v>-0.15362383321093054</v>
      </c>
      <c r="T27" s="6"/>
    </row>
    <row r="28" spans="1:21" x14ac:dyDescent="0.35">
      <c r="A28" s="6">
        <v>0.66734037378105859</v>
      </c>
      <c r="B28" s="6"/>
      <c r="C28" s="6">
        <v>4.2494507965696799</v>
      </c>
      <c r="D28" s="6">
        <v>-0.1758671170016472</v>
      </c>
      <c r="E28" s="6"/>
      <c r="F28" s="6">
        <v>-1.6956625040144779</v>
      </c>
      <c r="G28" s="6">
        <v>1.988199709276009E-3</v>
      </c>
      <c r="H28" s="6"/>
      <c r="I28" s="6">
        <v>-3.3972593339140458</v>
      </c>
      <c r="J28" s="6">
        <v>3.5291488602657128E-2</v>
      </c>
      <c r="K28" s="6"/>
      <c r="L28" s="6">
        <v>-1.7605917786836363</v>
      </c>
      <c r="M28" s="6">
        <v>-0.14605632666168156</v>
      </c>
      <c r="N28" s="6"/>
      <c r="O28" s="6">
        <v>2.5854731919542546</v>
      </c>
      <c r="P28" s="6">
        <v>-0.18309179203473153</v>
      </c>
      <c r="Q28" s="6"/>
      <c r="R28" s="6">
        <v>1.4205385993705011</v>
      </c>
      <c r="S28" s="6">
        <v>-0.14605632666168156</v>
      </c>
      <c r="T28" s="6"/>
    </row>
    <row r="29" spans="1:21" x14ac:dyDescent="0.35">
      <c r="A29" s="6">
        <v>0.61497373154580315</v>
      </c>
      <c r="B29" s="6"/>
      <c r="C29" s="6">
        <v>4.4006213959392024</v>
      </c>
      <c r="D29" s="6">
        <v>-0.16660058115508453</v>
      </c>
      <c r="E29" s="6"/>
      <c r="F29" s="6">
        <v>-1.7653970538901973</v>
      </c>
      <c r="G29" s="6">
        <v>4.6853420945970614E-3</v>
      </c>
      <c r="H29" s="6"/>
      <c r="I29" s="6">
        <v>-3.4694034908799267</v>
      </c>
      <c r="J29" s="6">
        <v>3.3431419425247785E-2</v>
      </c>
      <c r="K29" s="6"/>
      <c r="L29" s="6">
        <v>-1.8501584987860944</v>
      </c>
      <c r="M29" s="6">
        <v>-0.13838951646324199</v>
      </c>
      <c r="N29" s="6"/>
      <c r="O29" s="6">
        <v>2.7685649839889863</v>
      </c>
      <c r="P29" s="6">
        <v>-0.17188450374020034</v>
      </c>
      <c r="Q29" s="6"/>
      <c r="R29" s="6">
        <v>1.4487311399404135</v>
      </c>
      <c r="S29" s="6">
        <v>-0.13838951646324199</v>
      </c>
      <c r="T29" s="6"/>
    </row>
    <row r="30" spans="1:21" x14ac:dyDescent="0.35">
      <c r="A30" s="6">
        <v>0.56809573352423803</v>
      </c>
      <c r="B30" s="6"/>
      <c r="C30" s="6">
        <v>4.5441280915712277</v>
      </c>
      <c r="D30" s="6">
        <v>-0.15761419442589225</v>
      </c>
      <c r="E30" s="6"/>
      <c r="F30" s="6">
        <v>-1.8320437764178623</v>
      </c>
      <c r="G30" s="6">
        <v>7.0829025620710445E-3</v>
      </c>
      <c r="H30" s="6"/>
      <c r="I30" s="6">
        <v>-3.5374401431452638</v>
      </c>
      <c r="J30" s="6">
        <v>3.1824258586561543E-2</v>
      </c>
      <c r="K30" s="6"/>
      <c r="L30" s="6">
        <v>-1.9349169689556973</v>
      </c>
      <c r="M30" s="6">
        <v>-0.13081584458288292</v>
      </c>
      <c r="N30" s="6"/>
      <c r="O30" s="6">
        <v>2.9404494877291865</v>
      </c>
      <c r="P30" s="6">
        <v>-0.1613721310876958</v>
      </c>
      <c r="Q30" s="6"/>
      <c r="R30" s="6">
        <v>1.4767528332400921</v>
      </c>
      <c r="S30" s="6">
        <v>-0.13081584458288292</v>
      </c>
      <c r="T30" s="6"/>
    </row>
    <row r="31" spans="1:21" x14ac:dyDescent="0.35">
      <c r="A31" s="6">
        <v>0.52611593335853069</v>
      </c>
      <c r="B31" s="6"/>
      <c r="C31" s="6">
        <v>4.6802974458499076</v>
      </c>
      <c r="D31" s="6">
        <v>-0.14905058261793347</v>
      </c>
      <c r="E31" s="6"/>
      <c r="F31" s="6">
        <v>-1.8957183351535376</v>
      </c>
      <c r="G31" s="6">
        <v>9.1708325862210338E-3</v>
      </c>
      <c r="H31" s="6"/>
      <c r="I31" s="6">
        <v>-3.6016900795563482</v>
      </c>
      <c r="J31" s="6">
        <v>3.042470889823393E-2</v>
      </c>
      <c r="K31" s="6"/>
      <c r="L31" s="6">
        <v>-2.0151974440916338</v>
      </c>
      <c r="M31" s="6">
        <v>-0.12346735336431025</v>
      </c>
      <c r="N31" s="6"/>
      <c r="O31" s="6">
        <v>3.1018216188168823</v>
      </c>
      <c r="P31" s="6">
        <v>-0.15160953628826501</v>
      </c>
      <c r="Q31" s="6"/>
      <c r="R31" s="6">
        <v>1.5045962734250451</v>
      </c>
      <c r="S31" s="6">
        <v>-0.12346735336431025</v>
      </c>
      <c r="T31" s="6"/>
    </row>
    <row r="32" spans="1:21" x14ac:dyDescent="0.35">
      <c r="A32" s="6">
        <v>0.48847503114161273</v>
      </c>
      <c r="B32" s="6"/>
      <c r="C32" s="6">
        <v>4.8095165169121534</v>
      </c>
      <c r="D32" s="6">
        <v>-0.14098439786228989</v>
      </c>
      <c r="E32" s="6"/>
      <c r="F32" s="6">
        <v>-1.9565436554844775</v>
      </c>
      <c r="G32" s="6">
        <v>1.0957962430687071E-2</v>
      </c>
      <c r="H32" s="6"/>
      <c r="I32" s="6">
        <v>-3.6624746381905831</v>
      </c>
      <c r="J32" s="6">
        <v>2.9195644334219641E-2</v>
      </c>
      <c r="K32" s="6"/>
      <c r="L32" s="6">
        <v>-2.0913168386377992</v>
      </c>
      <c r="M32" s="6">
        <v>-0.11642746659962616</v>
      </c>
      <c r="N32" s="6"/>
      <c r="O32" s="6">
        <v>3.2534311551051474</v>
      </c>
      <c r="P32" s="6">
        <v>-0.14259410203772038</v>
      </c>
      <c r="Q32" s="6"/>
      <c r="R32" s="6">
        <v>1.532187106408633</v>
      </c>
      <c r="S32" s="6">
        <v>-0.11642746659962616</v>
      </c>
      <c r="T32" s="6"/>
    </row>
    <row r="33" spans="1:20" x14ac:dyDescent="0.35">
      <c r="A33" s="6">
        <v>0.45466205602837167</v>
      </c>
      <c r="B33" s="6"/>
      <c r="C33" s="6">
        <v>4.9322013148428914</v>
      </c>
      <c r="D33" s="6">
        <v>-0.13344387902541427</v>
      </c>
      <c r="E33" s="6"/>
      <c r="F33" s="6">
        <v>-2.0146500255294133</v>
      </c>
      <c r="G33" s="6">
        <v>1.2464870476174422E-2</v>
      </c>
      <c r="H33" s="6"/>
      <c r="I33" s="6">
        <v>-3.7200960575170865</v>
      </c>
      <c r="J33" s="6">
        <v>2.8107334197523214E-2</v>
      </c>
      <c r="K33" s="6"/>
      <c r="L33" s="6">
        <v>-2.1635730622635263</v>
      </c>
      <c r="M33" s="6">
        <v>-0.10974363357234256</v>
      </c>
      <c r="N33" s="6"/>
      <c r="O33" s="6">
        <v>3.3960252571428677</v>
      </c>
      <c r="P33" s="6">
        <v>-0.13429105659945934</v>
      </c>
      <c r="Q33" s="6"/>
      <c r="R33" s="6">
        <v>1.5594315810265849</v>
      </c>
      <c r="S33" s="6">
        <v>-0.10974363357234256</v>
      </c>
      <c r="T33" s="6"/>
    </row>
    <row r="34" spans="1:20" x14ac:dyDescent="0.35">
      <c r="A34" s="6">
        <v>0.42422047526037548</v>
      </c>
      <c r="B34" s="6"/>
      <c r="C34" s="6">
        <v>5.0487743081359708</v>
      </c>
      <c r="D34" s="6">
        <v>-0.12642760328340918</v>
      </c>
      <c r="E34" s="6"/>
      <c r="F34" s="6">
        <v>-2.0701726586752858</v>
      </c>
      <c r="G34" s="6">
        <v>1.3718205293984251E-2</v>
      </c>
      <c r="H34" s="6"/>
      <c r="I34" s="6">
        <v>-3.7748292547173206</v>
      </c>
      <c r="J34" s="6">
        <v>2.7135982132608233E-2</v>
      </c>
      <c r="K34" s="6"/>
      <c r="L34" s="6">
        <v>-2.2322429669173678</v>
      </c>
      <c r="M34" s="6">
        <v>-0.10343814549294318</v>
      </c>
      <c r="N34" s="6"/>
      <c r="O34" s="6">
        <v>3.5303163137423272</v>
      </c>
      <c r="P34" s="6">
        <v>-0.12665034008572101</v>
      </c>
      <c r="Q34" s="6"/>
      <c r="R34" s="6">
        <v>1.5862413601971175</v>
      </c>
      <c r="S34" s="6">
        <v>-0.10343814549294318</v>
      </c>
      <c r="T34" s="6"/>
    </row>
    <row r="35" spans="1:20" x14ac:dyDescent="0.35">
      <c r="A35" s="6">
        <v>0.39674788571626746</v>
      </c>
      <c r="B35" s="6"/>
      <c r="C35" s="6">
        <v>5.159649325372631</v>
      </c>
      <c r="D35" s="6">
        <v>-0.11991648956058787</v>
      </c>
      <c r="E35" s="6"/>
      <c r="F35" s="6">
        <v>-2.1232485780747066</v>
      </c>
      <c r="G35" s="6">
        <v>1.4746708829598137E-2</v>
      </c>
      <c r="H35" s="6"/>
      <c r="I35" s="6">
        <v>-3.8269200183522032</v>
      </c>
      <c r="J35" s="6">
        <v>2.6262365181136491E-2</v>
      </c>
      <c r="K35" s="6"/>
      <c r="L35" s="6">
        <v>-2.2975821604746853</v>
      </c>
      <c r="M35" s="6">
        <v>-9.751639392080641E-2</v>
      </c>
      <c r="N35" s="6"/>
      <c r="O35" s="6">
        <v>3.6569666538280483</v>
      </c>
      <c r="P35" s="6">
        <v>-0.11961681144825555</v>
      </c>
      <c r="Q35" s="6"/>
      <c r="R35" s="6">
        <v>1.6125441911967155</v>
      </c>
      <c r="S35" s="6">
        <v>-9.751639392080641E-2</v>
      </c>
      <c r="T35" s="6"/>
    </row>
    <row r="36" spans="1:20" x14ac:dyDescent="0.35">
      <c r="A36" s="6">
        <v>0.37189238523572832</v>
      </c>
      <c r="B36" s="6"/>
      <c r="C36" s="6">
        <v>5.2652221518641413</v>
      </c>
      <c r="D36" s="6">
        <v>-0.11388189746200356</v>
      </c>
      <c r="E36" s="6"/>
      <c r="F36" s="6">
        <v>-2.174013743549092</v>
      </c>
      <c r="G36" s="6">
        <v>1.5578712124975413E-2</v>
      </c>
      <c r="H36" s="6"/>
      <c r="I36" s="6">
        <v>-3.876586413187932</v>
      </c>
      <c r="J36" s="6">
        <v>2.5470783028306739E-2</v>
      </c>
      <c r="K36" s="6"/>
      <c r="L36" s="6">
        <v>-2.3598257629992592</v>
      </c>
      <c r="M36" s="6">
        <v>-9.1972785713016772E-2</v>
      </c>
      <c r="N36" s="6"/>
      <c r="O36" s="6">
        <v>3.7765834652763037</v>
      </c>
      <c r="P36" s="6">
        <v>-0.11313587583686424</v>
      </c>
      <c r="Q36" s="6"/>
      <c r="R36" s="6">
        <v>1.6382866652714934</v>
      </c>
      <c r="S36" s="6">
        <v>-9.1972785713016772E-2</v>
      </c>
      <c r="T36" s="6"/>
    </row>
    <row r="37" spans="1:20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  <row r="103" spans="1:20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</row>
    <row r="104" spans="1:20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</row>
    <row r="105" spans="1:20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</row>
    <row r="107" spans="1:20" x14ac:dyDescent="0.3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</row>
    <row r="108" spans="1:20" x14ac:dyDescent="0.3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x14ac:dyDescent="0.3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x14ac:dyDescent="0.3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x14ac:dyDescent="0.3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3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</row>
    <row r="113" spans="1:20" x14ac:dyDescent="0.3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</row>
    <row r="114" spans="1:20" x14ac:dyDescent="0.3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</row>
    <row r="115" spans="1:20" x14ac:dyDescent="0.3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1:20" x14ac:dyDescent="0.3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</row>
    <row r="117" spans="1:20" x14ac:dyDescent="0.3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</row>
    <row r="118" spans="1:20" x14ac:dyDescent="0.3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x14ac:dyDescent="0.3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</row>
    <row r="120" spans="1:20" x14ac:dyDescent="0.3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</row>
    <row r="121" spans="1:20" x14ac:dyDescent="0.3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</row>
    <row r="122" spans="1:20" x14ac:dyDescent="0.3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</row>
    <row r="123" spans="1:20" x14ac:dyDescent="0.3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</row>
    <row r="124" spans="1:20" x14ac:dyDescent="0.3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</row>
    <row r="125" spans="1:20" x14ac:dyDescent="0.3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</row>
    <row r="126" spans="1:20" x14ac:dyDescent="0.3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</row>
    <row r="127" spans="1:20" x14ac:dyDescent="0.3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</row>
    <row r="128" spans="1:20" x14ac:dyDescent="0.3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</row>
    <row r="129" spans="1:20" x14ac:dyDescent="0.3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</row>
    <row r="130" spans="1:20" x14ac:dyDescent="0.3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</row>
    <row r="131" spans="1:20" x14ac:dyDescent="0.3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</row>
    <row r="132" spans="1:20" x14ac:dyDescent="0.3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</row>
    <row r="133" spans="1:20" x14ac:dyDescent="0.3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</row>
    <row r="134" spans="1:20" x14ac:dyDescent="0.3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</row>
    <row r="135" spans="1:20" x14ac:dyDescent="0.3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</row>
    <row r="136" spans="1:20" x14ac:dyDescent="0.3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</row>
    <row r="137" spans="1:20" x14ac:dyDescent="0.3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</row>
    <row r="138" spans="1:20" x14ac:dyDescent="0.3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</row>
    <row r="139" spans="1:20" x14ac:dyDescent="0.3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</row>
    <row r="140" spans="1:20" x14ac:dyDescent="0.3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</row>
    <row r="141" spans="1:20" x14ac:dyDescent="0.3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</row>
    <row r="142" spans="1:20" x14ac:dyDescent="0.3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</row>
    <row r="143" spans="1:20" x14ac:dyDescent="0.3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</row>
    <row r="144" spans="1:20" x14ac:dyDescent="0.3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</row>
    <row r="145" spans="1:20" x14ac:dyDescent="0.3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</row>
    <row r="146" spans="1:20" x14ac:dyDescent="0.3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</row>
    <row r="147" spans="1:20" x14ac:dyDescent="0.3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</row>
    <row r="148" spans="1:20" x14ac:dyDescent="0.3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</row>
    <row r="149" spans="1:20" x14ac:dyDescent="0.3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</row>
    <row r="150" spans="1:20" x14ac:dyDescent="0.3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</row>
    <row r="151" spans="1:20" x14ac:dyDescent="0.3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</row>
    <row r="152" spans="1:20" x14ac:dyDescent="0.3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</row>
    <row r="153" spans="1:20" x14ac:dyDescent="0.3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</row>
    <row r="154" spans="1:20" x14ac:dyDescent="0.3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</row>
    <row r="155" spans="1:20" x14ac:dyDescent="0.3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</row>
    <row r="156" spans="1:20" x14ac:dyDescent="0.3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</row>
    <row r="157" spans="1:20" x14ac:dyDescent="0.3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</row>
    <row r="158" spans="1:20" x14ac:dyDescent="0.3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x14ac:dyDescent="0.3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</row>
    <row r="160" spans="1:20" x14ac:dyDescent="0.3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</row>
    <row r="161" spans="1:20" x14ac:dyDescent="0.3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3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3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</row>
    <row r="164" spans="1:20" x14ac:dyDescent="0.3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</row>
    <row r="165" spans="1:20" x14ac:dyDescent="0.3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x14ac:dyDescent="0.3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0" x14ac:dyDescent="0.3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0" x14ac:dyDescent="0.3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0" x14ac:dyDescent="0.3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0" x14ac:dyDescent="0.3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0" x14ac:dyDescent="0.3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0" x14ac:dyDescent="0.3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0" x14ac:dyDescent="0.3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0" x14ac:dyDescent="0.3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0" x14ac:dyDescent="0.3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0" x14ac:dyDescent="0.3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3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3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3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x14ac:dyDescent="0.3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3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</row>
    <row r="182" spans="1:20" x14ac:dyDescent="0.3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3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3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</row>
    <row r="185" spans="1:20" x14ac:dyDescent="0.3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</row>
    <row r="186" spans="1:20" x14ac:dyDescent="0.3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x14ac:dyDescent="0.3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3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</row>
    <row r="189" spans="1:20" x14ac:dyDescent="0.3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3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3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</row>
    <row r="192" spans="1:20" x14ac:dyDescent="0.3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</row>
    <row r="193" spans="1:20" x14ac:dyDescent="0.3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</row>
    <row r="194" spans="1:20" x14ac:dyDescent="0.3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</row>
    <row r="195" spans="1:20" x14ac:dyDescent="0.3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3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</row>
    <row r="197" spans="1:20" x14ac:dyDescent="0.3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</row>
    <row r="198" spans="1:20" x14ac:dyDescent="0.3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3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</row>
    <row r="200" spans="1:20" x14ac:dyDescent="0.3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3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3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3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</row>
    <row r="204" spans="1:20" x14ac:dyDescent="0.3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</row>
    <row r="205" spans="1:20" x14ac:dyDescent="0.3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</row>
    <row r="206" spans="1:20" x14ac:dyDescent="0.3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</row>
    <row r="207" spans="1:20" x14ac:dyDescent="0.3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</row>
    <row r="208" spans="1:20" x14ac:dyDescent="0.3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x14ac:dyDescent="0.3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</row>
    <row r="210" spans="1:20" x14ac:dyDescent="0.3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</row>
    <row r="211" spans="1:20" x14ac:dyDescent="0.3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</row>
    <row r="212" spans="1:20" x14ac:dyDescent="0.3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</row>
    <row r="213" spans="1:20" x14ac:dyDescent="0.3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</row>
    <row r="214" spans="1:20" x14ac:dyDescent="0.3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</row>
    <row r="215" spans="1:20" x14ac:dyDescent="0.3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</row>
    <row r="216" spans="1:20" x14ac:dyDescent="0.3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3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3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</row>
  </sheetData>
  <mergeCells count="6">
    <mergeCell ref="R1:S1"/>
    <mergeCell ref="C1:D1"/>
    <mergeCell ref="F1:G1"/>
    <mergeCell ref="I1:J1"/>
    <mergeCell ref="L1:M1"/>
    <mergeCell ref="O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Page</vt:lpstr>
      <vt:lpstr>Iteration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Haythornthwaite</dc:creator>
  <cp:lastModifiedBy>Matthew Haythornthwaite</cp:lastModifiedBy>
  <dcterms:created xsi:type="dcterms:W3CDTF">2021-02-28T18:00:16Z</dcterms:created>
  <dcterms:modified xsi:type="dcterms:W3CDTF">2021-03-27T14:30:24Z</dcterms:modified>
</cp:coreProperties>
</file>